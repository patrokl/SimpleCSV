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defaultThemeVersion="124226"/>
  <bookViews>
    <workbookView xWindow="0" yWindow="0" windowWidth="20730" windowHeight="10320" tabRatio="858" firstSheet="2" activeTab="7"/>
  </bookViews>
  <sheets>
    <sheet name="US" sheetId="48" state="hidden" r:id="rId1"/>
    <sheet name="const" sheetId="46" state="hidden" r:id="rId2"/>
    <sheet name="Intro" sheetId="43" r:id="rId3"/>
    <sheet name="Ogolne" sheetId="27" r:id="rId4"/>
    <sheet name="Dane personalne" sheetId="18" state="hidden" r:id="rId5"/>
    <sheet name="Dane personalne EN" sheetId="28" r:id="rId6"/>
    <sheet name="1.Kwestionariusz" sheetId="15" state="hidden" r:id="rId7"/>
    <sheet name="1.Kwestionariusz EN" sheetId="47" r:id="rId8"/>
    <sheet name="2.R-k bankowy" sheetId="2" state="hidden" r:id="rId9"/>
    <sheet name="2.R-k bankowy EN" sheetId="30" r:id="rId10"/>
    <sheet name="3.PIT-2" sheetId="3" state="hidden" r:id="rId11"/>
    <sheet name="3.PIT-2 EN" sheetId="31" r:id="rId12"/>
    <sheet name="4.Prawdziwosc danych" sheetId="8" state="hidden" r:id="rId13"/>
    <sheet name="4.Prawdziwosc danych EN" sheetId="32" r:id="rId14"/>
    <sheet name="5b.Oswiadczenie ZUS" sheetId="13" state="hidden" r:id="rId15"/>
    <sheet name="5b.Oswiadczenie ZUS EN" sheetId="33" r:id="rId16"/>
    <sheet name="6.Opieka-dziecko" sheetId="6" state="hidden" r:id="rId17"/>
    <sheet name="6.Opieka-dziecko EN" sheetId="34" r:id="rId18"/>
    <sheet name="7.Podwyzszone koszty" sheetId="7" state="hidden" r:id="rId19"/>
    <sheet name="7.Podwyzszone koszty EN" sheetId="35" r:id="rId20"/>
    <sheet name="8.Ulga-podatek" sheetId="4" state="hidden" r:id="rId21"/>
    <sheet name="8.Ulga-podatek EN" sheetId="36" r:id="rId22"/>
    <sheet name="9.Ubezpieczenie" sheetId="37" state="hidden" r:id="rId23"/>
    <sheet name="9.Ubezpieczenie EN" sheetId="9" r:id="rId24"/>
    <sheet name="10.Zgoda na potracenie" sheetId="16" state="hidden" r:id="rId25"/>
    <sheet name="10.Zgoda na potracenie EN" sheetId="38" r:id="rId26"/>
    <sheet name="11.Mobbing" sheetId="23" state="hidden" r:id="rId27"/>
    <sheet name="11.Mobbing EN" sheetId="39" r:id="rId28"/>
    <sheet name="12.Rowne traktowanie" sheetId="24" state="hidden" r:id="rId29"/>
    <sheet name="12.Rowne traktowanie EN" sheetId="40" r:id="rId30"/>
    <sheet name="Info do form 12" sheetId="45" state="hidden" r:id="rId31"/>
  </sheets>
  <functionGroups builtInGroupCount="17"/>
  <definedNames>
    <definedName name="_xlnm._FilterDatabase" localSheetId="14" hidden="1">'5b.Oswiadczenie ZUS'!$K$17:$Q$17</definedName>
    <definedName name="_xlnm.Print_Area" localSheetId="6">'1.Kwestionariusz'!$A$1:$AC$94</definedName>
    <definedName name="_xlnm.Print_Area" localSheetId="7">'1.Kwestionariusz EN'!$A$1:$AC$94</definedName>
    <definedName name="_xlnm.Print_Area" localSheetId="24">'10.Zgoda na potracenie'!$A$1:$R$55</definedName>
    <definedName name="_xlnm.Print_Area" localSheetId="25">'10.Zgoda na potracenie EN'!$A$1:$R$60</definedName>
    <definedName name="_xlnm.Print_Area" localSheetId="26">'11.Mobbing'!$A$1:$R$56</definedName>
    <definedName name="_xlnm.Print_Area" localSheetId="27">'11.Mobbing EN'!$A$1:$R$59</definedName>
    <definedName name="_xlnm.Print_Area" localSheetId="28">'12.Rowne traktowanie'!$A$1:$T$56</definedName>
    <definedName name="_xlnm.Print_Area" localSheetId="29">'12.Rowne traktowanie EN'!$A$1:$R$61</definedName>
    <definedName name="_xlnm.Print_Area" localSheetId="9">'2.R-k bankowy EN'!$A$1:$AG$44</definedName>
    <definedName name="_xlnm.Print_Area" localSheetId="10">'3.PIT-2'!$A$1:$S$66</definedName>
    <definedName name="_xlnm.Print_Area" localSheetId="11">'3.PIT-2 EN'!$A$1:$S$66</definedName>
    <definedName name="_xlnm.Print_Area" localSheetId="12">'4.Prawdziwosc danych'!$A$1:$J$30</definedName>
    <definedName name="_xlnm.Print_Area" localSheetId="13">'4.Prawdziwosc danych EN'!$A$1:$J$32</definedName>
    <definedName name="_xlnm.Print_Area" localSheetId="14">'5b.Oswiadczenie ZUS'!$A$1:$R$44</definedName>
    <definedName name="_xlnm.Print_Area" localSheetId="15">'5b.Oswiadczenie ZUS EN'!$A$1:$R$44</definedName>
    <definedName name="_xlnm.Print_Area" localSheetId="17">'6.Opieka-dziecko EN'!$A$1:$K$61</definedName>
    <definedName name="_xlnm.Print_Area" localSheetId="18">'7.Podwyzszone koszty'!$A$1:$U$63</definedName>
    <definedName name="_xlnm.Print_Area" localSheetId="19">'7.Podwyzszone koszty EN'!$A$1:$T$63</definedName>
    <definedName name="_xlnm.Print_Area" localSheetId="20">'8.Ulga-podatek'!$A$1:$V$61</definedName>
    <definedName name="_xlnm.Print_Area" localSheetId="21">'8.Ulga-podatek EN'!$A$1:$V$59</definedName>
    <definedName name="_xlnm.Print_Area" localSheetId="22">'9.Ubezpieczenie'!$A$1:$P$39</definedName>
    <definedName name="_xlnm.Print_Area" localSheetId="23">'9.Ubezpieczenie EN'!$A$1:$O$39</definedName>
    <definedName name="_xlnm.Print_Area" localSheetId="4">'Dane personalne'!$A$1:$F$94</definedName>
    <definedName name="_xlnm.Print_Area" localSheetId="5">'Dane personalne EN'!$A$1:$F$94</definedName>
    <definedName name="_xlnm.Print_Area" localSheetId="3">Ogolne!$A$1:$E$27</definedName>
  </definedNames>
  <calcPr calcId="145621"/>
</workbook>
</file>

<file path=xl/calcChain.xml><?xml version="1.0" encoding="utf-8"?>
<calcChain xmlns="http://schemas.openxmlformats.org/spreadsheetml/2006/main">
  <c r="F94" i="18" l="1"/>
  <c r="D94" i="18"/>
  <c r="H35" i="4"/>
  <c r="H37" i="7"/>
  <c r="J35" i="3"/>
  <c r="B48" i="46" l="1"/>
  <c r="D48" i="46"/>
  <c r="C48" i="46"/>
  <c r="F15" i="37" l="1"/>
  <c r="B15" i="37"/>
  <c r="A15" i="37"/>
  <c r="F14" i="37"/>
  <c r="B14" i="37"/>
  <c r="A14" i="37"/>
  <c r="F13" i="37"/>
  <c r="B13" i="37"/>
  <c r="A13" i="37"/>
  <c r="F12" i="37"/>
  <c r="B12" i="37"/>
  <c r="A12" i="37"/>
  <c r="I8" i="40" l="1"/>
  <c r="I8" i="24"/>
  <c r="I8" i="39"/>
  <c r="I8" i="23"/>
  <c r="I8" i="38"/>
  <c r="I8" i="16"/>
  <c r="F15" i="9"/>
  <c r="B15" i="9"/>
  <c r="A15" i="9"/>
  <c r="F14" i="9"/>
  <c r="B14" i="9"/>
  <c r="A14" i="9"/>
  <c r="F13" i="9"/>
  <c r="B13" i="9"/>
  <c r="A13" i="9"/>
  <c r="F12" i="9"/>
  <c r="B12" i="9"/>
  <c r="A12" i="9"/>
  <c r="F11" i="9"/>
  <c r="B11" i="9"/>
  <c r="A11" i="9"/>
  <c r="D2" i="9"/>
  <c r="D2" i="37"/>
  <c r="C43" i="36"/>
  <c r="A31" i="36"/>
  <c r="A8" i="36"/>
  <c r="C43" i="4"/>
  <c r="A31" i="4"/>
  <c r="A8" i="4"/>
  <c r="A11" i="35"/>
  <c r="A11" i="7"/>
  <c r="G50" i="34"/>
  <c r="B50" i="34"/>
  <c r="G49" i="34"/>
  <c r="B49" i="34"/>
  <c r="G48" i="34"/>
  <c r="B48" i="34"/>
  <c r="G47" i="34"/>
  <c r="B47" i="34"/>
  <c r="A13" i="34"/>
  <c r="G50" i="6"/>
  <c r="B50" i="6"/>
  <c r="G49" i="6"/>
  <c r="B49" i="6"/>
  <c r="G48" i="6"/>
  <c r="B48" i="6"/>
  <c r="G47" i="6"/>
  <c r="B47" i="6"/>
  <c r="A13" i="6"/>
  <c r="A26" i="33"/>
  <c r="A24" i="33"/>
  <c r="A23" i="33"/>
  <c r="K17" i="33"/>
  <c r="B13" i="33"/>
  <c r="N10" i="33"/>
  <c r="G10" i="33"/>
  <c r="A26" i="13"/>
  <c r="A24" i="13"/>
  <c r="A23" i="13"/>
  <c r="K17" i="13"/>
  <c r="B13" i="13"/>
  <c r="N10" i="13"/>
  <c r="G10" i="13"/>
  <c r="G13" i="32"/>
  <c r="D13" i="32"/>
  <c r="G13" i="8"/>
  <c r="D13" i="8"/>
  <c r="G32" i="31"/>
  <c r="O26" i="31"/>
  <c r="E26" i="31"/>
  <c r="P22" i="31"/>
  <c r="G22" i="31"/>
  <c r="G32" i="3"/>
  <c r="O26" i="3"/>
  <c r="E26" i="3"/>
  <c r="P22" i="3"/>
  <c r="G22" i="3"/>
  <c r="B32" i="30"/>
  <c r="A29" i="30"/>
  <c r="R13" i="30"/>
  <c r="J13" i="30"/>
  <c r="B32" i="2"/>
  <c r="A29" i="2"/>
  <c r="R13" i="2"/>
  <c r="J13" i="2"/>
  <c r="A86" i="47"/>
  <c r="T80" i="47"/>
  <c r="C80" i="47"/>
  <c r="Z79" i="47"/>
  <c r="A78" i="47"/>
  <c r="O77" i="47"/>
  <c r="A77" i="47"/>
  <c r="A73" i="47"/>
  <c r="AB68" i="47"/>
  <c r="U68" i="47"/>
  <c r="P68" i="47"/>
  <c r="A68" i="47"/>
  <c r="AB65" i="47"/>
  <c r="L65" i="47"/>
  <c r="C65" i="47"/>
  <c r="A63" i="47"/>
  <c r="A61" i="47"/>
  <c r="AB56" i="47"/>
  <c r="S56" i="47"/>
  <c r="H56" i="47"/>
  <c r="C56" i="47"/>
  <c r="A56" i="47"/>
  <c r="AB55" i="47"/>
  <c r="S55" i="47"/>
  <c r="H55" i="47"/>
  <c r="C55" i="47"/>
  <c r="A55" i="47"/>
  <c r="AB54" i="47"/>
  <c r="S54" i="47"/>
  <c r="H54" i="47"/>
  <c r="C54" i="47"/>
  <c r="A54" i="47"/>
  <c r="AB53" i="47"/>
  <c r="S53" i="47"/>
  <c r="H53" i="47"/>
  <c r="C53" i="47"/>
  <c r="A53" i="47"/>
  <c r="AB52" i="47"/>
  <c r="S52" i="47"/>
  <c r="H52" i="47"/>
  <c r="C52" i="47"/>
  <c r="A52" i="47"/>
  <c r="V45" i="47"/>
  <c r="C43" i="47"/>
  <c r="A41" i="47"/>
  <c r="A40" i="47"/>
  <c r="Y34" i="47"/>
  <c r="I34" i="47"/>
  <c r="A34" i="47"/>
  <c r="M29" i="47"/>
  <c r="V27" i="47"/>
  <c r="M27" i="47"/>
  <c r="G27" i="47"/>
  <c r="AB23" i="47"/>
  <c r="V23" i="47"/>
  <c r="P23" i="47"/>
  <c r="A23" i="47"/>
  <c r="AB20" i="47"/>
  <c r="L20" i="47"/>
  <c r="C20" i="47"/>
  <c r="O18" i="47"/>
  <c r="B18" i="47"/>
  <c r="AC15" i="47"/>
  <c r="V15" i="47"/>
  <c r="G15" i="47"/>
  <c r="I14" i="47"/>
  <c r="R13" i="47"/>
  <c r="I13" i="47"/>
  <c r="I12" i="47"/>
  <c r="W11" i="47"/>
  <c r="N11" i="47"/>
  <c r="A86" i="15"/>
  <c r="T80" i="15"/>
  <c r="C80" i="15"/>
  <c r="Z79" i="15"/>
  <c r="A78" i="15"/>
  <c r="O77" i="15"/>
  <c r="A77" i="15"/>
  <c r="A73" i="15"/>
  <c r="AB68" i="15"/>
  <c r="U68" i="15"/>
  <c r="P68" i="15"/>
  <c r="A68" i="15"/>
  <c r="AB65" i="15"/>
  <c r="AA18" i="30" s="1"/>
  <c r="L65" i="15"/>
  <c r="C65" i="15"/>
  <c r="A63" i="15"/>
  <c r="A61" i="15"/>
  <c r="AB56" i="15"/>
  <c r="S56" i="15"/>
  <c r="H56" i="15"/>
  <c r="C56" i="15"/>
  <c r="A56" i="15"/>
  <c r="AB55" i="15"/>
  <c r="S55" i="15"/>
  <c r="H55" i="15"/>
  <c r="C55" i="15"/>
  <c r="A55" i="15"/>
  <c r="AB54" i="15"/>
  <c r="S54" i="15"/>
  <c r="H54" i="15"/>
  <c r="C54" i="15"/>
  <c r="A54" i="15"/>
  <c r="AB53" i="15"/>
  <c r="S53" i="15"/>
  <c r="H53" i="15"/>
  <c r="C53" i="15"/>
  <c r="A53" i="15"/>
  <c r="AB52" i="15"/>
  <c r="S52" i="15"/>
  <c r="H52" i="15"/>
  <c r="C52" i="15"/>
  <c r="A52" i="15"/>
  <c r="V45" i="15"/>
  <c r="C43" i="15"/>
  <c r="A41" i="15"/>
  <c r="A40" i="15"/>
  <c r="Y34" i="15"/>
  <c r="I34" i="15"/>
  <c r="A34" i="15"/>
  <c r="M29" i="15"/>
  <c r="V27" i="15"/>
  <c r="M27" i="15"/>
  <c r="G27" i="15"/>
  <c r="AB23" i="15"/>
  <c r="V23" i="15"/>
  <c r="P23" i="15"/>
  <c r="A23" i="15"/>
  <c r="AB20" i="15"/>
  <c r="L20" i="15"/>
  <c r="C20" i="15"/>
  <c r="O18" i="15"/>
  <c r="B18" i="15"/>
  <c r="AC15" i="15"/>
  <c r="V15" i="15"/>
  <c r="G15" i="15"/>
  <c r="I14" i="15"/>
  <c r="R13" i="15"/>
  <c r="I13" i="15"/>
  <c r="I12" i="15"/>
  <c r="W11" i="15"/>
  <c r="N11" i="15"/>
  <c r="A93" i="15"/>
  <c r="B25" i="46"/>
  <c r="B24" i="46"/>
  <c r="B23" i="46"/>
  <c r="B22" i="46"/>
  <c r="B21" i="46"/>
  <c r="B15" i="46"/>
  <c r="B14" i="46"/>
  <c r="B13" i="46"/>
  <c r="B12" i="46"/>
  <c r="B11" i="46"/>
  <c r="B7" i="46"/>
  <c r="A418" i="48"/>
  <c r="A417" i="48"/>
  <c r="A416" i="48"/>
  <c r="A415" i="48"/>
  <c r="A414" i="48"/>
  <c r="A413" i="48"/>
  <c r="A412" i="48"/>
  <c r="A411" i="48"/>
  <c r="A410" i="48"/>
  <c r="A409" i="48"/>
  <c r="A408" i="48"/>
  <c r="A407" i="48"/>
  <c r="A406" i="48"/>
  <c r="A405" i="48"/>
  <c r="A404" i="48"/>
  <c r="A403" i="48"/>
  <c r="A402" i="48"/>
  <c r="A401" i="48"/>
  <c r="A400" i="48"/>
  <c r="A399" i="48"/>
  <c r="A398" i="48"/>
  <c r="A397" i="48"/>
  <c r="A396" i="48"/>
  <c r="A395" i="48"/>
  <c r="A394" i="48"/>
  <c r="A393" i="48"/>
  <c r="A392" i="48"/>
  <c r="A391" i="48"/>
  <c r="A390" i="48"/>
  <c r="A389" i="48"/>
  <c r="A388" i="48"/>
  <c r="A387" i="48"/>
  <c r="A386" i="48"/>
  <c r="A385" i="48"/>
  <c r="A384" i="48"/>
  <c r="A383" i="48"/>
  <c r="A382" i="48"/>
  <c r="A381" i="48"/>
  <c r="A380" i="48"/>
  <c r="A379" i="48"/>
  <c r="A378" i="48"/>
  <c r="A377" i="48"/>
  <c r="A376" i="48"/>
  <c r="A375" i="48"/>
  <c r="A374" i="48"/>
  <c r="A373" i="48"/>
  <c r="A372" i="48"/>
  <c r="A371" i="48"/>
  <c r="A370" i="48"/>
  <c r="A369" i="48"/>
  <c r="A368" i="48"/>
  <c r="A367" i="48"/>
  <c r="A366" i="48"/>
  <c r="A365" i="48"/>
  <c r="A364" i="48"/>
  <c r="A363" i="48"/>
  <c r="A362" i="48"/>
  <c r="A361" i="48"/>
  <c r="A360" i="48"/>
  <c r="A359" i="48"/>
  <c r="A358" i="48"/>
  <c r="A357" i="48"/>
  <c r="A356" i="48"/>
  <c r="A355" i="48"/>
  <c r="A354" i="48"/>
  <c r="A353" i="48"/>
  <c r="A352" i="48"/>
  <c r="A351" i="48"/>
  <c r="A350" i="48"/>
  <c r="A349" i="48"/>
  <c r="A348" i="48"/>
  <c r="A347" i="48"/>
  <c r="A346" i="48"/>
  <c r="A345" i="48"/>
  <c r="A344" i="48"/>
  <c r="A343" i="48"/>
  <c r="A342" i="48"/>
  <c r="A341" i="48"/>
  <c r="A340" i="48"/>
  <c r="A339" i="48"/>
  <c r="A338" i="48"/>
  <c r="A337" i="48"/>
  <c r="A336" i="48"/>
  <c r="A335" i="48"/>
  <c r="A334" i="48"/>
  <c r="A333" i="48"/>
  <c r="A332" i="48"/>
  <c r="A331" i="48"/>
  <c r="A330" i="48"/>
  <c r="A329" i="48"/>
  <c r="A328" i="48"/>
  <c r="A327" i="48"/>
  <c r="A326" i="48"/>
  <c r="A325" i="48"/>
  <c r="A324" i="48"/>
  <c r="A323" i="48"/>
  <c r="A322" i="48"/>
  <c r="A321" i="48"/>
  <c r="A320" i="48"/>
  <c r="A319" i="48"/>
  <c r="A318" i="48"/>
  <c r="A317" i="48"/>
  <c r="A316" i="48"/>
  <c r="A315" i="48"/>
  <c r="A314" i="48"/>
  <c r="A313" i="48"/>
  <c r="A312" i="48"/>
  <c r="A311" i="48"/>
  <c r="A310" i="48"/>
  <c r="A309" i="48"/>
  <c r="A308" i="48"/>
  <c r="A307" i="48"/>
  <c r="A306" i="48"/>
  <c r="A305" i="48"/>
  <c r="A304" i="48"/>
  <c r="A303" i="48"/>
  <c r="A302" i="48"/>
  <c r="A301" i="48"/>
  <c r="A300" i="48"/>
  <c r="A299" i="48"/>
  <c r="A298" i="48"/>
  <c r="A297" i="48"/>
  <c r="A296" i="48"/>
  <c r="A295" i="48"/>
  <c r="A294" i="48"/>
  <c r="A293" i="48"/>
  <c r="A292" i="48"/>
  <c r="A291" i="48"/>
  <c r="A290" i="48"/>
  <c r="A289" i="48"/>
  <c r="A288" i="48"/>
  <c r="A287" i="48"/>
  <c r="A286" i="48"/>
  <c r="A285" i="48"/>
  <c r="A284" i="48"/>
  <c r="A283" i="48"/>
  <c r="A282" i="48"/>
  <c r="A281" i="48"/>
  <c r="A280" i="48"/>
  <c r="A279" i="48"/>
  <c r="A278" i="48"/>
  <c r="A277" i="48"/>
  <c r="A276" i="48"/>
  <c r="A275" i="48"/>
  <c r="A274" i="48"/>
  <c r="A273" i="48"/>
  <c r="A272" i="48"/>
  <c r="A271" i="48"/>
  <c r="A270" i="48"/>
  <c r="A269" i="48"/>
  <c r="A268" i="48"/>
  <c r="A267" i="48"/>
  <c r="A266" i="48"/>
  <c r="A265" i="48"/>
  <c r="A264" i="48"/>
  <c r="A263" i="48"/>
  <c r="A262" i="48"/>
  <c r="A261" i="48"/>
  <c r="A260" i="48"/>
  <c r="A259" i="48"/>
  <c r="A258" i="48"/>
  <c r="A257" i="48"/>
  <c r="A256" i="48"/>
  <c r="A255" i="48"/>
  <c r="A254" i="48"/>
  <c r="A253" i="48"/>
  <c r="A252" i="48"/>
  <c r="A251" i="48"/>
  <c r="A250" i="48"/>
  <c r="A249" i="48"/>
  <c r="A248" i="48"/>
  <c r="A247" i="48"/>
  <c r="A246" i="48"/>
  <c r="A245" i="48"/>
  <c r="A244" i="48"/>
  <c r="A243" i="48"/>
  <c r="A242" i="48"/>
  <c r="A241" i="48"/>
  <c r="A240" i="48"/>
  <c r="A239" i="48"/>
  <c r="A238" i="48"/>
  <c r="A237" i="48"/>
  <c r="A236" i="48"/>
  <c r="A235" i="48"/>
  <c r="A234" i="48"/>
  <c r="A233" i="48"/>
  <c r="A232" i="48"/>
  <c r="A231" i="48"/>
  <c r="A230" i="48"/>
  <c r="A229" i="48"/>
  <c r="A228" i="48"/>
  <c r="A227" i="48"/>
  <c r="A226" i="48"/>
  <c r="A225" i="48"/>
  <c r="A224" i="48"/>
  <c r="A223" i="48"/>
  <c r="A222" i="48"/>
  <c r="A221" i="48"/>
  <c r="A220" i="48"/>
  <c r="A219" i="48"/>
  <c r="A218" i="48"/>
  <c r="A217" i="48"/>
  <c r="A216" i="48"/>
  <c r="A215" i="48"/>
  <c r="A214" i="48"/>
  <c r="A213" i="48"/>
  <c r="A212" i="48"/>
  <c r="A211" i="48"/>
  <c r="A210" i="48"/>
  <c r="A209" i="48"/>
  <c r="A208" i="48"/>
  <c r="A207" i="48"/>
  <c r="A206" i="48"/>
  <c r="A205" i="48"/>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A5" i="48"/>
  <c r="A4" i="48"/>
  <c r="A3" i="48"/>
  <c r="A2" i="48"/>
  <c r="I86" i="28"/>
  <c r="F75" i="28"/>
  <c r="I84" i="28"/>
  <c r="I83" i="28"/>
  <c r="I85" i="28"/>
  <c r="I87" i="28"/>
  <c r="F75" i="18"/>
  <c r="B24" i="38"/>
  <c r="B24" i="16"/>
  <c r="Q20" i="30" l="1"/>
  <c r="R41" i="40"/>
  <c r="T39" i="24"/>
  <c r="P37" i="39"/>
  <c r="P37" i="23"/>
  <c r="Q28" i="38"/>
  <c r="C22" i="9"/>
  <c r="C22" i="37"/>
  <c r="G57" i="36"/>
  <c r="G57" i="4"/>
  <c r="G62" i="35"/>
  <c r="G39" i="33"/>
  <c r="G39" i="13"/>
  <c r="C29" i="32"/>
  <c r="C29" i="8"/>
  <c r="G64" i="31"/>
  <c r="G64" i="3"/>
  <c r="Q28" i="16"/>
  <c r="G62" i="7"/>
  <c r="C39" i="34"/>
  <c r="C32" i="34"/>
  <c r="C39" i="6"/>
  <c r="C32" i="6"/>
  <c r="G43" i="30"/>
  <c r="C93" i="15"/>
  <c r="G43" i="2"/>
  <c r="C93" i="47"/>
  <c r="F94" i="28"/>
  <c r="B12" i="36"/>
  <c r="B12" i="4"/>
  <c r="O15" i="35"/>
  <c r="O15" i="7"/>
  <c r="P17" i="35"/>
  <c r="Q24" i="31"/>
  <c r="P14" i="36"/>
  <c r="P14" i="4"/>
  <c r="P17" i="7"/>
  <c r="B19" i="7"/>
  <c r="A11" i="31"/>
  <c r="B17" i="36"/>
  <c r="B17" i="4"/>
  <c r="B19" i="35"/>
  <c r="P26" i="35"/>
  <c r="P23" i="36"/>
  <c r="P23" i="4"/>
  <c r="P26" i="7"/>
  <c r="C10" i="40"/>
  <c r="C10" i="24"/>
  <c r="C10" i="39"/>
  <c r="C10" i="23"/>
  <c r="C10" i="16"/>
  <c r="C10" i="38"/>
  <c r="F18" i="30"/>
  <c r="L10" i="38"/>
  <c r="L10" i="40"/>
  <c r="L10" i="24"/>
  <c r="L10" i="39"/>
  <c r="L10" i="23"/>
  <c r="L10" i="16"/>
  <c r="C20" i="30"/>
  <c r="C20" i="2"/>
  <c r="X18" i="2"/>
  <c r="AC18" i="2"/>
  <c r="A11" i="3"/>
  <c r="O28" i="16"/>
  <c r="A62" i="7"/>
  <c r="A39" i="34"/>
  <c r="A32" i="34"/>
  <c r="A57" i="6"/>
  <c r="A39" i="6"/>
  <c r="A32" i="6"/>
  <c r="P41" i="40"/>
  <c r="R39" i="24"/>
  <c r="N37" i="39"/>
  <c r="N37" i="23"/>
  <c r="O28" i="38"/>
  <c r="A22" i="9"/>
  <c r="A22" i="37"/>
  <c r="A57" i="36"/>
  <c r="A57" i="4"/>
  <c r="A62" i="35"/>
  <c r="A39" i="33"/>
  <c r="A39" i="13"/>
  <c r="A29" i="32"/>
  <c r="A29" i="8"/>
  <c r="A64" i="31"/>
  <c r="A64" i="3"/>
  <c r="A43" i="30"/>
  <c r="A43" i="2"/>
  <c r="D94" i="28"/>
  <c r="B15" i="7"/>
  <c r="O12" i="36"/>
  <c r="O12" i="4"/>
  <c r="B15" i="35"/>
  <c r="D14" i="36"/>
  <c r="D14" i="4"/>
  <c r="D17" i="7"/>
  <c r="D17" i="35"/>
  <c r="F24" i="31"/>
  <c r="F24" i="3"/>
  <c r="B16" i="36"/>
  <c r="B16" i="4"/>
  <c r="B20" i="35"/>
  <c r="B15" i="33"/>
  <c r="B15" i="13"/>
  <c r="B20" i="7"/>
  <c r="A8" i="31"/>
  <c r="A8" i="3"/>
  <c r="B23" i="36"/>
  <c r="B23" i="4"/>
  <c r="B26" i="7"/>
  <c r="B26" i="35"/>
  <c r="AB18" i="30"/>
  <c r="Y18" i="30"/>
  <c r="AB18" i="2"/>
  <c r="Y18" i="2"/>
  <c r="Q10" i="40"/>
  <c r="Q10" i="24"/>
  <c r="Q10" i="39"/>
  <c r="Q10" i="23"/>
  <c r="Q10" i="16"/>
  <c r="Q10" i="38"/>
  <c r="A93" i="47"/>
  <c r="F18" i="2"/>
  <c r="AA18" i="2"/>
  <c r="Q20" i="2"/>
  <c r="X18" i="30"/>
  <c r="AC18" i="30"/>
  <c r="Q24" i="3"/>
  <c r="F47" i="18"/>
  <c r="A57" i="34" l="1"/>
  <c r="H42" i="35"/>
  <c r="O24" i="35"/>
  <c r="O21" i="36"/>
  <c r="O21" i="4"/>
  <c r="H42" i="7"/>
  <c r="O24" i="7"/>
  <c r="P30" i="31"/>
  <c r="D28" i="31"/>
  <c r="P30" i="3"/>
  <c r="D28" i="3"/>
  <c r="E21" i="36"/>
  <c r="E21" i="4"/>
  <c r="E24" i="7"/>
  <c r="I30" i="31"/>
  <c r="E24" i="35"/>
  <c r="I30" i="3"/>
  <c r="F24" i="35"/>
  <c r="F21" i="36"/>
  <c r="F21" i="4"/>
  <c r="F24" i="7"/>
  <c r="J30" i="31"/>
  <c r="J30" i="3"/>
  <c r="G21" i="36"/>
  <c r="G21" i="4"/>
  <c r="G24" i="7"/>
  <c r="K30" i="31"/>
  <c r="G24" i="35"/>
  <c r="K30" i="3"/>
  <c r="K28" i="31"/>
  <c r="K28" i="3"/>
  <c r="Q28" i="31"/>
  <c r="Q28" i="3"/>
  <c r="C24" i="35"/>
  <c r="C21" i="36"/>
  <c r="C21" i="4"/>
  <c r="C24" i="7"/>
  <c r="G30" i="31"/>
  <c r="G30" i="3"/>
  <c r="S32" i="31"/>
  <c r="S32" i="3"/>
  <c r="B21" i="36"/>
  <c r="B21" i="4"/>
  <c r="B24" i="7"/>
  <c r="F30" i="31"/>
  <c r="B24" i="35"/>
  <c r="F30" i="3"/>
</calcChain>
</file>

<file path=xl/sharedStrings.xml><?xml version="1.0" encoding="utf-8"?>
<sst xmlns="http://schemas.openxmlformats.org/spreadsheetml/2006/main" count="2777" uniqueCount="2407">
  <si>
    <t>a)</t>
  </si>
  <si>
    <t>b)</t>
  </si>
  <si>
    <t>c)</t>
  </si>
  <si>
    <t>d)</t>
  </si>
  <si>
    <t>wydanym przez</t>
  </si>
  <si>
    <t>Oświadczenie pracownika</t>
  </si>
  <si>
    <t xml:space="preserve">(miejscowość i data) </t>
  </si>
  <si>
    <t>(podpis osoby składającej kwestionariusz)</t>
  </si>
  <si>
    <t>Ulica:</t>
  </si>
  <si>
    <t>Kod:</t>
  </si>
  <si>
    <t>Niniejszym wskazuję płatnika</t>
  </si>
  <si>
    <t>jako właściwego do przekazywania mojego wynagrodzenia za pracę na konto bankowe:</t>
  </si>
  <si>
    <t>(nazwa banku)</t>
  </si>
  <si>
    <t>-</t>
  </si>
  <si>
    <t>(nazwa zakladu pracy)</t>
  </si>
  <si>
    <t>(numer konta)</t>
  </si>
  <si>
    <t>POUCZENIE:</t>
  </si>
  <si>
    <t>numer NIP podatnika</t>
  </si>
  <si>
    <t>pracownika</t>
  </si>
  <si>
    <t>Podstawa prawna: Art. 32 ust 3 ustawy z dnia 26 lica 1991 r. o podatku dochodowym od osób fizycznych</t>
  </si>
  <si>
    <t>(Dz.U. z 2000. Nr 14, poz. 176, z późn.zm.), zwanej dalej "Ustawą"</t>
  </si>
  <si>
    <t>OŚWIADCZENIE</t>
  </si>
  <si>
    <t>dla celów obliczania miesięcznych zaliczek na podatek dochodowy od osób fizycznych</t>
  </si>
  <si>
    <t>A. DANE IDENTYFIKACYJNE I ADRES ZAMIESZKANIA PODATNIKA</t>
  </si>
  <si>
    <t>Data urodzenia:</t>
  </si>
  <si>
    <t xml:space="preserve">Miejsce urodzenia: </t>
  </si>
  <si>
    <t>Województwo:</t>
  </si>
  <si>
    <t>Powiat:</t>
  </si>
  <si>
    <t>Gmina:</t>
  </si>
  <si>
    <t>Kod pocztowy:</t>
  </si>
  <si>
    <t>Miejscowość:</t>
  </si>
  <si>
    <t xml:space="preserve">Niniejszym określam płatnika </t>
  </si>
  <si>
    <t>jako właściwego do zmniejszania miesięcznej zaliczki na podatek dochodowy o kwotę stanowiącą 1/12 kwoty</t>
  </si>
  <si>
    <t>zmniejszającej podatek, określonej w pierwszym przedziale obowiązującej skali podatkowej, gdyż:</t>
  </si>
  <si>
    <t>nie osiągam dochodów z tytułu członkowstwa w spółdzielni produkcyjnej lub innej spółdzielni zajmującej się</t>
  </si>
  <si>
    <t>produkcją rolną</t>
  </si>
  <si>
    <t>podstawie art. 44 ust. 3 ustawy, tj. dochodów:</t>
  </si>
  <si>
    <t>Oświadczenie należy złoźyć przed pierwszą wypłatą wynagrodzenia w roku podatkowym</t>
  </si>
  <si>
    <t>Odpowiedzialność karna skarbowa za podanie danych niezgodnych z prawdą jest mi znana.</t>
  </si>
  <si>
    <t>Jednocześnie oświadczam, iż o zmianach w stosunku do stanu faktycznego wynikającego z oświadczenia zawiadomię</t>
  </si>
  <si>
    <t>Objaśnienia:</t>
  </si>
  <si>
    <t>(miejscowość i data)</t>
  </si>
  <si>
    <t>(imię i nazwisko pracownika)</t>
  </si>
  <si>
    <t>(podpis pracownika)</t>
  </si>
  <si>
    <t>IMIĘ I NAZWISKO DZIECKA</t>
  </si>
  <si>
    <t>DATA URODZENIA DZIECKA</t>
  </si>
  <si>
    <t>Jestem rodzicem  lub opiekunem dzieci (proszę podać imię i nazwisko dziecka oraz jego datę urodzenia):</t>
  </si>
  <si>
    <t>LP.</t>
  </si>
  <si>
    <t>Nazwisko i imię:</t>
  </si>
  <si>
    <t>Imię ojca:</t>
  </si>
  <si>
    <t>Imię matki:</t>
  </si>
  <si>
    <t>Miejsce urodzenia:</t>
  </si>
  <si>
    <t>Nr NIP</t>
  </si>
  <si>
    <t>Miejsce zamieszkania:</t>
  </si>
  <si>
    <t>OŚWIADCZENIE PRACOWNIKA</t>
  </si>
  <si>
    <t>dla celów ulgowego obliczania miesięcznych zaliczek na podatek dochodowy od</t>
  </si>
  <si>
    <t>dochodowym od osób fizycznych - Dz. U. z 2000 r. Nr 14, poz. 176 z późn. zm)</t>
  </si>
  <si>
    <t xml:space="preserve">Niniejszym proszę płatnika </t>
  </si>
  <si>
    <t>(nazwa zakładu pracy)</t>
  </si>
  <si>
    <t xml:space="preserve">o zastosowanie ulgowego sposobu obliczania zaliczek na podatek dochodowy od osób fizycznych, określonego </t>
  </si>
  <si>
    <t>w art. 32 ust. 1a ustawy, gdyż:</t>
  </si>
  <si>
    <t>1.</t>
  </si>
  <si>
    <t>2.</t>
  </si>
  <si>
    <t>(wpisać kwotę)</t>
  </si>
  <si>
    <t>Stwierdzam, że powyższe dane podałem (am) zgodnie ze stanem faktycznym. Jestem świadomy (a) obowiązku</t>
  </si>
  <si>
    <t>poinformowania zakładu pracy o zmianie stanu upoważniającego do obniżenia zaliczek lub utraty możliwości</t>
  </si>
  <si>
    <t xml:space="preserve">opodatkowania dochodów z małżonkiem. </t>
  </si>
  <si>
    <t>dla celów stosowania podwyższonych kosztów uzyskania  przychodów</t>
  </si>
  <si>
    <t xml:space="preserve">(art. 32 ust. 5 ustawy z dnia 26 lipca 1991 r. o podatku dochodowym od osób fizycznych - </t>
  </si>
  <si>
    <t>Niniejszym proszę płatnika</t>
  </si>
  <si>
    <t>o odliczenie podwyższonych kosztów uzyskania przychodów, gdyż:</t>
  </si>
  <si>
    <t xml:space="preserve">zamieszkuję w </t>
  </si>
  <si>
    <t>tj. poza miejscowością, w której</t>
  </si>
  <si>
    <t>znajduje się zakład pracy,</t>
  </si>
  <si>
    <t>nie otrzymuję dodatku za rozłąkę.</t>
  </si>
  <si>
    <t>Stwierdzam, że powyższe dane podałem (am) zgodnie ze stanem faktycznym.</t>
  </si>
  <si>
    <t>Imię i nazwisko</t>
  </si>
  <si>
    <t>PESEL</t>
  </si>
  <si>
    <t>NIP</t>
  </si>
  <si>
    <t>(Imię i nazwisko pracownika)</t>
  </si>
  <si>
    <t>podpis pracownika</t>
  </si>
  <si>
    <t>Imię i nazwisko pracownika:</t>
  </si>
  <si>
    <t>NIP:</t>
  </si>
  <si>
    <t>OŚWIADCZENIE ZUS</t>
  </si>
  <si>
    <t>* niewłaściwe skreślić</t>
  </si>
  <si>
    <t>moje przychody brutto, od których naliczono</t>
  </si>
  <si>
    <t xml:space="preserve">i odprowadzono składki emerytalne i rentowe wyniosły: </t>
  </si>
  <si>
    <t>zł</t>
  </si>
  <si>
    <t>miejscowość</t>
  </si>
  <si>
    <t>wyższe</t>
  </si>
  <si>
    <t>Zawód</t>
  </si>
  <si>
    <t>Specjalność</t>
  </si>
  <si>
    <t>Kursy</t>
  </si>
  <si>
    <t>Studia podyplomowe</t>
  </si>
  <si>
    <t>od</t>
  </si>
  <si>
    <t>do</t>
  </si>
  <si>
    <t>Nazwa pracodawcy</t>
  </si>
  <si>
    <t>Stanowisko</t>
  </si>
  <si>
    <t>okres</t>
  </si>
  <si>
    <t>Wyrażam zgodę na przetwarzanie moich danych osobowych – obecnie i w przyszłości – w celach zatrudnieniowych, płacowych, ubezpieczeniowych,</t>
  </si>
  <si>
    <t xml:space="preserve">Niniejszy kwestionariusz podlega ochronie danych osobowych według przepisów ustawy z dnia 29 sierpnia 1997 r. (Dz. U. Nr 101 z 2002 r., </t>
  </si>
  <si>
    <t>Znajomość języków obcych:</t>
  </si>
  <si>
    <t>Inne umiejętności:</t>
  </si>
  <si>
    <t>- łącznie z małżonkiem</t>
  </si>
  <si>
    <t>DZIAŁ PERSONALNY</t>
  </si>
  <si>
    <t xml:space="preserve">ZGODA PRACOWNIKA NA PRZEKAZYWANIE
WYNAGRODZENIA NA KONTO BANKOWE
</t>
  </si>
  <si>
    <t xml:space="preserve">PIT - 2 </t>
  </si>
  <si>
    <t xml:space="preserve">Branżowa Kasa Chorych dla Służb Mundurowych </t>
  </si>
  <si>
    <t xml:space="preserve">Dolnośląska Kasa Chorych </t>
  </si>
  <si>
    <t xml:space="preserve">Kujawsko - Pomorska Kasa Chorych </t>
  </si>
  <si>
    <t xml:space="preserve">Lubelska Kasa Chorych </t>
  </si>
  <si>
    <t xml:space="preserve">Lubuska Kasa Chorych </t>
  </si>
  <si>
    <t xml:space="preserve">Łódzka Kasa Chorych </t>
  </si>
  <si>
    <t xml:space="preserve">Małopolska Regionalna Kasa Chorych </t>
  </si>
  <si>
    <t xml:space="preserve">Mazowiecka Kasa Chorych </t>
  </si>
  <si>
    <t xml:space="preserve">Opolska Regionalna Kasa Chorych </t>
  </si>
  <si>
    <t xml:space="preserve">Podlaska Regionalna Kasa Chorych </t>
  </si>
  <si>
    <t xml:space="preserve">Pomorska Kasa Chorych </t>
  </si>
  <si>
    <t xml:space="preserve">Śląska Regionalna Kasa Chorych </t>
  </si>
  <si>
    <t xml:space="preserve">Świętokrzyska Regionalna Kasa Chorych </t>
  </si>
  <si>
    <t xml:space="preserve">Warmińsko-Mazurska Regionalna Kasa Chorych </t>
  </si>
  <si>
    <t xml:space="preserve">Wielkopolska Kasa Chorych </t>
  </si>
  <si>
    <t>Zachodniopomorska Kasa Chorych</t>
  </si>
  <si>
    <t>Podkarpacka Kasa Chorych</t>
  </si>
  <si>
    <r>
      <t xml:space="preserve">10. </t>
    </r>
    <r>
      <rPr>
        <b/>
        <sz val="10"/>
        <rFont val="Tahoma"/>
        <family val="2"/>
        <charset val="238"/>
      </rPr>
      <t>Przebieg dotychczasowego zatrudnienia (i okresy pobierania zasiłku dla bezrobotnych)</t>
    </r>
  </si>
  <si>
    <r>
      <t xml:space="preserve">11. </t>
    </r>
    <r>
      <rPr>
        <b/>
        <sz val="10"/>
        <rFont val="Tahoma"/>
        <family val="2"/>
        <charset val="238"/>
      </rPr>
      <t>Dodatkowe uprawnienia, umiejętności, zainteresowania</t>
    </r>
  </si>
  <si>
    <t>Urząd Skarbowy w:</t>
  </si>
  <si>
    <t xml:space="preserve">nie osiągam dochodów, od których jestem zobowiązany/a wpłacać w ciągu roku podatkowego zaliczki na </t>
  </si>
  <si>
    <t>z najmu lub dzierżawy,</t>
  </si>
  <si>
    <t>za dodatkową, prywatną opiekę medyczną dla mojej rodziny / partnera.</t>
  </si>
  <si>
    <t xml:space="preserve">Niniejszym wyrażam zgodę na comiesięczne potrącanie z mojej pensji netto, </t>
  </si>
  <si>
    <t>ZGODA NA POTRĄCENIE Z WYNAGRODZENIA</t>
  </si>
  <si>
    <t xml:space="preserve">Imię i nazwisko pracownika: </t>
  </si>
  <si>
    <t xml:space="preserve">Adres: </t>
  </si>
  <si>
    <t>ulica, nr domu</t>
  </si>
  <si>
    <t>kwoty</t>
  </si>
  <si>
    <t xml:space="preserve">złotych, słownie:  </t>
  </si>
  <si>
    <t xml:space="preserve">podpis pracownika </t>
  </si>
  <si>
    <t>Bardzo proszę o uzupełnienie swoich danych personalnych w komórkach zaznaczonych kolorem</t>
  </si>
  <si>
    <t xml:space="preserve">niebieskim.  Dziękuję. </t>
  </si>
  <si>
    <t xml:space="preserve">Imię </t>
  </si>
  <si>
    <t>Nazwisko</t>
  </si>
  <si>
    <t>Nazwisko rodowe</t>
  </si>
  <si>
    <t>Miejsce urodzenia</t>
  </si>
  <si>
    <t>Obywatelstwo</t>
  </si>
  <si>
    <t>Pesel</t>
  </si>
  <si>
    <t>Imię Matki</t>
  </si>
  <si>
    <t>Imię Ojca</t>
  </si>
  <si>
    <t>Nazwisko rodowe Matki</t>
  </si>
  <si>
    <t>Miejsce zameldowania:</t>
  </si>
  <si>
    <t xml:space="preserve">ulica </t>
  </si>
  <si>
    <t xml:space="preserve">miejscowość </t>
  </si>
  <si>
    <t xml:space="preserve">gmina </t>
  </si>
  <si>
    <t xml:space="preserve">powiat </t>
  </si>
  <si>
    <t>województwo</t>
  </si>
  <si>
    <t>Miejsce zamieszkania, jeśli inne niż zameldowania:</t>
  </si>
  <si>
    <t xml:space="preserve">Rachunek bankowy </t>
  </si>
  <si>
    <t xml:space="preserve">Nazwa banku </t>
  </si>
  <si>
    <t xml:space="preserve">Nr rachunku bankowego </t>
  </si>
  <si>
    <t>Wykształcenie:</t>
  </si>
  <si>
    <t>średnie ogólnokształcące</t>
  </si>
  <si>
    <t>Nazwa szkoły i rok jej ukończenia:</t>
  </si>
  <si>
    <t>Tytuł naukowy - zawodowy</t>
  </si>
  <si>
    <t>Wykształcenie uzupełniające</t>
  </si>
  <si>
    <t xml:space="preserve">data ukończenia lub rozpoczęcia nauki </t>
  </si>
  <si>
    <t>(w przypadku jej trwania)</t>
  </si>
  <si>
    <t>Stan rodzinny:</t>
  </si>
  <si>
    <t>Osoba, którą należy zawiadomić w razie wypadku:</t>
  </si>
  <si>
    <t xml:space="preserve">Adres </t>
  </si>
  <si>
    <t>Telefon</t>
  </si>
  <si>
    <t>stanowisko</t>
  </si>
  <si>
    <t>Dodatkowe uprawnienia, umiejętności, zainteresowania</t>
  </si>
  <si>
    <t>Znajomość języków obcych</t>
  </si>
  <si>
    <t>Inne</t>
  </si>
  <si>
    <t xml:space="preserve">średnie techniczne </t>
  </si>
  <si>
    <t>seria i numer</t>
  </si>
  <si>
    <t>Adres do korespondencji - jeśli inny niż zameldowania lub zamieszkania</t>
  </si>
  <si>
    <t>Nr domu/mieszkania:</t>
  </si>
  <si>
    <t>Nr :</t>
  </si>
  <si>
    <t>Oddział NFZ</t>
  </si>
  <si>
    <t xml:space="preserve">PRZYNALEŻNOŚĆ DO ODDZIAŁU NFZ: </t>
  </si>
  <si>
    <t xml:space="preserve">Zgodnie z Ustawą o systemie ubezpieczeń społecznych z dnia 13.10.1998, nowelizacja z dnia 23.12.1999r. </t>
  </si>
  <si>
    <t>Jednocześnie oświadczam, że dane zawarte w tym formularzu są zgodne ze stanem faktycznym.</t>
  </si>
  <si>
    <t>Pracownik jest zobowiązany zawiadomić zakład pracy o zmianach w stosunku do stanu poprzedniego do 20-go dnia miesiąca.  Wtedy nowe konto bankowe zostanie uwzglednione w wypłacie za ten miesiąc. Stwierdzam, że powyższe dane podałem/podałam zgodnie ze stanem faktycznym.</t>
  </si>
  <si>
    <t xml:space="preserve">zgodę na pracę ponad 8 godzin na dobę. (art.148 pkt. 3 KP). </t>
  </si>
  <si>
    <t xml:space="preserve">2. Oświadczam, iż sprawując opiekę nad dzieckiem do lat czterech wyrażam (nie wyrażam)* zgodę na: </t>
  </si>
  <si>
    <t xml:space="preserve">• pracę w godzinach nadliczbowych, </t>
  </si>
  <si>
    <t xml:space="preserve">• zatrudnienie w porze nocnej, </t>
  </si>
  <si>
    <t>• zatrudnienie w systemie czasu pracy, o którym mowa w art. 139 KP**  (przerywany czas pracy),</t>
  </si>
  <si>
    <t xml:space="preserve">• na delegowanie poza stałe miejsce pracy (art. 178 § 2 KP). </t>
  </si>
  <si>
    <t xml:space="preserve">3. Oświadczam, że zamierzam (nie zamierzam)* korzystać z uprawnień wynikłych ze sprawowania opieki nad </t>
  </si>
  <si>
    <t xml:space="preserve">dzieckiem  w wieku  do lat czternastu, tj. dwóch dni  płatnego zwolnienia od pracy w ciągu roku (art. 188 KP). </t>
  </si>
  <si>
    <t xml:space="preserve">wskazanego w pkt. 3 oświadczam, iż jestem i będę jedynym rodzicem mojego dziecka korzystającym </t>
  </si>
  <si>
    <t xml:space="preserve">z tych uprawnień. </t>
  </si>
  <si>
    <t>*  niepotrzebne skreślić</t>
  </si>
  <si>
    <t xml:space="preserve">**  jeżeli pracodawca nie spełnia wymogów zastosowania tego systemu przewidzianych </t>
  </si>
  <si>
    <t xml:space="preserve">w art. 139 § 3 i 4 KP punkt ten  można pominąć </t>
  </si>
  <si>
    <t xml:space="preserve">***  wymienić numery punktów w których wybrało się opcję „nie wyrażam”. </t>
  </si>
  <si>
    <r>
      <t>Oświadczam, iż sprawując opiekę nad dzieckiem do lat czterech wyrażam (nie wyrażam)</t>
    </r>
    <r>
      <rPr>
        <vertAlign val="superscript"/>
        <sz val="10"/>
        <rFont val="Tahoma"/>
        <family val="2"/>
        <charset val="238"/>
      </rPr>
      <t>*</t>
    </r>
    <r>
      <rPr>
        <sz val="10"/>
        <rFont val="Tahoma"/>
        <family val="2"/>
        <charset val="238"/>
      </rPr>
      <t xml:space="preserve"> </t>
    </r>
  </si>
  <si>
    <t>Nr PESEL</t>
  </si>
  <si>
    <t>ze stosunku słuzbowego lub umowy o pracę</t>
  </si>
  <si>
    <t>Dz. U. z 1993 r. Nr 90, poz. 416 z późn. zm)</t>
  </si>
  <si>
    <t xml:space="preserve">Jednocześnie oświadczam, iż o zmianach w stosunku do stanu faktycznego wynikającego </t>
  </si>
  <si>
    <t>w którym zaszła zmiana.</t>
  </si>
  <si>
    <t>Miejsce zamieszkania*:</t>
  </si>
  <si>
    <t xml:space="preserve">
Objaśnienia:
</t>
  </si>
  <si>
    <t xml:space="preserve">* wpisuje się miejsce stałego lub czasowego zamieszkania- nie krótszego niż dwa miesiące.
</t>
  </si>
  <si>
    <t>z oświadczenia zawiadomię zakład pracy przed pierwszą wypłatą wynagrodzenia, za miesiąc,</t>
  </si>
  <si>
    <t>numer PESEL podatnika</t>
  </si>
  <si>
    <t>nie otrzymuję emerytury lub renty za pośrednictwem płatnika</t>
  </si>
  <si>
    <t xml:space="preserve">nie otrzymuję świadczeń pieniężnych od organu zatrudnienia lub od biura terenowego Funduszu Gwarantowanych </t>
  </si>
  <si>
    <t>Świadczeń Pracowniczych</t>
  </si>
  <si>
    <t>zakład pracy przed pierwszą wypłatą wynagrodzenia, za miesiąc, w którym zaszła zmiana.</t>
  </si>
  <si>
    <t>Jeżeli podatnik powiadomi zakład pracy o zmianie stanu faktycznego wynikającego z oświadczenia, zakład pracy nie zmniejsza</t>
  </si>
  <si>
    <t>zaliczki w wyżej określony sposób</t>
  </si>
  <si>
    <t>z działalności gospodarczej, o której mowa w art. 14 ustawy,</t>
  </si>
  <si>
    <t>Oświadczenia nie składa się, jeżeli stan faktyczny wynikający z oświadczenia złożonego w latach poprzednich nie uległ zmianie</t>
  </si>
  <si>
    <t>oświadczam, że wszystkie dane osobowe przekazane przeze mnie do firmy</t>
  </si>
  <si>
    <t>są  zgodne ze stanem faktycznym.</t>
  </si>
  <si>
    <t>Jednocześnie zobowiązuję się informować niezwłocznie pracodawcę o wszelkich zmianach,</t>
  </si>
  <si>
    <t>jakie nastąpią w trakcie zatrudnienia.</t>
  </si>
  <si>
    <t xml:space="preserve">czyli mieszczą się w niższym przedziale skali podatkowej </t>
  </si>
  <si>
    <t xml:space="preserve">zamierzam opodatkować dochody: </t>
  </si>
  <si>
    <t>WNIOSEK O ZGŁOSZENIE CZŁONKÓW RODZINY DO UBEZPIECZENIA ZDROWOTNEGO</t>
  </si>
  <si>
    <t>Proszę o zgłoszenie do ubezpieczenia zdrowotnego - NFZ, następujących członków mojej rodziny:</t>
  </si>
  <si>
    <t>Czy członek rodziny pozostaje z pracownikiem we wspólnym gospodarstwie domowym? (wpisać TAK lub NIE)</t>
  </si>
  <si>
    <t>Czy członek rodziny posiada stopień niepełnosprawności? (wpisać TAK lub NIE)</t>
  </si>
  <si>
    <t>INFORMACJA</t>
  </si>
  <si>
    <t>3. wstępnych pozostających z ubezpieczonym we wspólnym, gospodarstwie domowym.</t>
  </si>
  <si>
    <t>- ZUS ZCNA – „Zgłoszenie danych o członkach rodziny dla celów ubezpieczenia zdrowotnego”.</t>
  </si>
  <si>
    <t>2. małżonka,</t>
  </si>
  <si>
    <t>Zgłoszenia członków rodziny płatnik składek dokonuje poprzez złożenie w ZUS formularza:</t>
  </si>
  <si>
    <t>Płatnik składek zgłasza do ubezpieczenia zdrowotnego członków rodziny pracownika pod warunkiem, że stosownego zgłoszenia nie dokonał współmałzonek pracownika.</t>
  </si>
  <si>
    <t xml:space="preserve">Na pracodawcy ciąży obowiązek zgłoszenia do ubezpieczenia zdrowotnego członków rodziny pracownika. </t>
  </si>
  <si>
    <t>1. dziecko własne, dziecko małżonka, dziecko przysposobione, wnuka albo dziecko obce, dla którego ustanowiono opiekę, albo dziecko obce w ramach</t>
  </si>
  <si>
    <t xml:space="preserve"> rodziny zastępczej, do ukończenia przez nie 18 lat, </t>
  </si>
  <si>
    <t>a jeżeli kształci się dalej – do ukończenia 26 lat, natomiast jeżeli posiada orzeczenie o znacznym stopniu niepełnosprawności</t>
  </si>
  <si>
    <t xml:space="preserve"> lub inne traktowane na równi – bez ograniczenia wieku,</t>
  </si>
  <si>
    <t>Pracownik powinien poinformować pracodawcę o członkach rodziny niepodlegających ubezpieczeniu zdrowotnemu z innego tytułu.</t>
  </si>
  <si>
    <t>Za członka rodziny, zgodnie z przepisami ustawy o NFZ, rozumie się następujące osoby niepodlegające temu ubezpieczeniu z innego tytułu, tj.:</t>
  </si>
  <si>
    <t xml:space="preserve">miejscowość, data, podpis pracownika </t>
  </si>
  <si>
    <t>Oświadczenie dot. art. 94 Kodeksu Pracy</t>
  </si>
  <si>
    <r>
      <t xml:space="preserve">Art. 94 </t>
    </r>
    <r>
      <rPr>
        <vertAlign val="superscript"/>
        <sz val="10"/>
        <rFont val="Tahoma"/>
        <family val="2"/>
        <charset val="238"/>
      </rPr>
      <t>3</t>
    </r>
    <r>
      <rPr>
        <sz val="10"/>
        <rFont val="Tahoma"/>
        <family val="2"/>
        <charset val="238"/>
      </rPr>
      <t xml:space="preserve">. [Mobbing]
 § 1. Pracodawca jest obowiązany przeciwdziałać mobbingowi.
 § 2. Mobbing oznacza działania lub zachowania dotyczące pracownika lub skierowane przeciwko pracownikowi, polegające na uporczywym i długotrwałym nękaniu lub zastraszaniu pracownika, wywołujące u niego zaniżoną ocenę przydatności zawodowej, powodujące lub mające na celu poniżenie lub ośmieszenie pracownika, izolowanie go lub wyeliminowanie z zespołu współpracowników.
Oświadczam, że zapoznałem się z treścią art.  943 § 1 i 2 Kodeksy Pracy informującym o przeciwdziałaniu mobbingowi w zakładzie pracy.
</t>
    </r>
  </si>
  <si>
    <t>Telefon kontaktowy</t>
  </si>
  <si>
    <t xml:space="preserve">Urząd Skarbowy zgodny z miejscem zamieszkania </t>
  </si>
  <si>
    <t xml:space="preserve">Nazwa Urzędu </t>
  </si>
  <si>
    <r>
      <t xml:space="preserve">13. </t>
    </r>
    <r>
      <rPr>
        <b/>
        <sz val="10"/>
        <rFont val="Tahoma"/>
        <family val="2"/>
        <charset val="238"/>
      </rPr>
      <t>Telefon kontaktowy Pracownika:</t>
    </r>
  </si>
  <si>
    <t>podatkowych i emerytalno-rentowych przez Infusion Development Poland sp.z o.o.</t>
  </si>
  <si>
    <t xml:space="preserve">                             
Adres do korespondencji:                              
 0                            
</t>
  </si>
  <si>
    <t>Adres do korespondencji:</t>
  </si>
  <si>
    <t xml:space="preserve">Nie wyrażając zgody, o której mowa w pkt. ...............***, czy też zamierzając korzystać z uprawnienia </t>
  </si>
  <si>
    <t xml:space="preserve">Thank you. </t>
  </si>
  <si>
    <t>Name</t>
  </si>
  <si>
    <t>Surname</t>
  </si>
  <si>
    <t>Family name</t>
  </si>
  <si>
    <t>Place of birth</t>
  </si>
  <si>
    <t>Ctizenship</t>
  </si>
  <si>
    <t>Tax indentification number</t>
  </si>
  <si>
    <t>Father's name</t>
  </si>
  <si>
    <t>Mother's name</t>
  </si>
  <si>
    <t>Mother's family name</t>
  </si>
  <si>
    <t>Phone number</t>
  </si>
  <si>
    <t>house/flat number</t>
  </si>
  <si>
    <t>city/town</t>
  </si>
  <si>
    <t>postal code</t>
  </si>
  <si>
    <t>municipality</t>
  </si>
  <si>
    <t>county</t>
  </si>
  <si>
    <t>issued by</t>
  </si>
  <si>
    <t>Number</t>
  </si>
  <si>
    <t>Tax Office</t>
  </si>
  <si>
    <t>town/city</t>
  </si>
  <si>
    <t>Bank name</t>
  </si>
  <si>
    <t>account number</t>
  </si>
  <si>
    <t>university education</t>
  </si>
  <si>
    <t>technical secondary education</t>
  </si>
  <si>
    <t>secondary general education</t>
  </si>
  <si>
    <t>School name, year of graduation</t>
  </si>
  <si>
    <t>Courses</t>
  </si>
  <si>
    <t>postgraduate studies</t>
  </si>
  <si>
    <t>Correspondance adress if other than residence adress</t>
  </si>
  <si>
    <r>
      <t xml:space="preserve">1. </t>
    </r>
    <r>
      <rPr>
        <b/>
        <sz val="10"/>
        <rFont val="Tahoma"/>
        <family val="2"/>
        <charset val="238"/>
      </rPr>
      <t>Name (names) and surname:</t>
    </r>
  </si>
  <si>
    <t xml:space="preserve">a) family name              </t>
  </si>
  <si>
    <t xml:space="preserve">b) parents' names:    </t>
  </si>
  <si>
    <t>father</t>
  </si>
  <si>
    <t>mother</t>
  </si>
  <si>
    <t xml:space="preserve">c) mother's family name    </t>
  </si>
  <si>
    <r>
      <t>3.</t>
    </r>
    <r>
      <rPr>
        <b/>
        <sz val="9"/>
        <rFont val="Tahoma"/>
        <family val="2"/>
        <charset val="238"/>
      </rPr>
      <t xml:space="preserve">Place of birth </t>
    </r>
  </si>
  <si>
    <r>
      <t>4.</t>
    </r>
    <r>
      <rPr>
        <b/>
        <sz val="9"/>
        <rFont val="Tahoma"/>
        <family val="2"/>
        <charset val="238"/>
      </rPr>
      <t>Citizenship</t>
    </r>
  </si>
  <si>
    <r>
      <t xml:space="preserve">5. </t>
    </r>
    <r>
      <rPr>
        <b/>
        <sz val="10"/>
        <rFont val="Tahoma"/>
        <family val="2"/>
        <charset val="238"/>
      </rPr>
      <t xml:space="preserve"> PESEL number</t>
    </r>
  </si>
  <si>
    <r>
      <t xml:space="preserve">6. </t>
    </r>
    <r>
      <rPr>
        <b/>
        <sz val="10"/>
        <rFont val="Tahoma"/>
        <family val="2"/>
        <charset val="238"/>
      </rPr>
      <t>Tax identification number (NIP)</t>
    </r>
  </si>
  <si>
    <t>street</t>
  </si>
  <si>
    <t>university</t>
  </si>
  <si>
    <t>secondary technical</t>
  </si>
  <si>
    <t>secondary genral</t>
  </si>
  <si>
    <t>Academic/ professional title</t>
  </si>
  <si>
    <t>EMPLOYEE DECLARATION</t>
  </si>
  <si>
    <t>Name (names) and  surname:</t>
  </si>
  <si>
    <t>Adress</t>
  </si>
  <si>
    <t>Name and surname</t>
  </si>
  <si>
    <t>job title</t>
  </si>
  <si>
    <t>HUMAN RESOURCES</t>
  </si>
  <si>
    <t>Pesel number</t>
  </si>
  <si>
    <r>
      <t xml:space="preserve">10. </t>
    </r>
    <r>
      <rPr>
        <b/>
        <sz val="10"/>
        <rFont val="Tahoma"/>
        <family val="2"/>
        <charset val="238"/>
      </rPr>
      <t>Former employment</t>
    </r>
  </si>
  <si>
    <t>from</t>
  </si>
  <si>
    <t>to</t>
  </si>
  <si>
    <t>Foreign languages:</t>
  </si>
  <si>
    <t>Foreign languages</t>
  </si>
  <si>
    <t xml:space="preserve">Other </t>
  </si>
  <si>
    <t>Registered place of residence</t>
  </si>
  <si>
    <t>Education:</t>
  </si>
  <si>
    <t>Bank account:</t>
  </si>
  <si>
    <t>Tax office:</t>
  </si>
  <si>
    <t>Family status:</t>
  </si>
  <si>
    <t>Emergency contact information:</t>
  </si>
  <si>
    <r>
      <t xml:space="preserve">13. </t>
    </r>
    <r>
      <rPr>
        <b/>
        <sz val="10"/>
        <rFont val="Tahoma"/>
        <family val="2"/>
        <charset val="238"/>
      </rPr>
      <t>Employee's phone number:</t>
    </r>
  </si>
  <si>
    <r>
      <t xml:space="preserve">14. </t>
    </r>
    <r>
      <rPr>
        <b/>
        <sz val="10"/>
        <rFont val="Tahoma"/>
        <family val="2"/>
        <charset val="238"/>
      </rPr>
      <t>Emergency contact information (name, surname, adress, phone number)</t>
    </r>
  </si>
  <si>
    <t>series and number</t>
  </si>
  <si>
    <t>I consent to the processing of my personal data - now and in the future - for the purposes of employment, salary, insurance,</t>
  </si>
  <si>
    <t xml:space="preserve">(place and date) </t>
  </si>
  <si>
    <t>(signature of the person submitiing the form)</t>
  </si>
  <si>
    <t>Place of residence:</t>
  </si>
  <si>
    <t>Postal code:</t>
  </si>
  <si>
    <t>Street:</t>
  </si>
  <si>
    <t>No :</t>
  </si>
  <si>
    <t>City:</t>
  </si>
  <si>
    <t>I hereby authorise the payer</t>
  </si>
  <si>
    <t>to deposit  any payroll amounts owed to me to my account listed below:</t>
  </si>
  <si>
    <t>(bank name)</t>
  </si>
  <si>
    <t>(account number)</t>
  </si>
  <si>
    <t>(psignature of the person submitting the form)</t>
  </si>
  <si>
    <t>tax identification number NIP</t>
  </si>
  <si>
    <t>PESEL number</t>
  </si>
  <si>
    <t>DECLARATION</t>
  </si>
  <si>
    <t>of the employee</t>
  </si>
  <si>
    <t>for the purposes of calculating the monthly personal income tax advances</t>
  </si>
  <si>
    <t>Name and surname:</t>
  </si>
  <si>
    <t>Date of birth:</t>
  </si>
  <si>
    <t xml:space="preserve">Place of birth: </t>
  </si>
  <si>
    <t>County:</t>
  </si>
  <si>
    <t>Municipality:</t>
  </si>
  <si>
    <t>I hereby designate the tax remitter</t>
  </si>
  <si>
    <t>as appropriate to reduce the monthly personal income tax advance by an amount equal to 1/12 of the amount</t>
  </si>
  <si>
    <t>I gain no income from membership in the cooperative production or other cooperatives engaged in</t>
  </si>
  <si>
    <t>agricultural production</t>
  </si>
  <si>
    <t>Employee Guaranteed Benefits Fund</t>
  </si>
  <si>
    <t xml:space="preserve">do not receive cash benefits from the authority of employment or field office of the </t>
  </si>
  <si>
    <t>business activities referred to in article 14 of the Act,</t>
  </si>
  <si>
    <t>from rent or lease,</t>
  </si>
  <si>
    <t xml:space="preserve">At the same time, I  declare that  I will notify the establishment on the changes in relation to the facts provided in this </t>
  </si>
  <si>
    <t>employee's signature</t>
  </si>
  <si>
    <t>(place date)</t>
  </si>
  <si>
    <t>(employee's signature)</t>
  </si>
  <si>
    <t xml:space="preserve">Pursuant to the Act on  Social Insurance System as of 13 October 1998, the amendment as of 23 December 1999 </t>
  </si>
  <si>
    <t xml:space="preserve">I declare that all personal data provided to </t>
  </si>
  <si>
    <t>* delete as appropriate</t>
  </si>
  <si>
    <t>(place and date)</t>
  </si>
  <si>
    <t xml:space="preserve">At the same time I undertake to inform the employer about any changes </t>
  </si>
  <si>
    <t xml:space="preserve">that will occur during employment period. </t>
  </si>
  <si>
    <t>(employee's name and surname)</t>
  </si>
  <si>
    <t xml:space="preserve">I declare that providing care for a child under the age of four, I consent (do not consent) * </t>
  </si>
  <si>
    <t xml:space="preserve">2. I declare that providing care for a child under the age of four, I consent (do not consent)* to: </t>
  </si>
  <si>
    <t xml:space="preserve">• work overtime, </t>
  </si>
  <si>
    <t xml:space="preserve">•to be delegated outside of the fixed place of work (article 178 § 2 of the Labour Code). </t>
  </si>
  <si>
    <t xml:space="preserve"> </t>
  </si>
  <si>
    <t xml:space="preserve">until the age of fourteen, i.e. two days of paid sick from work during the year (Art. 188 KP). </t>
  </si>
  <si>
    <t xml:space="preserve">3. I declare that I intend to (do not intend to) * use the powers resulting from providing care to a child </t>
  </si>
  <si>
    <t xml:space="preserve">enjoying this right. </t>
  </si>
  <si>
    <t xml:space="preserve">listed in section 3 I declare that I am and I will be the only parent of my child </t>
  </si>
  <si>
    <t>*  delete as appropriate</t>
  </si>
  <si>
    <t>(Employee's name and surname)</t>
  </si>
  <si>
    <t>Father's name:</t>
  </si>
  <si>
    <t>Mother's name:</t>
  </si>
  <si>
    <t>Place of birth:</t>
  </si>
  <si>
    <t>PESEL No</t>
  </si>
  <si>
    <t>NIP No</t>
  </si>
  <si>
    <t>Place of residence*:</t>
  </si>
  <si>
    <t>House/ flat number:</t>
  </si>
  <si>
    <t>EMPLOYEE'S DECLARATION</t>
  </si>
  <si>
    <t xml:space="preserve">for the purpose of applying raised tax-deductible costs </t>
  </si>
  <si>
    <t>related to service relationship or employment relationschip</t>
  </si>
  <si>
    <t xml:space="preserve">(Article 32 point 5 of the Act as of 26 July 1991 on personal income tax -  </t>
  </si>
  <si>
    <t xml:space="preserve"> Journal of Laws as of 1993 No. 90, item 416, as amended. amended)</t>
  </si>
  <si>
    <t>City</t>
  </si>
  <si>
    <t>Street</t>
  </si>
  <si>
    <t>for the purposes of calculating the reduced monthly advances on personal income</t>
  </si>
  <si>
    <t>I request the remitter</t>
  </si>
  <si>
    <t>Article 32  paragraph 1a of the Act since:</t>
  </si>
  <si>
    <t>- jointly with spouse</t>
  </si>
  <si>
    <t>(employing establishment)</t>
  </si>
  <si>
    <t>I declare that the data  stated above are accurate and complete. I am aware of the obligation</t>
  </si>
  <si>
    <t>of informing the employer about changes of circumstances entitling me to lowering the rates or the loss of possibility for</t>
  </si>
  <si>
    <t>joint taxation</t>
  </si>
  <si>
    <t xml:space="preserve">• work night hours, </t>
  </si>
  <si>
    <t>Child's date of birth</t>
  </si>
  <si>
    <t>Child's name and surname</t>
  </si>
  <si>
    <t>(Employe's signature)</t>
  </si>
  <si>
    <t xml:space="preserve">I reside in </t>
  </si>
  <si>
    <t>i.e. outside the city where</t>
  </si>
  <si>
    <t xml:space="preserve">my working place is, </t>
  </si>
  <si>
    <t>I do not receive the expatriation allowance</t>
  </si>
  <si>
    <t xml:space="preserve">before the first salary payment in a month when the change occurs. </t>
  </si>
  <si>
    <t>At the same time I declare that I will inform the employiing establishment</t>
  </si>
  <si>
    <t>about any change of cicrcumstances related to this form</t>
  </si>
  <si>
    <t xml:space="preserve">
Commentary:
</t>
  </si>
  <si>
    <t xml:space="preserve">I declare that the data  stated above are accurate and complete. </t>
  </si>
  <si>
    <t xml:space="preserve">I am aware of fiscal criminal liability for false deposition. </t>
  </si>
  <si>
    <t>(emloyee's signature)</t>
  </si>
  <si>
    <t>Does the family member resides at the same household (enter YES or NO)</t>
  </si>
  <si>
    <t>Does the family member have disability certificate? (enter YES or NO)</t>
  </si>
  <si>
    <t xml:space="preserve">The employer is obligated to register for insurance the members of the employee's family. </t>
  </si>
  <si>
    <t>The employee should inform the employer about the family members who are not subject to health insurance otherwise.</t>
  </si>
  <si>
    <t>Family member, under the provisions of the Law on the National Health Fund, shall mean the following persons who are not entitled to  insurance otherwise, namely:</t>
  </si>
  <si>
    <t xml:space="preserve">1. children (own child, spouse’s child, adopted child, grandchild, a child whose legal representative is the person insured)  </t>
  </si>
  <si>
    <t xml:space="preserve">– if the child continues their education - until the child turns 26;, if the child has a considerable degree of disability </t>
  </si>
  <si>
    <t xml:space="preserve"> or other equivalent – with no age limit;</t>
  </si>
  <si>
    <t xml:space="preserve">– until the child turns 18 or </t>
  </si>
  <si>
    <t>2. spouse;</t>
  </si>
  <si>
    <t xml:space="preserve">3. ascendant residing with the person insured at the same household. </t>
  </si>
  <si>
    <t xml:space="preserve">I request for coverage by the national health insurence (NFZ) of my family members listed below: </t>
  </si>
  <si>
    <t>The registration pf the family members is done by the payer of the contributions by submitting in  Social Insurance Institution (ZUS) the form:</t>
  </si>
  <si>
    <t>– ZUS ZCNA – "Family members health insurance registration form".</t>
  </si>
  <si>
    <t>The contribution payer registers  family members for health insurance, provided that the relevant registration has not been made by the worker's spouse.</t>
  </si>
  <si>
    <t>Imię (imiona) i nazwisko:</t>
  </si>
  <si>
    <t xml:space="preserve">NATIONAL HEALTH FUND BRANCH: </t>
  </si>
  <si>
    <t xml:space="preserve">my gross income, on which pension and disability </t>
  </si>
  <si>
    <t xml:space="preserve">By not agreeing to actions reffered to in section …………….*** or intending to use the rights </t>
  </si>
  <si>
    <t>in article 139 § 3 i 4 of Labour Code this position may be omitted.</t>
  </si>
  <si>
    <t xml:space="preserve">to apply the method of calculating the lower rate of personal income tax advances specified in </t>
  </si>
  <si>
    <t xml:space="preserve">Employee's name and surname: </t>
  </si>
  <si>
    <t xml:space="preserve">Adress: </t>
  </si>
  <si>
    <t>Street, house</t>
  </si>
  <si>
    <t>CONSENT FOR DEDUCTION FROM REMUNERATION</t>
  </si>
  <si>
    <t>the amount of PLN</t>
  </si>
  <si>
    <t>I hereby consent to a monthly deduction from my remuneration</t>
  </si>
  <si>
    <t>for the additional private healthcare for my family/ partner.</t>
  </si>
  <si>
    <t>Declaration under article 94 of the Labour Code</t>
  </si>
  <si>
    <t xml:space="preserve">Employee's name and surname </t>
  </si>
  <si>
    <t xml:space="preserve">OBLIGATORY INFORMATION FOR EMPLOYEES </t>
  </si>
  <si>
    <t>ON EQUAL TREATMENT IN EMPLOYMENT</t>
  </si>
  <si>
    <t xml:space="preserve">
</t>
  </si>
  <si>
    <t>Ja niżej podpisany oświadczam, że zapoznałem się z informacją dotyczącą równego traktowania w zatrudnieniu, zgodnie z obowiązkiem, o którym mowa w art. 941 KP. Tekst przepisów dotyczących równego traktowania w zatrudnieniu został mi przedstawiony w formie wyciągu z Kodeksu pracy .</t>
  </si>
  <si>
    <t xml:space="preserve">OBOWIĄZKOWA INFORMACJA DLA PRACOWNIKÓW </t>
  </si>
  <si>
    <t>DOTYCZĄCA RÓWNEGO TRAKTOWANIA W ZATRUDNIENIU</t>
  </si>
  <si>
    <t xml:space="preserve">I intend to file tax </t>
  </si>
  <si>
    <t xml:space="preserve">street </t>
  </si>
  <si>
    <t>(if currently studying)</t>
  </si>
  <si>
    <t xml:space="preserve">Specialisation </t>
  </si>
  <si>
    <t>Academic / professional title</t>
  </si>
  <si>
    <t>Suplementary education</t>
  </si>
  <si>
    <r>
      <t xml:space="preserve">1. </t>
    </r>
    <r>
      <rPr>
        <b/>
        <sz val="10"/>
        <rFont val="Tahoma"/>
        <family val="2"/>
        <charset val="238"/>
      </rPr>
      <t>Imię (imiona) i nazwisko:</t>
    </r>
  </si>
  <si>
    <t xml:space="preserve">a) nazwisko rodowe              </t>
  </si>
  <si>
    <t xml:space="preserve">b) imiona rodziców:    </t>
  </si>
  <si>
    <t>ojciec</t>
  </si>
  <si>
    <t>matka</t>
  </si>
  <si>
    <t xml:space="preserve">c) nazwisko rodowe matki     </t>
  </si>
  <si>
    <r>
      <t xml:space="preserve">2. </t>
    </r>
    <r>
      <rPr>
        <b/>
        <sz val="9"/>
        <rFont val="Tahoma"/>
        <family val="2"/>
        <charset val="238"/>
      </rPr>
      <t>Data urodzenia</t>
    </r>
    <r>
      <rPr>
        <sz val="9"/>
        <rFont val="Tahoma"/>
        <family val="2"/>
        <charset val="238"/>
      </rPr>
      <t xml:space="preserve">  </t>
    </r>
  </si>
  <si>
    <r>
      <t>3.</t>
    </r>
    <r>
      <rPr>
        <b/>
        <sz val="9"/>
        <rFont val="Tahoma"/>
        <family val="2"/>
        <charset val="238"/>
      </rPr>
      <t xml:space="preserve">Miejsce urodzenia </t>
    </r>
  </si>
  <si>
    <r>
      <t>4.</t>
    </r>
    <r>
      <rPr>
        <b/>
        <sz val="9"/>
        <rFont val="Tahoma"/>
        <family val="2"/>
        <charset val="238"/>
      </rPr>
      <t>Obywatelstwo</t>
    </r>
  </si>
  <si>
    <r>
      <t xml:space="preserve">5. </t>
    </r>
    <r>
      <rPr>
        <b/>
        <sz val="10"/>
        <rFont val="Tahoma"/>
        <family val="2"/>
        <charset val="238"/>
      </rPr>
      <t>Numer ewidencyjny (PESEL)</t>
    </r>
  </si>
  <si>
    <r>
      <t xml:space="preserve">6. </t>
    </r>
    <r>
      <rPr>
        <b/>
        <sz val="10"/>
        <rFont val="Tahoma"/>
        <family val="2"/>
        <charset val="238"/>
      </rPr>
      <t>Numer identyfikacji podatkowej (NIP)</t>
    </r>
  </si>
  <si>
    <r>
      <t xml:space="preserve">7. </t>
    </r>
    <r>
      <rPr>
        <b/>
        <sz val="10"/>
        <rFont val="Tahoma"/>
        <family val="2"/>
        <charset val="238"/>
      </rPr>
      <t>Miejsce zameldowania:</t>
    </r>
  </si>
  <si>
    <t>kod pocztowy</t>
  </si>
  <si>
    <t>ulica</t>
  </si>
  <si>
    <t>nr domu/nr mieszkania</t>
  </si>
  <si>
    <r>
      <t xml:space="preserve">8. </t>
    </r>
    <r>
      <rPr>
        <b/>
        <sz val="10"/>
        <rFont val="Tahoma"/>
        <family val="2"/>
        <charset val="238"/>
      </rPr>
      <t>Wykształcenie:</t>
    </r>
  </si>
  <si>
    <t>średnie techniczne</t>
  </si>
  <si>
    <t>- nazwa szkoły i rok jej ukończenia</t>
  </si>
  <si>
    <t>Tytuł zawodowy-naukowy</t>
  </si>
  <si>
    <r>
      <t xml:space="preserve">9. </t>
    </r>
    <r>
      <rPr>
        <b/>
        <sz val="10"/>
        <rFont val="Tahoma"/>
        <family val="2"/>
        <charset val="238"/>
      </rPr>
      <t>Wykształcenie uzupełniające, podać datę ukończenia lub rozpoczęcia nauki w przypadku jej trwania</t>
    </r>
  </si>
  <si>
    <t xml:space="preserve">* state the place of permanent or temporary residence- for period not shorter than two months.
</t>
  </si>
  <si>
    <t>Place, date, employee's signature</t>
  </si>
  <si>
    <t>Former employment, unemployment benefit receiption periods:</t>
  </si>
  <si>
    <t>Przebieg dotychczasowego zatrudnienia i okresy pobierania zasiłku dla bezrobotnych</t>
  </si>
  <si>
    <t>Oświadczam, że powyższe dane podałe/am zgodnie ze stanem faktycznym oraz że są mi znane przepisy</t>
  </si>
  <si>
    <t>Kodeksu karnego skarbowego o odpowiedzialności za podanie danych niezgodnych z rzeczywistością i przez to</t>
  </si>
  <si>
    <t>narażenie na uszczuplenie podatku.</t>
  </si>
  <si>
    <t>OBOWIĄZKOWA INFORMACJA DLA PRACOWNIKÓW DOTYCZĄCA RÓWNEGO TRAKTOWANIA W ZATRUDNIENIU</t>
  </si>
  <si>
    <t>Zgodnie z obowiązkiem, o którym mowa w art. 941 KP, niniejszym udostępniam Państwu tekst przepisów dotyczących równego traktowania w zatrudnieniu - w formie wyciągu z Kodeksu pracy:</t>
  </si>
  <si>
    <t>Art. 9. [Źródła prawa pracy]</t>
  </si>
  <si>
    <t>(…)</t>
  </si>
  <si>
    <t>§ 4. Postanowienia układów zbiorowych pracy i innych opartych na ustawie porozumień zbiorowych, regulaminów oraz statutów określających prawa i obowiązki stron stosunku pracy, naruszające zasadę równego traktowania w zatrudnieniu, nie obowiązują.</t>
  </si>
  <si>
    <t>Art. 112. [Zasada równości pracowników]</t>
  </si>
  <si>
    <t>Pracownicy mają równe prawa z tytułu jednakowego wypełniania takich samych obowiązków; dotyczy to w szczególności równego traktowania kobiet i mężczyzn w zatrudnieniu.</t>
  </si>
  <si>
    <t>Art. 113. [Zakaz dyskryminacji w zatrudnieniu]</t>
  </si>
  <si>
    <t>Jakakolwiek dyskryminacja w zatrudnieniu, bezpośrednia lub pośrednia, w szczególności ze względu na płeć, wiek, niepełnosprawność, rasę, religię, narodowość, przekonania polityczne, przynależność związkową, pochodzenie etniczne, wyznanie, orientację seksualną, a także bez względu na zatrudnienie na czas określony lub nieokreślony albo w pełnym lub w niepełnym wymiarze czasu pracy - jest niedopuszczalna.</t>
  </si>
  <si>
    <t>Art. 18. [Zasada uprzywilejowania pracownika]</t>
  </si>
  <si>
    <t>§ 3. Postanowienia umów o pracę i innych aktów, na podstawie których powstaje stosunek pracy, naruszające zasadę równego traktowania w zatrudnieniu są nieważne. Zamiast takich postanowień stosuje się odpowiednie przepisy prawa pracy, a w razie braku takich przepisów postanowienia te należy zastąpić odpowiednimi postanowieniami nie mającymi charakteru dyskryminacyjnego.</t>
  </si>
  <si>
    <t>Rozdział IIa z działu I Kodeksu pracy</t>
  </si>
  <si>
    <t>Równe traktowanie w zatrudnieniu</t>
  </si>
  <si>
    <t>Art. 183a. [Zasada niedyskryminowania pracowników]</t>
  </si>
  <si>
    <t xml:space="preserve"> § 1. Pracownicy powinni być równo traktowani w zakresie nawiązania i rozwiązania stosunku pracy, warunków zatrudnienia, awansowania oraz dostępu do szkolenia w celu podnoszenia kwalifikacji zawodowych, w szczególności bez względu na płeć, wiek, niepełnosprawność, rasę, religię, narodowość, przekonania polityczne, przynależność związkową, pochodzenie etniczne, wyznanie, orientację seksualną, a także bez względu na zatrudnienie na czas określony lub nieokreślony albo w pełnym lub w niepełnym wymiarze czasu pracy.</t>
  </si>
  <si>
    <t>§ 2. Równe traktowanie w zatrudnieniu oznacza niedyskryminowanie w jakikolwiek sposób, bezpośrednio lub pośrednio, z przyczyn określonych w § 1.</t>
  </si>
  <si>
    <t>§ 3. Dyskryminowanie bezpośrednie istnieje wtedy, gdy pracownik z jednej lub kilku przyczyn określonych w § 1 był, jest lub mógłby być traktowany w porównywalnej sytuacji mniej korzystnie niż inni pracownicy.</t>
  </si>
  <si>
    <t>§ 4. Dyskryminowanie pośrednie istnieje wtedy, gdy na skutej pozornie neutralnego postanowienia, zastosowanego kryterium lub podjętego działania występują dysproporcje w zakresie warunków zatrudnienia na niekorzyść wszystkich lub znacznej liczby pracowników należących do grupy wyróżnionej ze względu na jedną lub kilka przyczyn określonych w § 1, jeżeli dysproporcje te nie mogą być uzasadnione innymi obiektywnymi powodami.</t>
  </si>
  <si>
    <t>§ 5. Przejawem dyskryminacji w rozumieniu § 2 jest także:</t>
  </si>
  <si>
    <t>1) działanie polegające na zachęcaniu innej osoby do naruszenia zasady równego traktowania w zatrudnieniu,</t>
  </si>
  <si>
    <t>2) zachowanie, którego celem lub skutkiem jest naruszenie godności albo poniżenie lub upokorzenie pracownika (molestowanie)</t>
  </si>
  <si>
    <t>§ 6. Dyskryminowaniem ze względu na płeć jest także każde nieakceptowane zachowanie o charakterze seksualnym lub odnoszące się do płci pracownika, którego celem lub skutkiem jest naruszenie godności lub poniżenie albo upokorzenie pracownika; na zachowanie to mogą się składać fizyczne, werbalne lub pozawerbalne elementy (molestowanie seksualne).</t>
  </si>
  <si>
    <t>Art. 183b. [Naruszenie zasady równego traktowania]</t>
  </si>
  <si>
    <t xml:space="preserve"> § 1. Za naruszenie zasady równego traktowania w zatrudnieniu, z zastrzeżeniem § 2-4, uważa się różnicowanie przez pracodawcę sytuacji pracownika z jednej lub kilku przyczyn określonych w art. 183a § 1, którego skutkiem jest w szczególności:</t>
  </si>
  <si>
    <t>1) odmowa nawiązania lub rozwiązanie stosunku pracy,</t>
  </si>
  <si>
    <t>2) niekorzystne ukształtowanie wynagrodzenia za pracę lub innych warunków zatrudnienia albo pominięcie przy awansowaniu lub przyznawaniu innych świadczeń związanych z pracą,</t>
  </si>
  <si>
    <t>3) pominięcie przy typowaniu do udziału w szkoleniach podnoszących kwalifikacje zawodowe</t>
  </si>
  <si>
    <t>- chyba że pracodawca udowodni, że kierował się obiektywnymi powodami.</t>
  </si>
  <si>
    <t>§ 2. Zasady równego traktowania w zatrudnieniu nie naruszają działania polegające na:</t>
  </si>
  <si>
    <t>1) niezatrudnianiu pracownika z jednej lub kilku przyczyn określonych w art. 183a § 1, jeżeli jest to uzasadnione ze względu na rodzaj pracy, warunki jej wykonywania lub wymagania zawodowe stawiane pracownikom,</t>
  </si>
  <si>
    <t>2) wypowiedzeniu pracownikowi warunków zatrudnienia w zakresie wymiaru czasu pracy, jeżeli jest to uzasadnione przyczynami niedotyczącymi pracowników,</t>
  </si>
  <si>
    <t>3) stosowaniu środków, które różnicują sytuację prawną pracownika ze względu na ochronę rodzicielstwa, wiek lub niepełnosprawność pracownika,</t>
  </si>
  <si>
    <t>4) ustalaniu warunków zatrudniania i zwalniania pracowników, zasad wynagradzania i awansowania oraz dostępu do szkolenia w celu podnoszenia kwalifikacji zawodowych - z uwzględnieniem kryterium stażu pracy.</t>
  </si>
  <si>
    <t>§ 3. Nie stanowią naruszenia zasady równego traktowania w zatrudnieniu działania podejmowane przez określony czas, zmierzające do wyrównywania szans wszystkich lub znacznej liczby pracowników wyróżnionych z jednej lub kilku przyczyn określonych w art. 183a § 1, przez zmniejszenie na korzyść takich pracowników faktycznych nierówności, w zakresie określonym w tym przepisie.</t>
  </si>
  <si>
    <t>§ 4. Różnicowanie pracowników ze względu na religię lub wyznanie nie stanowi naruszenia zasady równego traktowania w zatrudnieniu, jeżeli w związku z rodzajem i charakterem działalności prowadzonej w ramach kościołów i innych związków wyznaniowych, a także organizacji, których cel działania pozostaje w bezpośrednim związku z religią lub wyznaniem, religia lub wyznanie pracownika stanowi istotne, uzasadnione i usprawiedliwione wymaganie zawodowe.</t>
  </si>
  <si>
    <t>Art. 183c. [Równe traktowanie w zakresie wynagradzania]</t>
  </si>
  <si>
    <t xml:space="preserve"> § 1. Pracownicy mają prawo do jednakowego wynagrodzenia za jednakową pracę lub za pracę o jednakowej wartości.</t>
  </si>
  <si>
    <t xml:space="preserve"> § 2. Wynagrodzenie, o którym mowa w § 1, obejmuje wszystkie składniki wynagrodzenia, bez względu na ich nazwę i charakter, a także inne świadczenia związane z pracą, przyznawane pracownikom w formie pieniężnej lub w innej formie niż pieniężna.</t>
  </si>
  <si>
    <t xml:space="preserve"> § 3. Pracami o jednakowej wartości są prace, których wykonywanie wymaga od pracowników porównywalnych kwalifikacji zawodowych, potwierdzonych dokumentami przewidzianymi w odrębnych przepisach lub praktyką i doświadczeniem zawodowym, a także porównywalnej odpowiedzialności i wysiłku.</t>
  </si>
  <si>
    <t>Art. 183d. [Prawo do odszkodowania w przypadku naruszenia zasady równego traktowania w zatrudnieniu]</t>
  </si>
  <si>
    <t>Osoba, wobec której pracodawca naruszył zasadę równego traktowania w zatrudnieniu, ma prawo do odszkodowania w wysokości nie niższej niż minimalne wynagrodzenie za pracę, ustalane na podstawie odrębnych przepisów.</t>
  </si>
  <si>
    <t>Art. 183e. [Ochrona pracownika korzystającego z zasady równego traktowania w zatrudnieniu]</t>
  </si>
  <si>
    <t>Skorzystanie przez pracownika z uprawnień przysługujących z tytułu naruszenia zasady równego traktowania w zatrudnieniu nie może stanowić przyczyny uzasadniającej wypowiedzenie przez pracodawcę stosunku pracy lub jego rozwiązanie bez wypowiedzenia.</t>
  </si>
  <si>
    <t>Art. 292. [Zasada równego traktowania pracowników zatrudnionych w niepełnym wymiarze czasu pracy].</t>
  </si>
  <si>
    <t xml:space="preserve"> § 1. Zawarcie z pracownikiem umowy o pracę przewidującej zatrudnienie w niepełnym wymiarze czasu pracy nie może powodować ustalenia jego warunków pracy i płacy w sposób mniej korzystny w stosunku do pracowników wykonujących taką samą lub podobną pracę w pełnym wymiarze czasu pracy, z uwzględnieniem jednak proporcjonalności wynagrodzenia za pracę i innych świadczeń związanych z pracą, do wymiaru czasu pracy pracownika.</t>
  </si>
  <si>
    <t xml:space="preserve"> § 2. Pracodawca powinien, w miarę możliwości, uwzględnić wniosek pracownika dotyczący zmiany wymiaru czasu pracy określonego w umowie o pracę.</t>
  </si>
  <si>
    <t>Art. 94. [Obowiązki pracodawcy]</t>
  </si>
  <si>
    <t>Pracodawca jest obowiązany w szczególności:</t>
  </si>
  <si>
    <t xml:space="preserve"> (…)</t>
  </si>
  <si>
    <t xml:space="preserve"> § 2b przeciwdziałać dyskryminacji w zatrudnieniu, w szczególności ze względu na płeć, wiek, niepełnosprawność, rasę, religię, narodowość, przekonania polityczne, przynależność związkową, pochodzenie etniczne, wyznanie, orientację seksualną, a także bez względu na zatrudnienie na czas określony lub nieokreślony albo w pełnym lub w niepełnym wymiarze czasu pracy,</t>
  </si>
  <si>
    <t>Art. 941. [Obowiązek udostępnienia przepisów]</t>
  </si>
  <si>
    <t>Pracodawca udostępnia pracownikom tekst przepisów dotyczących równego traktowania w zatrudnieniu w formie pisemnej informacji rozpowszechnionej na terenie zakładu pracy lub zapewnia pracownikom dostęp do tych przepisów w inny sposób przyjęty u danego pracodawcy.</t>
  </si>
  <si>
    <t>English</t>
  </si>
  <si>
    <t>Język polski</t>
  </si>
  <si>
    <t xml:space="preserve">Rok_1 </t>
  </si>
  <si>
    <t xml:space="preserve">Rok </t>
  </si>
  <si>
    <t xml:space="preserve">RokP </t>
  </si>
  <si>
    <t xml:space="preserve">RokK </t>
  </si>
  <si>
    <t>ZUS</t>
  </si>
  <si>
    <t>Q1</t>
  </si>
  <si>
    <t>Q2</t>
  </si>
  <si>
    <t>Q3</t>
  </si>
  <si>
    <t>Q4</t>
  </si>
  <si>
    <t>Q5</t>
  </si>
  <si>
    <t>Q1_EN</t>
  </si>
  <si>
    <t>Q2_EN</t>
  </si>
  <si>
    <t>Q3_EN</t>
  </si>
  <si>
    <t>Q4_EN</t>
  </si>
  <si>
    <t>Q5_EN</t>
  </si>
  <si>
    <t>Q6_EN</t>
  </si>
  <si>
    <t>Please fill in all the cells with blue background.</t>
  </si>
  <si>
    <t>voivodship</t>
  </si>
  <si>
    <t>Profession</t>
  </si>
  <si>
    <t>Miejscowość</t>
  </si>
  <si>
    <t>Data</t>
  </si>
  <si>
    <t>Kraków</t>
  </si>
  <si>
    <t>Place and date of filling the forms:</t>
  </si>
  <si>
    <t>Miejscowość i data wypełnienia formularzy:</t>
  </si>
  <si>
    <t>miejsce i data</t>
  </si>
  <si>
    <t>place and date</t>
  </si>
  <si>
    <t>data i miejsce wypełnienia</t>
  </si>
  <si>
    <t>Specialisation</t>
  </si>
  <si>
    <t>National health fund branch</t>
  </si>
  <si>
    <r>
      <t>2.</t>
    </r>
    <r>
      <rPr>
        <b/>
        <sz val="9"/>
        <rFont val="Tahoma"/>
        <family val="2"/>
        <charset val="238"/>
      </rPr>
      <t xml:space="preserve"> Date of birth </t>
    </r>
    <r>
      <rPr>
        <sz val="9"/>
        <rFont val="Tahoma"/>
        <family val="2"/>
        <charset val="238"/>
      </rPr>
      <t xml:space="preserve"> </t>
    </r>
  </si>
  <si>
    <t>- institution and year of graduation</t>
  </si>
  <si>
    <t>Postgraduate studies</t>
  </si>
  <si>
    <t>Job title</t>
  </si>
  <si>
    <t>Other skills:</t>
  </si>
  <si>
    <t xml:space="preserve">This questionnaire is subject to personal data protection under the provisions of the Act of 29 August 1997 (Journal of Laws No. 101 of 2002,  </t>
  </si>
  <si>
    <t>Employee's declaration</t>
  </si>
  <si>
    <t>INSTRUCTION:</t>
  </si>
  <si>
    <t>A. IDENTIFICATION AND ADDRESS OF THE TAXPAYER</t>
  </si>
  <si>
    <t>Name (names) and surname:</t>
  </si>
  <si>
    <t>No:</t>
  </si>
  <si>
    <t>I declare that the data  stated above is accurate and complete and that</t>
  </si>
  <si>
    <t xml:space="preserve">I know the regulations of the Fiscal penal code regarding the responsibility for the delivery of the data inconsistent </t>
  </si>
  <si>
    <t>with facts and thus exposure to tax diminishing.</t>
  </si>
  <si>
    <t>(workplace)</t>
  </si>
  <si>
    <t>Employee's name and surname:</t>
  </si>
  <si>
    <t>is accurate and compelte.</t>
  </si>
  <si>
    <t>SOCIAL SECURITY CONTRIBUTION DECLARATION</t>
  </si>
  <si>
    <t>contributions were calculated and paid, amount to:                   PLN</t>
  </si>
  <si>
    <t>At the same time I  declare that the data provided in this form is complete and accurate.</t>
  </si>
  <si>
    <t>I know the regulations of the Fiscal penal code regarding the responsibility for the delivery of the untrue data.</t>
  </si>
  <si>
    <t>(insert the amount)</t>
  </si>
  <si>
    <t>** if the employer does not comply with the requirements for the use of this system provided</t>
  </si>
  <si>
    <t>*** list the positions where you chose the option "I do not consent."</t>
  </si>
  <si>
    <t>• employment in the working time system referred to in article 139 of Labour Code ** (intermittent time),</t>
  </si>
  <si>
    <t>to work more than eight hours a day. (Article 148 paragraph. 3 KP).</t>
  </si>
  <si>
    <t>I am the parent or custodian of children (insert children names, surnames and birth dates):</t>
  </si>
  <si>
    <t>NATIONAL HEALTH INSURANCE  FAMILY MEMBERS REGISTRATION FORM</t>
  </si>
  <si>
    <t>I, the undersigned, declare that I have read the information on equal treatment in employment under the the obligationof Article 94 1 of the Labour Code. The text of the rules on equal treatment in employment I was presented in a statement of the Labour Code.</t>
  </si>
  <si>
    <t>income tax - Journal of Laws as of 2000 No. 14, item. 176, as amended)</t>
  </si>
  <si>
    <t xml:space="preserve">which falls within the lower bracket of the tax scale </t>
  </si>
  <si>
    <t xml:space="preserve">date of graduation or commencment </t>
  </si>
  <si>
    <t xml:space="preserve">The employee must notify the employer of changes compared to the previous month till the 20th day of the month. Then the new bank account  may be changed for the payment in a given month. I declare that the data  stated above is accurate and complete. </t>
  </si>
  <si>
    <t>reducing the tax referred to in the first bracket of the tax scale, since:</t>
  </si>
  <si>
    <t>Other powers, skills and interests</t>
  </si>
  <si>
    <r>
      <t xml:space="preserve">9. </t>
    </r>
    <r>
      <rPr>
        <b/>
        <sz val="10"/>
        <rFont val="Tahoma"/>
        <family val="2"/>
        <charset val="238"/>
      </rPr>
      <t>Supplementary education, give the date of graduation or commencement if currently studying</t>
    </r>
  </si>
  <si>
    <t xml:space="preserve">Legal basis: Article 32, paragraph 3 of the Personal Income Tax Act of 26 July 1991 </t>
  </si>
  <si>
    <t>(Journal of Laws 2000 No. 14, item. 176, as amended), hereinafter the "Act"</t>
  </si>
  <si>
    <t>Voivodeship:</t>
  </si>
  <si>
    <t>I gain no income on which I am bound to pay  advances during the fiscal year under</t>
  </si>
  <si>
    <t>the article 44 paragraph 3 of the Act  i.e. income:</t>
  </si>
  <si>
    <t>I do not receive retirement  or disability pension through the remitter</t>
  </si>
  <si>
    <t>statement before the first payment of remuneration in the month when the change occurs.</t>
  </si>
  <si>
    <r>
      <t xml:space="preserve">Article 94 </t>
    </r>
    <r>
      <rPr>
        <vertAlign val="superscript"/>
        <sz val="10"/>
        <rFont val="Tahoma"/>
        <family val="2"/>
        <charset val="238"/>
      </rPr>
      <t>3</t>
    </r>
    <r>
      <rPr>
        <sz val="10"/>
        <rFont val="Tahoma"/>
        <family val="2"/>
        <charset val="238"/>
      </rPr>
      <t xml:space="preserve">. [Mobbing]
 § 1. An employer is obliged to prevent mobbing. 
 § 2. Mobbing means any actions or behaviours directed towards an employee that aim at long-lasting harassment or intimidation of an employee, that result in decreased performance, and cause or aim at humiliation as well as isolation or exclusion of an employee from a team. 
I declare that I have read all of this article 94 3§ 1 and 2 of the Labour Code to advise on preventing mobbing in the workplace.
</t>
    </r>
  </si>
  <si>
    <t>Explanation:</t>
  </si>
  <si>
    <t>This declaration needs to be submitted before first remuneration payment in a fiscal year</t>
  </si>
  <si>
    <t xml:space="preserve">If the taxpayer informs the establishment about any changes  in respect to the facts presented in this form, the </t>
  </si>
  <si>
    <t>establishment will not reduce the advance in the above specified manner</t>
  </si>
  <si>
    <t>Statements needs not be submitted if no changes in respect to previous years have occurred</t>
  </si>
  <si>
    <t>for applying the increased tax-deductible costs since:</t>
  </si>
  <si>
    <r>
      <t xml:space="preserve">14. </t>
    </r>
    <r>
      <rPr>
        <b/>
        <sz val="10"/>
        <rFont val="Tahoma"/>
        <family val="2"/>
        <charset val="238"/>
      </rPr>
      <t>Osoba do kontaktów w przypadkach nagłych (imię, nazwisko, adres, nr telefonu)</t>
    </r>
  </si>
  <si>
    <t>słownie:</t>
  </si>
  <si>
    <t>in full:</t>
  </si>
  <si>
    <t>Wybierz język formularzy / please select the language of the forms (X):</t>
  </si>
  <si>
    <t>Firma</t>
  </si>
  <si>
    <t>Q6</t>
  </si>
  <si>
    <t>KWESTIONARIUSZ OSOBOWY</t>
  </si>
  <si>
    <r>
      <t xml:space="preserve">7. </t>
    </r>
    <r>
      <rPr>
        <b/>
        <sz val="10"/>
        <rFont val="Tahoma"/>
        <family val="2"/>
        <charset val="238"/>
      </rPr>
      <t>Miejsce zamieszkania:</t>
    </r>
  </si>
  <si>
    <t>gmina</t>
  </si>
  <si>
    <r>
      <t xml:space="preserve">7. </t>
    </r>
    <r>
      <rPr>
        <b/>
        <sz val="10"/>
        <rFont val="Tahoma"/>
        <family val="2"/>
        <charset val="238"/>
      </rPr>
      <t>Registered place of residence:</t>
    </r>
  </si>
  <si>
    <t>Podaj datę wypełnienia formularza:</t>
  </si>
  <si>
    <t>Podaj miejsce wypełnienia formularza:</t>
  </si>
  <si>
    <t xml:space="preserve">PERSONAL DATA FORM </t>
  </si>
  <si>
    <r>
      <t xml:space="preserve">8. </t>
    </r>
    <r>
      <rPr>
        <b/>
        <sz val="10"/>
        <rFont val="Tahoma"/>
        <family val="2"/>
        <charset val="238"/>
      </rPr>
      <t>Education</t>
    </r>
  </si>
  <si>
    <t>Period</t>
  </si>
  <si>
    <r>
      <t xml:space="preserve">11. </t>
    </r>
    <r>
      <rPr>
        <b/>
        <sz val="10"/>
        <rFont val="Tahoma"/>
        <family val="2"/>
        <charset val="238"/>
      </rPr>
      <t>Other powers, skills, interests</t>
    </r>
  </si>
  <si>
    <t>Q7</t>
  </si>
  <si>
    <t>Q7_EN</t>
  </si>
  <si>
    <t>Place of filling the form:</t>
  </si>
  <si>
    <t>Date of filling the form:</t>
  </si>
  <si>
    <t>Wrocław</t>
  </si>
  <si>
    <t>country</t>
  </si>
  <si>
    <t>kraj</t>
  </si>
  <si>
    <r>
      <t xml:space="preserve">12. </t>
    </r>
    <r>
      <rPr>
        <b/>
        <sz val="10"/>
        <rFont val="Tahoma"/>
        <family val="2"/>
        <charset val="238"/>
      </rPr>
      <t>Place of residence:</t>
    </r>
  </si>
  <si>
    <t>kod pocztowy (z kreskami)</t>
  </si>
  <si>
    <t>postal code (in full)</t>
  </si>
  <si>
    <t>forma zatrudnienia</t>
  </si>
  <si>
    <t>company name</t>
  </si>
  <si>
    <t>employment type</t>
  </si>
  <si>
    <t>Forma_Zatr</t>
  </si>
  <si>
    <t>Forma_Zatr_EN</t>
  </si>
  <si>
    <t>Umowa o pracę</t>
  </si>
  <si>
    <t>Contract of employment</t>
  </si>
  <si>
    <t>Własna działalność</t>
  </si>
  <si>
    <t>Self-employment contract</t>
  </si>
  <si>
    <t>Umowa zlecenia</t>
  </si>
  <si>
    <t>Internship</t>
  </si>
  <si>
    <t>Umowa o dzieło</t>
  </si>
  <si>
    <t>Other contract type</t>
  </si>
  <si>
    <t>Company name</t>
  </si>
  <si>
    <t>Forma zatrudnienia</t>
  </si>
  <si>
    <t>Employment type</t>
  </si>
  <si>
    <t>(01R) Dolnośląski</t>
  </si>
  <si>
    <t>(02R) Kujawsko-Pomorski</t>
  </si>
  <si>
    <t>(03R) Lubelski</t>
  </si>
  <si>
    <t>(04R) Lubuski</t>
  </si>
  <si>
    <t>(05R) Łódzki</t>
  </si>
  <si>
    <t>(06R) Małopolski</t>
  </si>
  <si>
    <t>(07R) Mazowiecki</t>
  </si>
  <si>
    <t>(08R) Opolski</t>
  </si>
  <si>
    <t>(09R) Podkarpacki</t>
  </si>
  <si>
    <t>(10R) Podlaski</t>
  </si>
  <si>
    <t>(11R) Pomorski</t>
  </si>
  <si>
    <t>(12R) Śląski</t>
  </si>
  <si>
    <t>(13R) Świętokrzyski</t>
  </si>
  <si>
    <t>(14R) Warmińsko-Mazurski</t>
  </si>
  <si>
    <t>(15R) Wielkopolski</t>
  </si>
  <si>
    <t>(16R) Zachodniopomorski</t>
  </si>
  <si>
    <t>NFZ</t>
  </si>
  <si>
    <t>flat number</t>
  </si>
  <si>
    <t>house</t>
  </si>
  <si>
    <t>numer mieszkania</t>
  </si>
  <si>
    <t>numer domu</t>
  </si>
  <si>
    <t>Date of birth (yyyy-mm-dd)</t>
  </si>
  <si>
    <t>Data urodzenia (rrrr-mm-dd)</t>
  </si>
  <si>
    <t>item 926 as ammended)</t>
  </si>
  <si>
    <t>Correspondance address:</t>
  </si>
  <si>
    <t>poz 926 j.t. z późn.zm.)</t>
  </si>
  <si>
    <t>poczta</t>
  </si>
  <si>
    <t>Dokument_EN</t>
  </si>
  <si>
    <t>Dokument</t>
  </si>
  <si>
    <t>Dowód osobisty</t>
  </si>
  <si>
    <t>Paszport</t>
  </si>
  <si>
    <t>National ID card</t>
  </si>
  <si>
    <t>Passport</t>
  </si>
  <si>
    <t>Dokument tożsamości</t>
  </si>
  <si>
    <t>Seria</t>
  </si>
  <si>
    <t>Numer</t>
  </si>
  <si>
    <t>Organ wydający</t>
  </si>
  <si>
    <t>post office place</t>
  </si>
  <si>
    <t>Document type</t>
  </si>
  <si>
    <t>Issued by</t>
  </si>
  <si>
    <t>Series</t>
  </si>
  <si>
    <t>ulica, numer</t>
  </si>
  <si>
    <t>street, number</t>
  </si>
  <si>
    <t>Określ adres korespondencyjny:</t>
  </si>
  <si>
    <t>Adres_kor_EN</t>
  </si>
  <si>
    <t>Registered</t>
  </si>
  <si>
    <t>Adres_kor</t>
  </si>
  <si>
    <t>Zameldowania</t>
  </si>
  <si>
    <t>Zamieszkania</t>
  </si>
  <si>
    <t>Address for mail correspondence:</t>
  </si>
  <si>
    <t>Place of residence (other than registered):</t>
  </si>
  <si>
    <t>Residence</t>
  </si>
  <si>
    <t>Imię</t>
  </si>
  <si>
    <t>Data urodzenia</t>
  </si>
  <si>
    <t>Ulica</t>
  </si>
  <si>
    <t>Nr domu</t>
  </si>
  <si>
    <t>Nr lokalu</t>
  </si>
  <si>
    <t>Poczta</t>
  </si>
  <si>
    <t>Gmina</t>
  </si>
  <si>
    <t>MN</t>
  </si>
  <si>
    <t>kodUrzeduSkarbowego</t>
  </si>
  <si>
    <t>nazwa</t>
  </si>
  <si>
    <t>kodPocztowy</t>
  </si>
  <si>
    <t>miejscowosc</t>
  </si>
  <si>
    <t>Urząd Skarbowy w Aleksandrowie Kujawskim</t>
  </si>
  <si>
    <t>Kościelna 18</t>
  </si>
  <si>
    <t>87-770</t>
  </si>
  <si>
    <t>Aleksandrów Kujawski</t>
  </si>
  <si>
    <t>Urząd Skarbowy w Augustowie</t>
  </si>
  <si>
    <t>Żabia 7</t>
  </si>
  <si>
    <t>16-630</t>
  </si>
  <si>
    <t>Augustów</t>
  </si>
  <si>
    <t>Urząd Skarbowy w Bartoszycach</t>
  </si>
  <si>
    <t>Bohaterów Warszawy 5</t>
  </si>
  <si>
    <t>11-120</t>
  </si>
  <si>
    <t>Bartoszyce</t>
  </si>
  <si>
    <t>Urząd Skarbowy w Będzinie</t>
  </si>
  <si>
    <t>I Armii Wojska Polskiego 1</t>
  </si>
  <si>
    <t>42-250</t>
  </si>
  <si>
    <t>Będzin</t>
  </si>
  <si>
    <t>Urząd Skarbowy w Bełchatowie</t>
  </si>
  <si>
    <t>J. Piłsudskiego 18</t>
  </si>
  <si>
    <t>97-740</t>
  </si>
  <si>
    <t>Bełchatów</t>
  </si>
  <si>
    <t>Urząd Skarbowy w Białej Podlaskiej</t>
  </si>
  <si>
    <t>Prosta 19</t>
  </si>
  <si>
    <t>21-150</t>
  </si>
  <si>
    <t>Biała Podlaska</t>
  </si>
  <si>
    <t>Urząd Skarbowy w Białobrzegach</t>
  </si>
  <si>
    <t>Reymonta 46</t>
  </si>
  <si>
    <t>26-680</t>
  </si>
  <si>
    <t>Białobrzegi</t>
  </si>
  <si>
    <t>Urząd Skarbowy w Białogardzie</t>
  </si>
  <si>
    <t>Mickiewicza 3</t>
  </si>
  <si>
    <t>78-820</t>
  </si>
  <si>
    <t>Białogard</t>
  </si>
  <si>
    <t>Izba Skarbowa w Białymstoku</t>
  </si>
  <si>
    <t>Słonimska 1</t>
  </si>
  <si>
    <t>15-502</t>
  </si>
  <si>
    <t>Białystok</t>
  </si>
  <si>
    <t>Pierwszy Urząd Skarbowy w Białymstoku</t>
  </si>
  <si>
    <t>Świętojańska 13</t>
  </si>
  <si>
    <t>15-521</t>
  </si>
  <si>
    <t>Podlaski Urząd Skarbowy</t>
  </si>
  <si>
    <t>Młynowa 21A</t>
  </si>
  <si>
    <t>15-540</t>
  </si>
  <si>
    <t>Plażowa 17</t>
  </si>
  <si>
    <t>15-550</t>
  </si>
  <si>
    <t>Urząd Skarbowy w Bielsku Podlaskim</t>
  </si>
  <si>
    <t>Adama Mickiewicza 33</t>
  </si>
  <si>
    <t>17-710</t>
  </si>
  <si>
    <t>Bielsk Podlaski</t>
  </si>
  <si>
    <t>Biuro Krajowej Informacji Podatkowej w Bielsku-Białej</t>
  </si>
  <si>
    <t>Traugutta 2a</t>
  </si>
  <si>
    <t>43-330</t>
  </si>
  <si>
    <t>Bielsko-Biała</t>
  </si>
  <si>
    <t>Drugi Śląski Urząd Skarbowy w Bielsku-Białej</t>
  </si>
  <si>
    <t>Warszawska 45</t>
  </si>
  <si>
    <t>Drugi Urząd Skarbowy w Bielsku-Białej</t>
  </si>
  <si>
    <t>Gen. Maczka 73</t>
  </si>
  <si>
    <t>Pierwszy Urząd Skarbowy w Bielsku-Białej</t>
  </si>
  <si>
    <t>Sixta 17</t>
  </si>
  <si>
    <t>Urząd Skarbowy w Biłgoraju</t>
  </si>
  <si>
    <t>Tadeusza Kościuszki 78</t>
  </si>
  <si>
    <t>23-340</t>
  </si>
  <si>
    <t>Biłgoraj</t>
  </si>
  <si>
    <t>Urząd Skarbowy w Bochni</t>
  </si>
  <si>
    <t>Gołębia 3</t>
  </si>
  <si>
    <t>32-270</t>
  </si>
  <si>
    <t>Bochnia</t>
  </si>
  <si>
    <t>Urząd Skarbowy w Bolesławcu</t>
  </si>
  <si>
    <t>Garncarska 10</t>
  </si>
  <si>
    <t>59-970</t>
  </si>
  <si>
    <t>Bolesławiec</t>
  </si>
  <si>
    <t>Urząd Skarbowy w Braniewie</t>
  </si>
  <si>
    <t>Jana Matejki 6</t>
  </si>
  <si>
    <t>14-450</t>
  </si>
  <si>
    <t>Braniewo</t>
  </si>
  <si>
    <t>Urząd Skarbowy w Brodnicy</t>
  </si>
  <si>
    <t>Sikorskiego 19</t>
  </si>
  <si>
    <t>87-730</t>
  </si>
  <si>
    <t>Brodnica</t>
  </si>
  <si>
    <t>Urząd Skarbowy w Brzegu</t>
  </si>
  <si>
    <t>Składowa 2</t>
  </si>
  <si>
    <t>49-930</t>
  </si>
  <si>
    <t>Brzeg</t>
  </si>
  <si>
    <t>Urząd Skarbowy w Brzesku</t>
  </si>
  <si>
    <t>Królowej Jadwigi 16</t>
  </si>
  <si>
    <t>32-280</t>
  </si>
  <si>
    <t>Brzesko</t>
  </si>
  <si>
    <t>Urząd Skarbowy w Brzezinach</t>
  </si>
  <si>
    <t>Sienkiewicza 16</t>
  </si>
  <si>
    <t>95-506</t>
  </si>
  <si>
    <t>Brzeziny</t>
  </si>
  <si>
    <t>Urząd Skarbowy w Brzozowie</t>
  </si>
  <si>
    <t>Kazimierzowska 1</t>
  </si>
  <si>
    <t>36-620</t>
  </si>
  <si>
    <t>Brzozów</t>
  </si>
  <si>
    <t>Urząd Skarbowy w Busko-Zdroju</t>
  </si>
  <si>
    <t>12 Stycznia 17</t>
  </si>
  <si>
    <t>28-810</t>
  </si>
  <si>
    <t>Busko-Zdrój</t>
  </si>
  <si>
    <t>Trzeci Urząd Skarbowy w Bydgoszczy</t>
  </si>
  <si>
    <t>T. Rejtana 5</t>
  </si>
  <si>
    <t>85-503</t>
  </si>
  <si>
    <t>Bydgoszcz</t>
  </si>
  <si>
    <t>Kujawsko-Pomorski Urząd Skarbowy w Bydgoszczy</t>
  </si>
  <si>
    <t>Grunwaldzka 50</t>
  </si>
  <si>
    <t>85-523</t>
  </si>
  <si>
    <t>Drugi Urząd Skarbowy w Bydgoszczy</t>
  </si>
  <si>
    <t>Wojska Polskiego 20B</t>
  </si>
  <si>
    <t>85-582</t>
  </si>
  <si>
    <t>Izba Skarbowa w Bydgoszczy</t>
  </si>
  <si>
    <t>Dr. Emila Warmińskiego 18</t>
  </si>
  <si>
    <t>85-595</t>
  </si>
  <si>
    <t>Pierwszy Urząd Skarbowy w Bydgoszczy</t>
  </si>
  <si>
    <t>Fordońska 77</t>
  </si>
  <si>
    <t>Urząd Skarbowy w Bystrzycy Kłodzkiej</t>
  </si>
  <si>
    <t>Adama Mickiewicza 5</t>
  </si>
  <si>
    <t>57-750</t>
  </si>
  <si>
    <t>Bystrzyca Kłodzka</t>
  </si>
  <si>
    <t>Urząd Skarbowy w Bytomiu</t>
  </si>
  <si>
    <t>Wrocławska 92</t>
  </si>
  <si>
    <t>41-190</t>
  </si>
  <si>
    <t>Bytom</t>
  </si>
  <si>
    <t>Urząd Skarbowy w Bytowie</t>
  </si>
  <si>
    <t>1 Maja 16</t>
  </si>
  <si>
    <t>77-710</t>
  </si>
  <si>
    <t>Bytów</t>
  </si>
  <si>
    <t>Urząd Skarbowy w Chełmie</t>
  </si>
  <si>
    <t>Obłońska 20a</t>
  </si>
  <si>
    <t>22-210</t>
  </si>
  <si>
    <t>Chełm</t>
  </si>
  <si>
    <t>Urząd Skarbowy w Chełmnie</t>
  </si>
  <si>
    <t>Grudziądzka 6</t>
  </si>
  <si>
    <t>86-620</t>
  </si>
  <si>
    <t>Chełmno</t>
  </si>
  <si>
    <t>Urząd Skarbowy w Chodzieży</t>
  </si>
  <si>
    <t>Ofiar Gór Morzewskich 1</t>
  </si>
  <si>
    <t>64-480</t>
  </si>
  <si>
    <t>Chodzież</t>
  </si>
  <si>
    <t>Urząd Skarbowy w Chojnicach</t>
  </si>
  <si>
    <t>Młyńska 22</t>
  </si>
  <si>
    <t>89-960</t>
  </si>
  <si>
    <t>Chojnice</t>
  </si>
  <si>
    <t>Urząd Skarbowy w Chorzowie</t>
  </si>
  <si>
    <t>Armii Krajowej 5</t>
  </si>
  <si>
    <t>41-150</t>
  </si>
  <si>
    <t>Chorzów</t>
  </si>
  <si>
    <t>Urząd Skarbowy w Choszcznie</t>
  </si>
  <si>
    <t>22 Lipca 16</t>
  </si>
  <si>
    <t>73-320</t>
  </si>
  <si>
    <t>Choszczno</t>
  </si>
  <si>
    <t>Urząd Skarbowy w Chrzanowie</t>
  </si>
  <si>
    <t>Garncarska 9</t>
  </si>
  <si>
    <t>32-250</t>
  </si>
  <si>
    <t>Chrzanów</t>
  </si>
  <si>
    <t>Urząd Skarbowy w Ciechanowie</t>
  </si>
  <si>
    <t>Warszawska 58</t>
  </si>
  <si>
    <t>06-400</t>
  </si>
  <si>
    <t>Ciechanów</t>
  </si>
  <si>
    <t>Urząd Skarbowy w Cieszynie</t>
  </si>
  <si>
    <t>Kraszewskiego 4</t>
  </si>
  <si>
    <t>43-340</t>
  </si>
  <si>
    <t>Cieszyn</t>
  </si>
  <si>
    <t>Urząd Skarbowy w Czarnkowie</t>
  </si>
  <si>
    <t>Pocztowa 4</t>
  </si>
  <si>
    <t>64-470</t>
  </si>
  <si>
    <t>Czarnków</t>
  </si>
  <si>
    <t>Urząd Skarbowy w Czechowicach-Dziedzicach</t>
  </si>
  <si>
    <t>Nad Białką 1a</t>
  </si>
  <si>
    <t>43-350</t>
  </si>
  <si>
    <t>Czechowice-Dziedzice</t>
  </si>
  <si>
    <t>Drugi Urząd Skarbowy w Częstochowie</t>
  </si>
  <si>
    <t>Tkacka 3</t>
  </si>
  <si>
    <t>42-220</t>
  </si>
  <si>
    <t>Częstochowa</t>
  </si>
  <si>
    <t>Pierwszy Urząd Skarbowy w Częstochowie</t>
  </si>
  <si>
    <t>Filomatów 18/20</t>
  </si>
  <si>
    <t>Urząd Skarbowy w Człuchowie</t>
  </si>
  <si>
    <t>Jerzego z Dąbrowy 5 E</t>
  </si>
  <si>
    <t>77-730</t>
  </si>
  <si>
    <t>Człuchów</t>
  </si>
  <si>
    <t>Urząd Skarbowy w Dąbrowie Górniczej</t>
  </si>
  <si>
    <t>Krasińskiego 33a</t>
  </si>
  <si>
    <t>41-130</t>
  </si>
  <si>
    <t>Dąbrowa Górnicza</t>
  </si>
  <si>
    <t>Urząd Skarbowy w Dąbrowie Tarnowskiej</t>
  </si>
  <si>
    <t>Berka Joselewicza 5</t>
  </si>
  <si>
    <t>33-320</t>
  </si>
  <si>
    <t>Dąbrowa Tarnowska</t>
  </si>
  <si>
    <t>Urząd Skarbowy w Dębicy</t>
  </si>
  <si>
    <t>Kolejowa 21</t>
  </si>
  <si>
    <t>39-920</t>
  </si>
  <si>
    <t>Dębica</t>
  </si>
  <si>
    <t>Urząd Skarbowy w Drawsku Pomorskim</t>
  </si>
  <si>
    <t>Piłsudskiego 35-37</t>
  </si>
  <si>
    <t>78-850</t>
  </si>
  <si>
    <t>Drawsko Pomorskie</t>
  </si>
  <si>
    <t>Urząd Skarbowy w Drezdenku</t>
  </si>
  <si>
    <t>Pierwszej Brygady 21</t>
  </si>
  <si>
    <t>66-653</t>
  </si>
  <si>
    <t>Drezdenko</t>
  </si>
  <si>
    <t>Urząd Skarbowy w Działdowie</t>
  </si>
  <si>
    <t>Pl. Mickiewicza 26</t>
  </si>
  <si>
    <t>13-320</t>
  </si>
  <si>
    <t>Działdowo</t>
  </si>
  <si>
    <t>Urząd Skarbowy w  Dzierżoniowie</t>
  </si>
  <si>
    <t>Pocztowa 14</t>
  </si>
  <si>
    <t>58-820</t>
  </si>
  <si>
    <t>Dzierżoniów</t>
  </si>
  <si>
    <t>Urząd Skarbowy w Elblągu</t>
  </si>
  <si>
    <t>Adama Mickiewicza 43</t>
  </si>
  <si>
    <t>82-230</t>
  </si>
  <si>
    <t>Elbląg</t>
  </si>
  <si>
    <t>Urząd Skarbowy w Ełku</t>
  </si>
  <si>
    <t>Wojska Polskiego 67</t>
  </si>
  <si>
    <t>19-930</t>
  </si>
  <si>
    <t>Ełk</t>
  </si>
  <si>
    <t>Urząd Skarbowy w Garwolinie</t>
  </si>
  <si>
    <t>Senatorska 30</t>
  </si>
  <si>
    <t>08-400</t>
  </si>
  <si>
    <t>Garwolin</t>
  </si>
  <si>
    <t>Drugi Urząd Skarbowy w Gdańsku</t>
  </si>
  <si>
    <t>Kołobrzeska 43</t>
  </si>
  <si>
    <t>80-039</t>
  </si>
  <si>
    <t>Gdańsk</t>
  </si>
  <si>
    <t>Trzeci Urząd Skarbowy w Gdańsku</t>
  </si>
  <si>
    <t>Żaglowa 2</t>
  </si>
  <si>
    <t>80-056</t>
  </si>
  <si>
    <t>Pomorski Urząd Skarbowy w Gdańsku</t>
  </si>
  <si>
    <t>Żytnia 4/6</t>
  </si>
  <si>
    <t>80-074</t>
  </si>
  <si>
    <t>Pierwszy Urząd Skarbowy w Gdańsku</t>
  </si>
  <si>
    <t>Rzeźnicka 54/56</t>
  </si>
  <si>
    <t>80-082</t>
  </si>
  <si>
    <t>Izba Skarbowa w Gdańsku</t>
  </si>
  <si>
    <t>Długa 75/76</t>
  </si>
  <si>
    <t>80-083</t>
  </si>
  <si>
    <t>Drugi Urząd Skarbowy w Gdyni</t>
  </si>
  <si>
    <t>Hutnicza 25</t>
  </si>
  <si>
    <t>81-106</t>
  </si>
  <si>
    <t>Gdynia</t>
  </si>
  <si>
    <t>Pierwszy Urząd Skarbowy w Gdyni</t>
  </si>
  <si>
    <t>Władysława IV 2/4</t>
  </si>
  <si>
    <t>81-135</t>
  </si>
  <si>
    <t>Urząd Skarbowy w Giżycku</t>
  </si>
  <si>
    <t>I Dywizji im. T. Kościuszki 15</t>
  </si>
  <si>
    <t>11-150</t>
  </si>
  <si>
    <t>Giżycko</t>
  </si>
  <si>
    <t>Drugi Urząd Skarbowy w Gliwicach</t>
  </si>
  <si>
    <t>Młodego Hutnika 2</t>
  </si>
  <si>
    <t>44-410</t>
  </si>
  <si>
    <t>Gliwice</t>
  </si>
  <si>
    <t>Pierwszy Urząd Skarbowy w Gliwicach</t>
  </si>
  <si>
    <t>Góry Chełmskiej 15</t>
  </si>
  <si>
    <t>Urząd Skarbowy w Głogowie</t>
  </si>
  <si>
    <t>Adama Mickiewicza 53</t>
  </si>
  <si>
    <t>67-720</t>
  </si>
  <si>
    <t>Głogów</t>
  </si>
  <si>
    <t>Urząd Skarbowy w Głownie</t>
  </si>
  <si>
    <t>Ludwika Norblina 2</t>
  </si>
  <si>
    <t>95-501</t>
  </si>
  <si>
    <t>Głowno</t>
  </si>
  <si>
    <t>Urząd Skarbowy w Głubczycach</t>
  </si>
  <si>
    <t>Fabryczna 2</t>
  </si>
  <si>
    <t>48-810</t>
  </si>
  <si>
    <t>Głubczyce</t>
  </si>
  <si>
    <t>Urząd Skarbowy w Gnieźnie</t>
  </si>
  <si>
    <t>Spichrzowa 4</t>
  </si>
  <si>
    <t>62-220</t>
  </si>
  <si>
    <t>Gniezno</t>
  </si>
  <si>
    <t>Urząd Skarbowy w Goleniowie</t>
  </si>
  <si>
    <t>Pl. Lotników 1</t>
  </si>
  <si>
    <t>72-210</t>
  </si>
  <si>
    <t>Goleniów</t>
  </si>
  <si>
    <t>Urząd Skarbowy w Golubiu-Dobrzyniu</t>
  </si>
  <si>
    <t>Dr. J.G. Koppa 1A</t>
  </si>
  <si>
    <t>87-740</t>
  </si>
  <si>
    <t>Golub-Dobrzyń</t>
  </si>
  <si>
    <t>Urząd skarbowy w Górze</t>
  </si>
  <si>
    <t>Poznańska 4</t>
  </si>
  <si>
    <t>56-620</t>
  </si>
  <si>
    <t>Góra</t>
  </si>
  <si>
    <t>Urząd Skarbowy w Gorlicach</t>
  </si>
  <si>
    <t>Bardiowska 9</t>
  </si>
  <si>
    <t>38-830</t>
  </si>
  <si>
    <t>Gorlice</t>
  </si>
  <si>
    <t>Urząd Skarbowy w Gorzowie Wlkp.</t>
  </si>
  <si>
    <t>Jagiellończyka 10</t>
  </si>
  <si>
    <t>66-640</t>
  </si>
  <si>
    <t>Gorzów Wlkp.</t>
  </si>
  <si>
    <t>Urząd Skarbowy w Gostyniu</t>
  </si>
  <si>
    <t>Lipowa 2</t>
  </si>
  <si>
    <t>63-380</t>
  </si>
  <si>
    <t>Gostyń</t>
  </si>
  <si>
    <t>Urząd Skarbowy w Gostyninie</t>
  </si>
  <si>
    <t>Płocka 10</t>
  </si>
  <si>
    <t>09-500</t>
  </si>
  <si>
    <t>Gostynin</t>
  </si>
  <si>
    <t>Urząd Skarbowy w Grajewie</t>
  </si>
  <si>
    <t>Elewatorska 8</t>
  </si>
  <si>
    <t>19-920</t>
  </si>
  <si>
    <t>Grajewo</t>
  </si>
  <si>
    <t>Urząd Skarbowy w Grodzisku Mazowieckim</t>
  </si>
  <si>
    <t>Daleka 11</t>
  </si>
  <si>
    <t>05-825</t>
  </si>
  <si>
    <t>Grodzisk Mazowiecki</t>
  </si>
  <si>
    <t>Urząd Skarbowy w Grodzisku Wielkopolskim</t>
  </si>
  <si>
    <t>Chopina 7</t>
  </si>
  <si>
    <t>62-206</t>
  </si>
  <si>
    <t>Grodzisk Wielkopolski</t>
  </si>
  <si>
    <t>Urząd Skarbowy w Grójcu</t>
  </si>
  <si>
    <t>Ks. Piotra Skargi 35</t>
  </si>
  <si>
    <t>05-600</t>
  </si>
  <si>
    <t>Grójec</t>
  </si>
  <si>
    <t>Urząd Skarbowy w Grudziądzu</t>
  </si>
  <si>
    <t>Droga Łąkowa 23</t>
  </si>
  <si>
    <t>86-630</t>
  </si>
  <si>
    <t>Grudziądz</t>
  </si>
  <si>
    <t>Urząd Skarbowy w Gryficach</t>
  </si>
  <si>
    <t>Niepodległości 54A</t>
  </si>
  <si>
    <t>72-230</t>
  </si>
  <si>
    <t>Gryfice</t>
  </si>
  <si>
    <t>Urząd Skarbowy w Gryfinie</t>
  </si>
  <si>
    <t>Szczecińska 24</t>
  </si>
  <si>
    <t>74-410</t>
  </si>
  <si>
    <t>Gryfino</t>
  </si>
  <si>
    <t>Urząd Skarbowy w Hajnówce</t>
  </si>
  <si>
    <t>3 Maja 34</t>
  </si>
  <si>
    <t>17-720</t>
  </si>
  <si>
    <t>Hajnówka</t>
  </si>
  <si>
    <t>Urząd Skarbowy w Hrubieszowie</t>
  </si>
  <si>
    <t>27 Wołyńskiej Dywizji Piechoty AK 11</t>
  </si>
  <si>
    <t>22-250</t>
  </si>
  <si>
    <t>Hrubieszów</t>
  </si>
  <si>
    <t>Urząd Skarbowy w Iławie</t>
  </si>
  <si>
    <t>Wojska Polskiego 26</t>
  </si>
  <si>
    <t>14-420</t>
  </si>
  <si>
    <t>Iława</t>
  </si>
  <si>
    <t>Urząd Skarbowy w Inowrocławiu</t>
  </si>
  <si>
    <t>al. Niepodległości 5</t>
  </si>
  <si>
    <t>88-810</t>
  </si>
  <si>
    <t>Inowrocław</t>
  </si>
  <si>
    <t>Urząd Skarbowy w Janowie Lubelskim</t>
  </si>
  <si>
    <t>Wojska Polskiego 32</t>
  </si>
  <si>
    <t>23-330</t>
  </si>
  <si>
    <t>Janów Lubelski</t>
  </si>
  <si>
    <t>Urząd Skarbowy w Jarocinie</t>
  </si>
  <si>
    <t>Tadeusza Kościuszki 21</t>
  </si>
  <si>
    <t>63-320</t>
  </si>
  <si>
    <t>Jarocin</t>
  </si>
  <si>
    <t>Urząd Skarbowy w Jarosławiu</t>
  </si>
  <si>
    <t>Przemysłowa 2a</t>
  </si>
  <si>
    <t>37-750</t>
  </si>
  <si>
    <t>Jarosław</t>
  </si>
  <si>
    <t>Urząd Skarbowy w Jaśle</t>
  </si>
  <si>
    <t>Staszica 3</t>
  </si>
  <si>
    <t>38-820</t>
  </si>
  <si>
    <t>Jasło</t>
  </si>
  <si>
    <t>Urząd Skarbowy w Jastrzębiu-Zdroju</t>
  </si>
  <si>
    <t>11 Listopada 13</t>
  </si>
  <si>
    <t>44-433</t>
  </si>
  <si>
    <t>Jastrzębie-Zdrój</t>
  </si>
  <si>
    <t>Urząd Skarbowy w Jaworze</t>
  </si>
  <si>
    <t>Gagarina 5</t>
  </si>
  <si>
    <t>59-940</t>
  </si>
  <si>
    <t>Jawor</t>
  </si>
  <si>
    <t>Urząd Skarbowy w Jaworznie</t>
  </si>
  <si>
    <t>Grunwaldzka 274</t>
  </si>
  <si>
    <t>43-360</t>
  </si>
  <si>
    <t>Jaworzno</t>
  </si>
  <si>
    <t>Urząd Skarbowy w Jędrzejowie</t>
  </si>
  <si>
    <t>11 Listopada 33</t>
  </si>
  <si>
    <t>28-830</t>
  </si>
  <si>
    <t>Jędrzejów</t>
  </si>
  <si>
    <t>Urząd Skarbowy w  Jeleniej Górze</t>
  </si>
  <si>
    <t>Wolności 121</t>
  </si>
  <si>
    <t>58-850</t>
  </si>
  <si>
    <t>Jelenia Góra</t>
  </si>
  <si>
    <t>Drugi Urząd Skarbowy w Kaliszu</t>
  </si>
  <si>
    <t>Targowa 1</t>
  </si>
  <si>
    <t>62-280</t>
  </si>
  <si>
    <t>Kalisz</t>
  </si>
  <si>
    <t>Drugi Wielkopolski Urząd Skarbowy w Kaliszu</t>
  </si>
  <si>
    <t>Fabryczna 1A</t>
  </si>
  <si>
    <t>Pierwszy Urząd Skarbowy w Kaliszu</t>
  </si>
  <si>
    <t>Wrocławska 12</t>
  </si>
  <si>
    <t>Urząd Skarbowy w Kamieniu Pomorskim</t>
  </si>
  <si>
    <t>Mieszka I 5B</t>
  </si>
  <si>
    <t>72-240</t>
  </si>
  <si>
    <t>Kamień Pomorski</t>
  </si>
  <si>
    <t>Urząd Skarbowy w Kamiennej Górze</t>
  </si>
  <si>
    <t>Papieża Jana Pawła II 18</t>
  </si>
  <si>
    <t>58-840</t>
  </si>
  <si>
    <t>Kamienna Góra</t>
  </si>
  <si>
    <t>Urząd Skarbowy w Kartuzach</t>
  </si>
  <si>
    <t>Kościerska 13</t>
  </si>
  <si>
    <t>83-330</t>
  </si>
  <si>
    <t>Kartuzy</t>
  </si>
  <si>
    <t>Izba Skarbowa w Katowicach</t>
  </si>
  <si>
    <t>Damrota 25</t>
  </si>
  <si>
    <t>40-002</t>
  </si>
  <si>
    <t>Katowice</t>
  </si>
  <si>
    <t>Pierwszy Urząd Skarbowy w Katowicach</t>
  </si>
  <si>
    <t>Żwirki i Wigury 17</t>
  </si>
  <si>
    <t>40-006</t>
  </si>
  <si>
    <t>Drugi Urząd Skarbowy w Katowicach</t>
  </si>
  <si>
    <t>Paderewskiego 32b</t>
  </si>
  <si>
    <t>40-028</t>
  </si>
  <si>
    <t>Urząd Skarbowy w Kazimierzy Wielkiej</t>
  </si>
  <si>
    <t>Kościuszki 16</t>
  </si>
  <si>
    <t>28-850</t>
  </si>
  <si>
    <t>Kazimierza Wielka</t>
  </si>
  <si>
    <t>Urząd Skarbowy w Kędzierzynie-Koźlu</t>
  </si>
  <si>
    <t>Piotra Skargi 19</t>
  </si>
  <si>
    <t>47-722</t>
  </si>
  <si>
    <t>Kędzierzyn-Koźle</t>
  </si>
  <si>
    <t>Urząd Skarbowy w Kępnie</t>
  </si>
  <si>
    <t>Rynek 4</t>
  </si>
  <si>
    <t>63-360</t>
  </si>
  <si>
    <t>Kępno</t>
  </si>
  <si>
    <t>Urząd Skarbowy w Kętrzynie</t>
  </si>
  <si>
    <t>Powstańców Warszawy 13</t>
  </si>
  <si>
    <t>11-140</t>
  </si>
  <si>
    <t>Kętrzyn</t>
  </si>
  <si>
    <t>Izba Skarbowa w Kielcach</t>
  </si>
  <si>
    <t>W.Witosa 78b</t>
  </si>
  <si>
    <t>25-556</t>
  </si>
  <si>
    <t>Kielce</t>
  </si>
  <si>
    <t>Drugi Urząd Skarbowy w Kielcach</t>
  </si>
  <si>
    <t>Częstochowska 20</t>
  </si>
  <si>
    <t>25-564</t>
  </si>
  <si>
    <t>Świętokrzyski Urząd Skarbowy w Kielcach</t>
  </si>
  <si>
    <t>Pierwszy Urząd Skarbowy w Kielcach</t>
  </si>
  <si>
    <t>Wróbla 17</t>
  </si>
  <si>
    <t>25-566</t>
  </si>
  <si>
    <t>Urząd Skarbowy w Kłobucku</t>
  </si>
  <si>
    <t>Rynek im Jana Pawła II 13</t>
  </si>
  <si>
    <t>42-210</t>
  </si>
  <si>
    <t>Kłobuck</t>
  </si>
  <si>
    <t>Urząd Skarbowy w  Kłodzku</t>
  </si>
  <si>
    <t>Walasiewiczówny 1</t>
  </si>
  <si>
    <t>57-730</t>
  </si>
  <si>
    <t>Kłodzko</t>
  </si>
  <si>
    <t>Urząd Skarbowy w Kluczborku</t>
  </si>
  <si>
    <t>Sienkiewicza 22 A</t>
  </si>
  <si>
    <t>46-620</t>
  </si>
  <si>
    <t>Kluczbork</t>
  </si>
  <si>
    <t>Urząd Skarbowy w Kolbuszowej</t>
  </si>
  <si>
    <t>Kościuszki 20</t>
  </si>
  <si>
    <t>36-610</t>
  </si>
  <si>
    <t>Kolbuszowa</t>
  </si>
  <si>
    <t>Urząd Skarbowy w Kolnie</t>
  </si>
  <si>
    <t>Wojska Polskiego 20</t>
  </si>
  <si>
    <t>18-850</t>
  </si>
  <si>
    <t>Kolno</t>
  </si>
  <si>
    <t>Urząd Skarbowy w Kole</t>
  </si>
  <si>
    <t>Bolesława Prusa 10</t>
  </si>
  <si>
    <t>62-260</t>
  </si>
  <si>
    <t>Koło</t>
  </si>
  <si>
    <t>Urząd Skarbowy w Kołobrzegu</t>
  </si>
  <si>
    <t>Armii Krajowej 2</t>
  </si>
  <si>
    <t>78-810</t>
  </si>
  <si>
    <t>Kołobrzeg</t>
  </si>
  <si>
    <t>Urząd Skarbowy w Koninie</t>
  </si>
  <si>
    <t>Zakładowa 7a</t>
  </si>
  <si>
    <t>62-251</t>
  </si>
  <si>
    <t>Konin</t>
  </si>
  <si>
    <t>Urząd Skarbowy w Końskich</t>
  </si>
  <si>
    <t>Marszałka Piłsudskiego 156b</t>
  </si>
  <si>
    <t>26-620</t>
  </si>
  <si>
    <t>Końskie</t>
  </si>
  <si>
    <t>Urząd Skarbowy w Kościanie</t>
  </si>
  <si>
    <t>Młyńska 5</t>
  </si>
  <si>
    <t>64-400</t>
  </si>
  <si>
    <t>Kościan</t>
  </si>
  <si>
    <t>Urząd Skarbowy w Kościerzynie</t>
  </si>
  <si>
    <t>Staszica 6</t>
  </si>
  <si>
    <t>83-340</t>
  </si>
  <si>
    <t>Kościerzyna</t>
  </si>
  <si>
    <t>Pierwszy Urząd Skarbowy w Koszalinie</t>
  </si>
  <si>
    <t>Przemysłowa 3</t>
  </si>
  <si>
    <t>75-521</t>
  </si>
  <si>
    <t>Koszalin</t>
  </si>
  <si>
    <t>Drugi Urząd Skarbowy w Koszalinie</t>
  </si>
  <si>
    <t>Moniuszki 15</t>
  </si>
  <si>
    <t>75-554</t>
  </si>
  <si>
    <t>Urząd Skarbowy w Kozienicach</t>
  </si>
  <si>
    <t>Parkowa 5</t>
  </si>
  <si>
    <t>26-690</t>
  </si>
  <si>
    <t>Kozienice</t>
  </si>
  <si>
    <t>Pierwszy Urząd Skarbowy Kraków</t>
  </si>
  <si>
    <t>Rzemieślnicza 20</t>
  </si>
  <si>
    <t>30-036</t>
  </si>
  <si>
    <t>Urząd Skarbowy Kraków - Podgórze</t>
  </si>
  <si>
    <t>Wadowicka 10</t>
  </si>
  <si>
    <t>30-041</t>
  </si>
  <si>
    <t>Urząd Skarbowy Kraków - Stare Miasto</t>
  </si>
  <si>
    <t>Grodzka 65</t>
  </si>
  <si>
    <t>31-100</t>
  </si>
  <si>
    <t>Izba Skarbowa w Krakowie</t>
  </si>
  <si>
    <t>Wiślna 7</t>
  </si>
  <si>
    <t>Drugi Urząd Skarbowy Kraków</t>
  </si>
  <si>
    <t>Krowoderskich Zuchów 2</t>
  </si>
  <si>
    <t>31-127</t>
  </si>
  <si>
    <t>Urząd Skarbowy Kraków - Krowodrza</t>
  </si>
  <si>
    <t>Urząd Skarbowy Kraków - Prądnik</t>
  </si>
  <si>
    <t>Urząd Skarbowy Kraków - Śródmieście</t>
  </si>
  <si>
    <t>Małopolski Urząd Skarbowy</t>
  </si>
  <si>
    <t>Bohaterów Września 80</t>
  </si>
  <si>
    <t>31-162</t>
  </si>
  <si>
    <t>Urząd Skarbowy Kraków - Nowa Huta</t>
  </si>
  <si>
    <t>Urząd Skarbowy w Krapkowicach</t>
  </si>
  <si>
    <t>Opolska 96 A</t>
  </si>
  <si>
    <t>47-730</t>
  </si>
  <si>
    <t>Krapkowice</t>
  </si>
  <si>
    <t>Urząd Skarbowy w Kraśniku</t>
  </si>
  <si>
    <t>Tadeusza Kościuszki 5</t>
  </si>
  <si>
    <t>23-320</t>
  </si>
  <si>
    <t>Kraśnik</t>
  </si>
  <si>
    <t>Urząd Skarbowy w Krasnymstawie</t>
  </si>
  <si>
    <t>Rzeczna 5</t>
  </si>
  <si>
    <t>22-230</t>
  </si>
  <si>
    <t>Krasnystaw</t>
  </si>
  <si>
    <t>Urząd Skarbowy w Krośnie</t>
  </si>
  <si>
    <t>Składowa 5</t>
  </si>
  <si>
    <t>38-840</t>
  </si>
  <si>
    <t>Krosno</t>
  </si>
  <si>
    <t>Urząd Skarbowy w Krośnie Odrz.</t>
  </si>
  <si>
    <t>Obrońców Stalingradu 3</t>
  </si>
  <si>
    <t>66-660</t>
  </si>
  <si>
    <t>Krosno Odrzańskie</t>
  </si>
  <si>
    <t>Urząd Skarbowy w Krotoszynie</t>
  </si>
  <si>
    <t>Polna 32</t>
  </si>
  <si>
    <t>63-370</t>
  </si>
  <si>
    <t>Krotoszyn</t>
  </si>
  <si>
    <t>Urząd Skarbowy w Kutnie</t>
  </si>
  <si>
    <t>Troczewskiego 12</t>
  </si>
  <si>
    <t>99-930</t>
  </si>
  <si>
    <t>Kutno</t>
  </si>
  <si>
    <t>Urząd Skarbowy w Kwidzynie</t>
  </si>
  <si>
    <t>3 Maja 6</t>
  </si>
  <si>
    <t>82-250</t>
  </si>
  <si>
    <t>Kwidzyn</t>
  </si>
  <si>
    <t>Urząd Skarbowy w Łańcucie</t>
  </si>
  <si>
    <t>Piłsudskiego 11</t>
  </si>
  <si>
    <t>37-710</t>
  </si>
  <si>
    <t>Łańcut</t>
  </si>
  <si>
    <t>Urząd Skarbowy w Łasku</t>
  </si>
  <si>
    <t>9 Maja 31</t>
  </si>
  <si>
    <t>98-810</t>
  </si>
  <si>
    <t>Łask</t>
  </si>
  <si>
    <t>Urząd Skarbowy w Lęborku</t>
  </si>
  <si>
    <t>Słupska 23</t>
  </si>
  <si>
    <t>84-430</t>
  </si>
  <si>
    <t>Lębork</t>
  </si>
  <si>
    <t>Urząd Skarbowy w Łęcznej</t>
  </si>
  <si>
    <t>Jana Pawła II 95</t>
  </si>
  <si>
    <t>21-101</t>
  </si>
  <si>
    <t>Łęczna</t>
  </si>
  <si>
    <t>Urząd Skarbowy w Łęczycy</t>
  </si>
  <si>
    <t>al. Jana Pawła II 17</t>
  </si>
  <si>
    <t>99-910</t>
  </si>
  <si>
    <t>Łęczyca</t>
  </si>
  <si>
    <t>Urząd Skarbowy w Legionowie</t>
  </si>
  <si>
    <t>Piłsudskiego 43c</t>
  </si>
  <si>
    <t>05-120</t>
  </si>
  <si>
    <t>Legionowo</t>
  </si>
  <si>
    <t>Urząd Skarbowy w Legnicy</t>
  </si>
  <si>
    <t>Najświętszej Marii Panny 3</t>
  </si>
  <si>
    <t>59-922</t>
  </si>
  <si>
    <t>Legnica</t>
  </si>
  <si>
    <t>Urząd Skarbowy w Lesku</t>
  </si>
  <si>
    <t>Rynek 1</t>
  </si>
  <si>
    <t>38-860</t>
  </si>
  <si>
    <t>Lesko</t>
  </si>
  <si>
    <t>Urząd Skarbowy w Lesznie</t>
  </si>
  <si>
    <t>Adama Mickiewicza 7</t>
  </si>
  <si>
    <t>64-410</t>
  </si>
  <si>
    <t>Leszno</t>
  </si>
  <si>
    <t>Urząd Skarbowy w Leżajsku</t>
  </si>
  <si>
    <t>Plac Targowy 3</t>
  </si>
  <si>
    <t>37-730</t>
  </si>
  <si>
    <t>Leżajsk</t>
  </si>
  <si>
    <t>Urząd Skarbowy w Limanowej</t>
  </si>
  <si>
    <t>M. B. Bolesnej 9</t>
  </si>
  <si>
    <t>34-460</t>
  </si>
  <si>
    <t>Limanowa</t>
  </si>
  <si>
    <t>Urząd Skarbowy w Lipnie</t>
  </si>
  <si>
    <t>Staszica 4</t>
  </si>
  <si>
    <t>87-760</t>
  </si>
  <si>
    <t>Lipno</t>
  </si>
  <si>
    <t>Urząd Skarbowy w Lipsku</t>
  </si>
  <si>
    <t>Solecka 88</t>
  </si>
  <si>
    <t>27-730</t>
  </si>
  <si>
    <t>Lipsko</t>
  </si>
  <si>
    <t>Urząd Skarbowy Łódź - Śródmieście</t>
  </si>
  <si>
    <t>Dowborczyków 9/11</t>
  </si>
  <si>
    <t>90-001</t>
  </si>
  <si>
    <t>Łódź</t>
  </si>
  <si>
    <t>Izba Skarbowa w Łodzi</t>
  </si>
  <si>
    <t>al. Kościuszki 83</t>
  </si>
  <si>
    <t>90-043</t>
  </si>
  <si>
    <t>Łódzki Urząd Skarbowy</t>
  </si>
  <si>
    <t>al. Kościuszki 85</t>
  </si>
  <si>
    <t>Urząd Skarbowy Łódź - Polesie</t>
  </si>
  <si>
    <t>6 Sierpnia 84/86</t>
  </si>
  <si>
    <t>90-064</t>
  </si>
  <si>
    <t>Pierwszy Urząd Skarbowy Łódź - Bałuty</t>
  </si>
  <si>
    <t>Zachodnia 47</t>
  </si>
  <si>
    <t>91-106</t>
  </si>
  <si>
    <t>Drugi Urząd Skarbowy Łódź - Bałuty</t>
  </si>
  <si>
    <t>Św. Teresy od Dzieciątka Jezus 105</t>
  </si>
  <si>
    <t>91-122</t>
  </si>
  <si>
    <t>Urząd Skarbowy Łódź - Widzew</t>
  </si>
  <si>
    <t>Papiernicza 7</t>
  </si>
  <si>
    <t>92-231</t>
  </si>
  <si>
    <t>Drugi Urząd Skarbowy Łódź - Górna</t>
  </si>
  <si>
    <t>Wróblewskiego 10</t>
  </si>
  <si>
    <t>93-357</t>
  </si>
  <si>
    <t>Pierwszy Urząd Skarbowy Łódź - Górna</t>
  </si>
  <si>
    <t>Urząd Skarbowy w Łomży</t>
  </si>
  <si>
    <t>Polowa 47</t>
  </si>
  <si>
    <t>18-840</t>
  </si>
  <si>
    <t>Łomża</t>
  </si>
  <si>
    <t>Urząd Skarbowy w Łosicach</t>
  </si>
  <si>
    <t>11 Listopada 1</t>
  </si>
  <si>
    <t>08-200</t>
  </si>
  <si>
    <t>Łosice</t>
  </si>
  <si>
    <t>Urząd Skarbowy w Łowiczu</t>
  </si>
  <si>
    <t>Chełmońskiego 2</t>
  </si>
  <si>
    <t>99-940</t>
  </si>
  <si>
    <t>Łowicz</t>
  </si>
  <si>
    <t>Urząd Skarbowy w Lubaczowie</t>
  </si>
  <si>
    <t>Sobieskiego 6</t>
  </si>
  <si>
    <t>37-760</t>
  </si>
  <si>
    <t>Lubaczów</t>
  </si>
  <si>
    <t>Urząd Skarbowy w Lubaniu</t>
  </si>
  <si>
    <t>Stara 1</t>
  </si>
  <si>
    <t>59-980</t>
  </si>
  <si>
    <t>Lubań</t>
  </si>
  <si>
    <t>Urząd Skarbowy w Lubartowie</t>
  </si>
  <si>
    <t>Legionów 55</t>
  </si>
  <si>
    <t>21-110</t>
  </si>
  <si>
    <t>Lubartów</t>
  </si>
  <si>
    <t>Urząd Skarbowy w Lubinie</t>
  </si>
  <si>
    <t>Marii Skłodowskiej Curie 94</t>
  </si>
  <si>
    <t>59-930</t>
  </si>
  <si>
    <t>Lubin</t>
  </si>
  <si>
    <t>Trzeci Urząd Skarbowy w Lublinie</t>
  </si>
  <si>
    <t>Narutowicza 56</t>
  </si>
  <si>
    <t>20-001</t>
  </si>
  <si>
    <t>Lublin</t>
  </si>
  <si>
    <t>Pierwszy Urząd Skarbowy w Lublinie</t>
  </si>
  <si>
    <t>Sądowa 5</t>
  </si>
  <si>
    <t>20-002</t>
  </si>
  <si>
    <t>Drugi Urząd Skarbowy w Lublinie</t>
  </si>
  <si>
    <t>T. Szeligowskiego 24</t>
  </si>
  <si>
    <t>20-088</t>
  </si>
  <si>
    <t>Izba Skarbowa w Lublinie</t>
  </si>
  <si>
    <t>Lubelski Urząd Skarbowy w Lublinie</t>
  </si>
  <si>
    <t>Urząd Skarbowy w Lublińcu</t>
  </si>
  <si>
    <t>Paderewskiego 7b</t>
  </si>
  <si>
    <t>42-270</t>
  </si>
  <si>
    <t>Lubliniec</t>
  </si>
  <si>
    <t>Urząd Skarbowy w Łukowie</t>
  </si>
  <si>
    <t>Międzyrzecka 72a</t>
  </si>
  <si>
    <t>21-140</t>
  </si>
  <si>
    <t>Łuków</t>
  </si>
  <si>
    <t>Urząd Skarbowy w Lwówku Śląskim</t>
  </si>
  <si>
    <t>Budowlanych 1</t>
  </si>
  <si>
    <t>59-960</t>
  </si>
  <si>
    <t>Lwówek Śląski</t>
  </si>
  <si>
    <t>Urząd Skarbowy w Makowie Mazowieckim</t>
  </si>
  <si>
    <t>Kopernika 6C</t>
  </si>
  <si>
    <t>06-200</t>
  </si>
  <si>
    <t>Maków Mazowiecki</t>
  </si>
  <si>
    <t>Urząd Skarbowy w Malborku</t>
  </si>
  <si>
    <t>Kopernika 10</t>
  </si>
  <si>
    <t>82-220</t>
  </si>
  <si>
    <t>Malbork</t>
  </si>
  <si>
    <t>Urząd Skarbowy w Miechowie</t>
  </si>
  <si>
    <t>Stanisławy Daneckiej 1</t>
  </si>
  <si>
    <t>32-220</t>
  </si>
  <si>
    <t>Miechów</t>
  </si>
  <si>
    <t>Urząd Skarbowy w Międzychodzie</t>
  </si>
  <si>
    <t>Piłsudskiego 2</t>
  </si>
  <si>
    <t>64-440</t>
  </si>
  <si>
    <t>Międzychód</t>
  </si>
  <si>
    <t>Urząd Skarbowy w Międzyrzeczu</t>
  </si>
  <si>
    <t>Rynek 3</t>
  </si>
  <si>
    <t>66-630</t>
  </si>
  <si>
    <t>Międzyrzecz</t>
  </si>
  <si>
    <t>Urząd Skarbowy w Mielcu</t>
  </si>
  <si>
    <t>Żeromskiego 13</t>
  </si>
  <si>
    <t>39-930</t>
  </si>
  <si>
    <t>Mielec</t>
  </si>
  <si>
    <t>Urząd Skarbowy w Mikołowie</t>
  </si>
  <si>
    <t>Hubera 4</t>
  </si>
  <si>
    <t>43-319</t>
  </si>
  <si>
    <t>Mikołów</t>
  </si>
  <si>
    <t>Urząd Skarbowy w Miliczu</t>
  </si>
  <si>
    <t>56-630</t>
  </si>
  <si>
    <t>Milicz</t>
  </si>
  <si>
    <t>Urząd Skarbowy w Mińsku Mazowieckim</t>
  </si>
  <si>
    <t>Szczecińska 2</t>
  </si>
  <si>
    <t>05-300</t>
  </si>
  <si>
    <t>Mińsk Mazowiecki</t>
  </si>
  <si>
    <t>Urząd Skarbowy w Mławie</t>
  </si>
  <si>
    <t>Narutowicza 19/7</t>
  </si>
  <si>
    <t>06-500</t>
  </si>
  <si>
    <t>Mława</t>
  </si>
  <si>
    <t>Urząd Skarbowy w Mogilnie</t>
  </si>
  <si>
    <t>900-lecia 20</t>
  </si>
  <si>
    <t>88-830</t>
  </si>
  <si>
    <t>Mogilno</t>
  </si>
  <si>
    <t>Urząd Skarbowy w Mońkach</t>
  </si>
  <si>
    <t>Ełcka 41a</t>
  </si>
  <si>
    <t>19-910</t>
  </si>
  <si>
    <t>Mońki</t>
  </si>
  <si>
    <t>Urząd Skarbowy w Myślenicach</t>
  </si>
  <si>
    <t>Cegielskiego 2</t>
  </si>
  <si>
    <t>32-240</t>
  </si>
  <si>
    <t>Myślenice</t>
  </si>
  <si>
    <t>Urząd Skarbowy w Myśliborzu</t>
  </si>
  <si>
    <t>Felczaka 18</t>
  </si>
  <si>
    <t>74-430</t>
  </si>
  <si>
    <t>Myślibórz</t>
  </si>
  <si>
    <t>Urząd Skarbowy w Mysłowicach</t>
  </si>
  <si>
    <t>Mickiewicza 4</t>
  </si>
  <si>
    <t>41-140</t>
  </si>
  <si>
    <t>Mysłowice</t>
  </si>
  <si>
    <t>Urząd Skarbowy w Myszkowie</t>
  </si>
  <si>
    <t>Pułaskiego 68</t>
  </si>
  <si>
    <t>42-230</t>
  </si>
  <si>
    <t>Myszków</t>
  </si>
  <si>
    <t>Urząd Skarbowy w Nakle nad Notecią</t>
  </si>
  <si>
    <t>Sądowa 8</t>
  </si>
  <si>
    <t>89-910</t>
  </si>
  <si>
    <t>Nakło n. Notecią</t>
  </si>
  <si>
    <t>Urząd Skarbowy w Namysłowie</t>
  </si>
  <si>
    <t>Plac Wolności 1</t>
  </si>
  <si>
    <t>46-610</t>
  </si>
  <si>
    <t>Namysłów</t>
  </si>
  <si>
    <t>Urząd Skarbowy w Nidzicy</t>
  </si>
  <si>
    <t>Żeromskiego 11</t>
  </si>
  <si>
    <t>13-310</t>
  </si>
  <si>
    <t>Nidzica</t>
  </si>
  <si>
    <t>Urząd Skarbowy w Nisku</t>
  </si>
  <si>
    <t>3 Maja 32 B</t>
  </si>
  <si>
    <t>37-740</t>
  </si>
  <si>
    <t>Nisko</t>
  </si>
  <si>
    <t>Urząd Skarbowy w  Nowej Rudzie</t>
  </si>
  <si>
    <t>Kolejowa 23</t>
  </si>
  <si>
    <t>57-740</t>
  </si>
  <si>
    <t>Nowa Ruda</t>
  </si>
  <si>
    <t>Urząd Skarbowy w Nowej Soli</t>
  </si>
  <si>
    <t>Staszica 1</t>
  </si>
  <si>
    <t>67-710</t>
  </si>
  <si>
    <t>Nowa Sól</t>
  </si>
  <si>
    <t>Urząd Skarbowy w Nowym Mieście Lubawskim</t>
  </si>
  <si>
    <t>Działyńskich 3</t>
  </si>
  <si>
    <t>13-330</t>
  </si>
  <si>
    <t>Nowe Miasto Lubawskie</t>
  </si>
  <si>
    <t>Urząd Skarbowy w Nowym Dworze Mazowieckim</t>
  </si>
  <si>
    <t>Legionów 7</t>
  </si>
  <si>
    <t>05-100</t>
  </si>
  <si>
    <t>Nowy Dwór Mazowiecki</t>
  </si>
  <si>
    <t>Urząd Skarbowy w Nowym Sączu</t>
  </si>
  <si>
    <t>Barbackiego 10</t>
  </si>
  <si>
    <t>33-330</t>
  </si>
  <si>
    <t>Nowy Sącz</t>
  </si>
  <si>
    <t>Urząd Skarbowy w Nowym Targu</t>
  </si>
  <si>
    <t>Parkowa 13</t>
  </si>
  <si>
    <t>34-440</t>
  </si>
  <si>
    <t>Nowy Targ</t>
  </si>
  <si>
    <t>Urząd Skarbowy w Nowym Tomyślu</t>
  </si>
  <si>
    <t>Kolejowa 38</t>
  </si>
  <si>
    <t>64-430</t>
  </si>
  <si>
    <t>Nowy Tomyśl</t>
  </si>
  <si>
    <t>Urząd Skarbowy w Nysie</t>
  </si>
  <si>
    <t>B.Krzywoustego 23</t>
  </si>
  <si>
    <t>48-830</t>
  </si>
  <si>
    <t>Nysa</t>
  </si>
  <si>
    <t>Urząd Skarbowy w Obornikach</t>
  </si>
  <si>
    <t>64-460</t>
  </si>
  <si>
    <t>Oborniki</t>
  </si>
  <si>
    <t>Urząd Skarbowy w Oławie</t>
  </si>
  <si>
    <t>Lwowska 1</t>
  </si>
  <si>
    <t>55-520</t>
  </si>
  <si>
    <t>Oława</t>
  </si>
  <si>
    <t>Urząd Skarbowy w Olecku</t>
  </si>
  <si>
    <t>Wojska Polskiego 7</t>
  </si>
  <si>
    <t>19-940</t>
  </si>
  <si>
    <t>Olecko</t>
  </si>
  <si>
    <t>Urząd Skarbowy w Oleśnicy</t>
  </si>
  <si>
    <t>Lwowska 34-38</t>
  </si>
  <si>
    <t>56-640</t>
  </si>
  <si>
    <t>Oleśnica</t>
  </si>
  <si>
    <t>Urząd Skarbowy w Oleśnie</t>
  </si>
  <si>
    <t>Pieloka 21</t>
  </si>
  <si>
    <t>46-630</t>
  </si>
  <si>
    <t>Olesno</t>
  </si>
  <si>
    <t>Urząd Skarbowy w Olkuszu</t>
  </si>
  <si>
    <t>Budowlanych 2</t>
  </si>
  <si>
    <t>32-230</t>
  </si>
  <si>
    <t>Olkusz</t>
  </si>
  <si>
    <t>Warmińsko Mazurski Urząd Skarbowy w Olsztynie</t>
  </si>
  <si>
    <t>Lubelska 37</t>
  </si>
  <si>
    <t>10-040</t>
  </si>
  <si>
    <t>Olsztyn</t>
  </si>
  <si>
    <t>Izba Skarbowa w Olsztynie</t>
  </si>
  <si>
    <t>Al. Marszałka J. Piłsudskiego 59A</t>
  </si>
  <si>
    <t>10-095</t>
  </si>
  <si>
    <t>Urząd Skarbowy w Olsztynie</t>
  </si>
  <si>
    <t>Al. Marszałka J. Piłsudskiego 59</t>
  </si>
  <si>
    <t>Urząd Skarbowy w Opatowie</t>
  </si>
  <si>
    <t>Kilińskiego 9</t>
  </si>
  <si>
    <t>27-750</t>
  </si>
  <si>
    <t>Opatów</t>
  </si>
  <si>
    <t>Urząd Skarbowy w Opocznie</t>
  </si>
  <si>
    <t>Piotrkowska 14</t>
  </si>
  <si>
    <t>26-630</t>
  </si>
  <si>
    <t>Opoczno</t>
  </si>
  <si>
    <t>Izba Skarbowa w Opolu</t>
  </si>
  <si>
    <t>Ozimska 19</t>
  </si>
  <si>
    <t>45-505</t>
  </si>
  <si>
    <t>Opole</t>
  </si>
  <si>
    <t>Opolski Urząd Skarbowy w Opolu</t>
  </si>
  <si>
    <t>Rejtana 3A</t>
  </si>
  <si>
    <t>45-533</t>
  </si>
  <si>
    <t>Pierwszy Urząd Skarbowy w Opolu</t>
  </si>
  <si>
    <t>Rejtana 3B</t>
  </si>
  <si>
    <t>Drugi Urząd Skarbowy w Opolu</t>
  </si>
  <si>
    <t>Cementowa 6</t>
  </si>
  <si>
    <t>45-535</t>
  </si>
  <si>
    <t>Urząd Skarbowy w Opolu Lubelskim</t>
  </si>
  <si>
    <t>Józefa Piłsudskiego 12</t>
  </si>
  <si>
    <t>24-430</t>
  </si>
  <si>
    <t>Opole Lubelskie</t>
  </si>
  <si>
    <t>Urząd Skarbowy w Ostródzie</t>
  </si>
  <si>
    <t>Olsztyńska 5 B</t>
  </si>
  <si>
    <t>14-410</t>
  </si>
  <si>
    <t>Ostróda</t>
  </si>
  <si>
    <t>Urząd Skarbowy w Ostrołęce</t>
  </si>
  <si>
    <t>Przechodnia 6</t>
  </si>
  <si>
    <t>07-400</t>
  </si>
  <si>
    <t>Ostrołęka</t>
  </si>
  <si>
    <t>Urząd Skarbowy w Ostrowi Mazowieckiej</t>
  </si>
  <si>
    <t>Stanisława Duboisa 1</t>
  </si>
  <si>
    <t>07-300</t>
  </si>
  <si>
    <t>Ostrów Mazowiecka</t>
  </si>
  <si>
    <t>Urząd Skarbowy w Ostrowie Wielkopolskim</t>
  </si>
  <si>
    <t>Chłapowskiego 45</t>
  </si>
  <si>
    <t>63-340</t>
  </si>
  <si>
    <t>Ostrów Wielkopolski</t>
  </si>
  <si>
    <t>Urząd Skarbowy w Ostrowcu Świętokrzyskim</t>
  </si>
  <si>
    <t>Polna 11</t>
  </si>
  <si>
    <t>27-740</t>
  </si>
  <si>
    <t>Ostrowiec Świętokrzyski</t>
  </si>
  <si>
    <t>Urząd Skarbowy w Ostrzeszowie</t>
  </si>
  <si>
    <t>Władysława Grabskiego 1</t>
  </si>
  <si>
    <t>63-350</t>
  </si>
  <si>
    <t>Ostrzeszów</t>
  </si>
  <si>
    <t>Urząd Skarbowy w Oświęcimiu</t>
  </si>
  <si>
    <t>Plebańska 2</t>
  </si>
  <si>
    <t>32-260</t>
  </si>
  <si>
    <t>Oświęcim</t>
  </si>
  <si>
    <t>Urząd Skarbowy w Otwocku</t>
  </si>
  <si>
    <t>Matejki 4</t>
  </si>
  <si>
    <t>05-400</t>
  </si>
  <si>
    <t>Otwock</t>
  </si>
  <si>
    <t>Urząd Skarbowy w Pabianicach</t>
  </si>
  <si>
    <t>Zamkowa 26</t>
  </si>
  <si>
    <t>95-520</t>
  </si>
  <si>
    <t>Pabianice</t>
  </si>
  <si>
    <t>Urząd Skarbowy w Pajęcznie</t>
  </si>
  <si>
    <t>1 Maja 9</t>
  </si>
  <si>
    <t>98-833</t>
  </si>
  <si>
    <t>Pajęczno</t>
  </si>
  <si>
    <t>Urząd Skarbowy w Parczewie</t>
  </si>
  <si>
    <t>Żabia 2a</t>
  </si>
  <si>
    <t>21-120</t>
  </si>
  <si>
    <t>Parczew</t>
  </si>
  <si>
    <t>Urząd Skarbowy w Piasecznie</t>
  </si>
  <si>
    <t>Energetyczna 5</t>
  </si>
  <si>
    <t>05-500</t>
  </si>
  <si>
    <t>Piaseczno</t>
  </si>
  <si>
    <t>Urząd Skarbowy w Piekarach Śląskich</t>
  </si>
  <si>
    <t>Bytomska 92</t>
  </si>
  <si>
    <t>41-194</t>
  </si>
  <si>
    <t>Piekary Śląskie</t>
  </si>
  <si>
    <t>Urząd Skarbowy w Pile</t>
  </si>
  <si>
    <t>Kossaka 106</t>
  </si>
  <si>
    <t>64-492</t>
  </si>
  <si>
    <t>Piła</t>
  </si>
  <si>
    <t>Urząd Skarbowy w Pińczowie</t>
  </si>
  <si>
    <t>Grodziskowa 1</t>
  </si>
  <si>
    <t>28-840</t>
  </si>
  <si>
    <t>Pińczów</t>
  </si>
  <si>
    <t>Urząd Skarbowy w Piotrkowie Trybunalskim</t>
  </si>
  <si>
    <t>Wronia 65</t>
  </si>
  <si>
    <t>97-730</t>
  </si>
  <si>
    <t>Piotrków Tybunalski</t>
  </si>
  <si>
    <t>Urząd Skarbowy w Piszu</t>
  </si>
  <si>
    <t>Okopowa 2</t>
  </si>
  <si>
    <t>12-220</t>
  </si>
  <si>
    <t>Pisz</t>
  </si>
  <si>
    <t>Urząd Skarbowy w Pleszewie</t>
  </si>
  <si>
    <t>Bogusza 6</t>
  </si>
  <si>
    <t>63-330</t>
  </si>
  <si>
    <t>Pleszew</t>
  </si>
  <si>
    <t>Urząd Skarbowy w Płocku</t>
  </si>
  <si>
    <t>1 Maja 10</t>
  </si>
  <si>
    <t>09-402</t>
  </si>
  <si>
    <t>Płock</t>
  </si>
  <si>
    <t>Urząd Skarbowy w Płońsku</t>
  </si>
  <si>
    <t>Spółdzielcza 2</t>
  </si>
  <si>
    <t>09-100</t>
  </si>
  <si>
    <t>Płońsk</t>
  </si>
  <si>
    <t>Urząd Skarbowy w Poddębicach</t>
  </si>
  <si>
    <t>Narutowicza 12</t>
  </si>
  <si>
    <t>99-920</t>
  </si>
  <si>
    <t>Poddębice</t>
  </si>
  <si>
    <t>Urząd Skarbowy w Polkowicach</t>
  </si>
  <si>
    <t>Zachodnia 10</t>
  </si>
  <si>
    <t>59-910</t>
  </si>
  <si>
    <t>Polkowice</t>
  </si>
  <si>
    <t>Urząd Skarbowy Poznań - Grunwald</t>
  </si>
  <si>
    <t>Smoluchowskiego 1</t>
  </si>
  <si>
    <t>60-017</t>
  </si>
  <si>
    <t>Poznań</t>
  </si>
  <si>
    <t>Urząd Skarbowy Poznań - Winogrady</t>
  </si>
  <si>
    <t>Wojciechowskiego 3/5</t>
  </si>
  <si>
    <t>60-068</t>
  </si>
  <si>
    <t>Pierwszy Wielkopolski Urząd Skarbowy w Poznaniu</t>
  </si>
  <si>
    <t>Henryka Sienkiewicza 22</t>
  </si>
  <si>
    <t>60-081</t>
  </si>
  <si>
    <t>Urząd Skarbowy Poznań - Jeżyce</t>
  </si>
  <si>
    <t>Juliusza Słowackiego 22</t>
  </si>
  <si>
    <t>60-082</t>
  </si>
  <si>
    <t>Pierwszy Urząd Skarbowy w Poznaniu</t>
  </si>
  <si>
    <t>Chłapowskiego 17/18</t>
  </si>
  <si>
    <t>60-096</t>
  </si>
  <si>
    <t>Urząd Skarbowy Poznań - Nowe Miasto</t>
  </si>
  <si>
    <t>Warszawska 183/185</t>
  </si>
  <si>
    <t>61-105</t>
  </si>
  <si>
    <t>Urząd Skarbowy Poznań - Wilda</t>
  </si>
  <si>
    <t>Wierzbięcice 45</t>
  </si>
  <si>
    <t>61-155</t>
  </si>
  <si>
    <t>Izba Skarbowa w Poznaniu</t>
  </si>
  <si>
    <t>Pl. Cyryla Ratajskiego 5</t>
  </si>
  <si>
    <t>61-172</t>
  </si>
  <si>
    <t>Urząd Skarbowy w Proszowicach</t>
  </si>
  <si>
    <t>M. Reja 1</t>
  </si>
  <si>
    <t>32-210</t>
  </si>
  <si>
    <t>Proszowice</t>
  </si>
  <si>
    <t>Urząd Skarbowy w Prudniku</t>
  </si>
  <si>
    <t>Kopernika 1A</t>
  </si>
  <si>
    <t>48-820</t>
  </si>
  <si>
    <t>Prudnik</t>
  </si>
  <si>
    <t>Urząd Skarbowy w Pruszczu Gdańskim</t>
  </si>
  <si>
    <t>Łukasiewicza 2</t>
  </si>
  <si>
    <t>83-300</t>
  </si>
  <si>
    <t>Pruszcz Gdański</t>
  </si>
  <si>
    <t>Urząd Skarbowy w Pruszkowie</t>
  </si>
  <si>
    <t>05-800</t>
  </si>
  <si>
    <t>Pruszków</t>
  </si>
  <si>
    <t>Urząd Skarbowy w Przasnyszu</t>
  </si>
  <si>
    <t>Świerkowa 3</t>
  </si>
  <si>
    <t>06-300</t>
  </si>
  <si>
    <t>Przasnysz</t>
  </si>
  <si>
    <t>Urząd Skarbowy w Przemyślu</t>
  </si>
  <si>
    <t>Lwowska 9A</t>
  </si>
  <si>
    <t>37-770</t>
  </si>
  <si>
    <t>Przemyśl</t>
  </si>
  <si>
    <t>Urząd Skarbowy w Przeworsku</t>
  </si>
  <si>
    <t>Tysiąclecia 1</t>
  </si>
  <si>
    <t>37-720</t>
  </si>
  <si>
    <t>Przeworsk</t>
  </si>
  <si>
    <t>Urząd Skarbowy w Przysusze</t>
  </si>
  <si>
    <t>Szkolna 7</t>
  </si>
  <si>
    <t>26-640</t>
  </si>
  <si>
    <t>Przysucha</t>
  </si>
  <si>
    <t>Urząd Skarbowy w Pszczynie</t>
  </si>
  <si>
    <t>3 Maja 4</t>
  </si>
  <si>
    <t>43-320</t>
  </si>
  <si>
    <t>Pszczyna</t>
  </si>
  <si>
    <t>Urząd Skarbowy w Pucku</t>
  </si>
  <si>
    <t>Kmdr. E. Szystowskiego 18</t>
  </si>
  <si>
    <t>84-410</t>
  </si>
  <si>
    <t>Puck</t>
  </si>
  <si>
    <t>Urząd Skarbowy w Puławach</t>
  </si>
  <si>
    <t>Wł. Grabskiego 4</t>
  </si>
  <si>
    <t>24-410</t>
  </si>
  <si>
    <t>Puławy</t>
  </si>
  <si>
    <t>Urząd Skarbowy w Pułtusku</t>
  </si>
  <si>
    <t>Żwirki i Wigury 7</t>
  </si>
  <si>
    <t>06-100</t>
  </si>
  <si>
    <t>Pułtusk</t>
  </si>
  <si>
    <t>Urząd Skarbowy w Pyrzycach</t>
  </si>
  <si>
    <t>74-420</t>
  </si>
  <si>
    <t>Pyrzyce</t>
  </si>
  <si>
    <t>Urząd Skarbowy w Raciborzu</t>
  </si>
  <si>
    <t>Drzymały 32</t>
  </si>
  <si>
    <t>47-740</t>
  </si>
  <si>
    <t>Racibórz</t>
  </si>
  <si>
    <t>Drugi Urząd Skarbowy w Radomiu</t>
  </si>
  <si>
    <t>Toruńska 3</t>
  </si>
  <si>
    <t>26-660</t>
  </si>
  <si>
    <t>Radom</t>
  </si>
  <si>
    <t>Trzeci Mazowiecki Urząd Skarbowy</t>
  </si>
  <si>
    <t>Struga 26/28</t>
  </si>
  <si>
    <t>26-661</t>
  </si>
  <si>
    <t>Pierwszy Urząd Skarbowy w Radomiu</t>
  </si>
  <si>
    <t>Zbrowskiego 106</t>
  </si>
  <si>
    <t>Urząd Skarbowy w Radomsku</t>
  </si>
  <si>
    <t>97-750</t>
  </si>
  <si>
    <t>Radomsko</t>
  </si>
  <si>
    <t>Urząd Skarbowy w Radziejowie</t>
  </si>
  <si>
    <t>Rolnicza 6</t>
  </si>
  <si>
    <t>88-820</t>
  </si>
  <si>
    <t>Radziejów</t>
  </si>
  <si>
    <t>Urząd Skarbowy w Radzyniu Podlaskim</t>
  </si>
  <si>
    <t>Lubelska 1</t>
  </si>
  <si>
    <t>21-130</t>
  </si>
  <si>
    <t>Radzyń Podlaski</t>
  </si>
  <si>
    <t>Urząd Skarbowy w Rawie Mazowieckiej</t>
  </si>
  <si>
    <t>Słowackiego 4</t>
  </si>
  <si>
    <t>96-620</t>
  </si>
  <si>
    <t>Rawa Mazowiecka</t>
  </si>
  <si>
    <t>Urząd Skarbowy w Rawiczu</t>
  </si>
  <si>
    <t>63-390</t>
  </si>
  <si>
    <t>Rawicz</t>
  </si>
  <si>
    <t>Urząd Skarbowy w Ropczycach</t>
  </si>
  <si>
    <t>Św. Barbary 12</t>
  </si>
  <si>
    <t>39-910</t>
  </si>
  <si>
    <t>Ropczyce</t>
  </si>
  <si>
    <t>Urząd Skarbowy w Rudzie Śląskiej</t>
  </si>
  <si>
    <t>Kokotek 6</t>
  </si>
  <si>
    <t>41-170</t>
  </si>
  <si>
    <t>Ruda Śląska</t>
  </si>
  <si>
    <t>Urząd Skarbowy w Rybniku</t>
  </si>
  <si>
    <t>Pl. Armii Krajowej 3</t>
  </si>
  <si>
    <t>44-420</t>
  </si>
  <si>
    <t>Rybnik</t>
  </si>
  <si>
    <t>Urząd Skarbowy w Rykach</t>
  </si>
  <si>
    <t>Wyczółkowskiego 10a</t>
  </si>
  <si>
    <t>08-500</t>
  </si>
  <si>
    <t>Ryki</t>
  </si>
  <si>
    <t>Urząd Skarbowy w Rypinie</t>
  </si>
  <si>
    <t>Dojazdowa 10</t>
  </si>
  <si>
    <t>87-750</t>
  </si>
  <si>
    <t>Rypin</t>
  </si>
  <si>
    <t>Drugi Urząd Skarbowy w Rzeszowie</t>
  </si>
  <si>
    <t>Siemieńskiego 18</t>
  </si>
  <si>
    <t>35-523</t>
  </si>
  <si>
    <t>Rzeszów</t>
  </si>
  <si>
    <t>Pierwszy Urząd Skarbowy w Rzeszowie</t>
  </si>
  <si>
    <t>Podwisłocze 42</t>
  </si>
  <si>
    <t>35-530</t>
  </si>
  <si>
    <t>Izba Skarbowa w Rzeszowie</t>
  </si>
  <si>
    <t>Geodetów 1</t>
  </si>
  <si>
    <t>35-595</t>
  </si>
  <si>
    <t>Podkarpacki Urząd Skarbowy w Rzeszowie</t>
  </si>
  <si>
    <t>Urząd Skarbowy w Sandomierzu</t>
  </si>
  <si>
    <t>Żydowska 1</t>
  </si>
  <si>
    <t>27-760</t>
  </si>
  <si>
    <t>Sandomierz</t>
  </si>
  <si>
    <t>Urząd Skarbowy w Sanoku</t>
  </si>
  <si>
    <t>Sienkiewicza 1</t>
  </si>
  <si>
    <t>38-850</t>
  </si>
  <si>
    <t>Sanok</t>
  </si>
  <si>
    <t>Urząd Skarbowy w Sępólnie Krajeńskim</t>
  </si>
  <si>
    <t>Tadeusza Kościuszki 22</t>
  </si>
  <si>
    <t>89-940</t>
  </si>
  <si>
    <t>Sępólno Krajeńskie</t>
  </si>
  <si>
    <t>Urząd Skarbowy w Siedlcach</t>
  </si>
  <si>
    <t>Piłsudskiego 68</t>
  </si>
  <si>
    <t>08-110</t>
  </si>
  <si>
    <t>Siedlce</t>
  </si>
  <si>
    <t>Urząd Skarbowy w Siemianowicach Śląskich</t>
  </si>
  <si>
    <t>Świerczewskiego 84</t>
  </si>
  <si>
    <t>41-110</t>
  </si>
  <si>
    <t>Siemianowice Śląskie</t>
  </si>
  <si>
    <t>Urząd Skarbowy w Siemiatyczach</t>
  </si>
  <si>
    <t>Pałacowa 18</t>
  </si>
  <si>
    <t>17-730</t>
  </si>
  <si>
    <t>Siemiatycze</t>
  </si>
  <si>
    <t>Urząd Skarbowy w Sieradzu</t>
  </si>
  <si>
    <t>Spółdzielcza 3</t>
  </si>
  <si>
    <t>98-820</t>
  </si>
  <si>
    <t>Sieradz</t>
  </si>
  <si>
    <t>Urząd Skarbowy w Sierpcu</t>
  </si>
  <si>
    <t>Piastowska 48</t>
  </si>
  <si>
    <t>09-200</t>
  </si>
  <si>
    <t>Sierpc</t>
  </si>
  <si>
    <t>Urząd Skarbowy w Skarżysku-Kamiennej</t>
  </si>
  <si>
    <t>1 Maja 56</t>
  </si>
  <si>
    <t>26-611</t>
  </si>
  <si>
    <t>Skarżysko-Kamienna</t>
  </si>
  <si>
    <t>Urząd Skarbowy w Skierniewicach</t>
  </si>
  <si>
    <t>Nowobielańska 61b</t>
  </si>
  <si>
    <t>96-610</t>
  </si>
  <si>
    <t>Skierniewice</t>
  </si>
  <si>
    <t>Urząd Skarbowy w Słubicach</t>
  </si>
  <si>
    <t>Wojska Polskiego 155</t>
  </si>
  <si>
    <t>69-910</t>
  </si>
  <si>
    <t>Słubice</t>
  </si>
  <si>
    <t>Urząd Skarbowy w Słupcy</t>
  </si>
  <si>
    <t>Wspólna 1</t>
  </si>
  <si>
    <t>62-240</t>
  </si>
  <si>
    <t>Słupca</t>
  </si>
  <si>
    <t>Urząd Skarbowy w Słupsku</t>
  </si>
  <si>
    <t>Szczecińska 59</t>
  </si>
  <si>
    <t>76-620</t>
  </si>
  <si>
    <t>Słupsk</t>
  </si>
  <si>
    <t>Urząd Skarbowy w Sochaczewie</t>
  </si>
  <si>
    <t>Władysława Grabskiego 4</t>
  </si>
  <si>
    <t>96-650</t>
  </si>
  <si>
    <t>Sochaczew</t>
  </si>
  <si>
    <t>Urząd Skarbowy w Sokółce</t>
  </si>
  <si>
    <t>Białostocka 47</t>
  </si>
  <si>
    <t>16-610</t>
  </si>
  <si>
    <t>Sokółka</t>
  </si>
  <si>
    <t>Urząd Skarbowy w Sokołowie Podlaskim</t>
  </si>
  <si>
    <t>Węgrowska 5</t>
  </si>
  <si>
    <t>08-300</t>
  </si>
  <si>
    <t>Sokołów Podlaski</t>
  </si>
  <si>
    <t>Urząd Skarbowy w Sopocie</t>
  </si>
  <si>
    <t>23 Marca 9/11</t>
  </si>
  <si>
    <t>81-180</t>
  </si>
  <si>
    <t>Sopot</t>
  </si>
  <si>
    <t>Urząd Skarbowy w Sosnowcu</t>
  </si>
  <si>
    <t>3 Maja 20</t>
  </si>
  <si>
    <t>41-120</t>
  </si>
  <si>
    <t>Sosnowiec</t>
  </si>
  <si>
    <t>Pierwszy Śląski Urząd Skarbowy w Sosnowcu</t>
  </si>
  <si>
    <t>Braci Mieroszewskich 97</t>
  </si>
  <si>
    <t>41-121</t>
  </si>
  <si>
    <t>Urząd Skarbowy w Śremie</t>
  </si>
  <si>
    <t>Wojska Polskiego 12</t>
  </si>
  <si>
    <t>63-310</t>
  </si>
  <si>
    <t>Śrem</t>
  </si>
  <si>
    <t>Urząd Skarbowy w Środzie Śląskiej</t>
  </si>
  <si>
    <t>Oławska 5A</t>
  </si>
  <si>
    <t>55-530</t>
  </si>
  <si>
    <t>Środa Śląska</t>
  </si>
  <si>
    <t>Urząd Skarbowy w Środzie Wielkoposkiej</t>
  </si>
  <si>
    <t>Harcerska 2</t>
  </si>
  <si>
    <t>63-300</t>
  </si>
  <si>
    <t>Środa Wielkoplska</t>
  </si>
  <si>
    <t>Urząd Skarbowy w Stalowej Woli</t>
  </si>
  <si>
    <t>Metalowców 6</t>
  </si>
  <si>
    <t>37-745</t>
  </si>
  <si>
    <t>Stalowa Wola</t>
  </si>
  <si>
    <t>Urząd Skarbowy w Starachowicach</t>
  </si>
  <si>
    <t>Składowa 33</t>
  </si>
  <si>
    <t>27-720</t>
  </si>
  <si>
    <t>Starachowice</t>
  </si>
  <si>
    <t>Urząd Skarbowy w Stargardzie Szczecińskim</t>
  </si>
  <si>
    <t>Towarowa 15</t>
  </si>
  <si>
    <t>73-311</t>
  </si>
  <si>
    <t>Stargard Szczeciński</t>
  </si>
  <si>
    <t>Urząd Skarbowy w Starogardzie Gdańskim</t>
  </si>
  <si>
    <t>Lubichowska 4</t>
  </si>
  <si>
    <t>83-320</t>
  </si>
  <si>
    <t>Starogard Gdański</t>
  </si>
  <si>
    <t>Urząd Skarbowy w Staszowie</t>
  </si>
  <si>
    <t>Oględowska 12</t>
  </si>
  <si>
    <t>28-820</t>
  </si>
  <si>
    <t>Staszów</t>
  </si>
  <si>
    <t>Urząd Skarbowy w Strzelcach Opolskich</t>
  </si>
  <si>
    <t>Opolska 13</t>
  </si>
  <si>
    <t>47-710</t>
  </si>
  <si>
    <t>Strzelce Opolskie</t>
  </si>
  <si>
    <t>Urząd Skarbowy w Strzelinie</t>
  </si>
  <si>
    <t>Bolka I Świdnickiego 14</t>
  </si>
  <si>
    <t>57-710</t>
  </si>
  <si>
    <t>Strzelin</t>
  </si>
  <si>
    <t>Urząd Skarbowy w Strzyżowie</t>
  </si>
  <si>
    <t>Daszyńskiego 6</t>
  </si>
  <si>
    <t>38-810</t>
  </si>
  <si>
    <t>Strzyżów</t>
  </si>
  <si>
    <t>Urząd Skarbowy w Suchej Beskidzkiej</t>
  </si>
  <si>
    <t>Mickiewicza 36</t>
  </si>
  <si>
    <t>34-420</t>
  </si>
  <si>
    <t>Sucha Beskidzka</t>
  </si>
  <si>
    <t>Urząd Skarbowy w Sulęcinie</t>
  </si>
  <si>
    <t>Daszyńskiego 47</t>
  </si>
  <si>
    <t>69-920</t>
  </si>
  <si>
    <t>Sulęcin</t>
  </si>
  <si>
    <t>Urząd Skarbowy w Suwałkach</t>
  </si>
  <si>
    <t>1 Maja 2A</t>
  </si>
  <si>
    <t>16-640</t>
  </si>
  <si>
    <t>Suwałki</t>
  </si>
  <si>
    <t>Urząd Skarbowy w Świdnicy</t>
  </si>
  <si>
    <t>Marii Skłodowskiej Curie 1-3</t>
  </si>
  <si>
    <t>58-810</t>
  </si>
  <si>
    <t>Świdnica</t>
  </si>
  <si>
    <t>Urząd Skarbowy w Świebodzinie</t>
  </si>
  <si>
    <t>66-620</t>
  </si>
  <si>
    <t>Świebodzin</t>
  </si>
  <si>
    <t>Urząd Skarbowy w Świeciu</t>
  </si>
  <si>
    <t>10 Lutego 16</t>
  </si>
  <si>
    <t>86-610</t>
  </si>
  <si>
    <t>Świecie</t>
  </si>
  <si>
    <t>Urząd Skarbowy w Świnoujściu</t>
  </si>
  <si>
    <t>Pułaskiego 7</t>
  </si>
  <si>
    <t>72-260</t>
  </si>
  <si>
    <t>Świnoujście</t>
  </si>
  <si>
    <t>Urząd Skarbowy w Szamotułach</t>
  </si>
  <si>
    <t>Bolesława Chrobrego 17a</t>
  </si>
  <si>
    <t>64-450</t>
  </si>
  <si>
    <t>Szamotuły</t>
  </si>
  <si>
    <t>Pierwszy Urząd Skarbowy w Szczecinie</t>
  </si>
  <si>
    <t>Drzymały 5</t>
  </si>
  <si>
    <t>70-021</t>
  </si>
  <si>
    <t>Szczecin</t>
  </si>
  <si>
    <t>Izba Skarbowa w Szczecinie</t>
  </si>
  <si>
    <t>Roosevelta 1</t>
  </si>
  <si>
    <t>70-052</t>
  </si>
  <si>
    <t>Trzeci Urząd Skarbowy w Szczecinie</t>
  </si>
  <si>
    <t>Rydla 65</t>
  </si>
  <si>
    <t>70-078</t>
  </si>
  <si>
    <t>Zachodniopomorski Urząd Skarbowy w Szczecinie</t>
  </si>
  <si>
    <t>Mieszka I 33</t>
  </si>
  <si>
    <t>71-101</t>
  </si>
  <si>
    <t>Drugi Urząd Skarbowy w Szczecinie</t>
  </si>
  <si>
    <t>Felczaka 19</t>
  </si>
  <si>
    <t>71-141</t>
  </si>
  <si>
    <t>Urząd Skarbowy w Szczecinku</t>
  </si>
  <si>
    <t>Mickiewicza 13-14</t>
  </si>
  <si>
    <t>78-840</t>
  </si>
  <si>
    <t>Szczecinek</t>
  </si>
  <si>
    <t>Urząd Skarbowy w Szczytnie</t>
  </si>
  <si>
    <t>Warszawska 5</t>
  </si>
  <si>
    <t>12-210</t>
  </si>
  <si>
    <t>Szczytno</t>
  </si>
  <si>
    <t>Urząd Skarbowy w Szydłowcu</t>
  </si>
  <si>
    <t>Widok 6</t>
  </si>
  <si>
    <t>26-650</t>
  </si>
  <si>
    <t>Szydłowiec</t>
  </si>
  <si>
    <t>Urząd Skarbowy w Tarnobrzegu</t>
  </si>
  <si>
    <t>Wyspiańskiego 12</t>
  </si>
  <si>
    <t>39-940</t>
  </si>
  <si>
    <t>Tarnobrzeg</t>
  </si>
  <si>
    <t>Drugi Urząd Skarbowy w Tarnowie</t>
  </si>
  <si>
    <t>Solidarności 5-9B</t>
  </si>
  <si>
    <t>33-310</t>
  </si>
  <si>
    <t>Tarnów</t>
  </si>
  <si>
    <t>Pierwszy Urząd Skarbowy w Tarnowie</t>
  </si>
  <si>
    <t>Lwowska 72-96a</t>
  </si>
  <si>
    <t>Urząd Skarbowy w Tarnowskich Górach</t>
  </si>
  <si>
    <t>Opolska 23</t>
  </si>
  <si>
    <t>42-260</t>
  </si>
  <si>
    <t>Tarnowskie Góry</t>
  </si>
  <si>
    <t>Urząd Skarbowy w Tczewie</t>
  </si>
  <si>
    <t>Gdańska 33</t>
  </si>
  <si>
    <t>83-310</t>
  </si>
  <si>
    <t>Tczew</t>
  </si>
  <si>
    <t>Urząd Skarbowy w Tomaszowie Lubelskim</t>
  </si>
  <si>
    <t>Rolnicza 17</t>
  </si>
  <si>
    <t>22-260</t>
  </si>
  <si>
    <t>Tomaszów Lubelski</t>
  </si>
  <si>
    <t>Urząd Skarbowy w Tomaszowie Mazowieckim</t>
  </si>
  <si>
    <t>Mireckiego 37</t>
  </si>
  <si>
    <t>97-720</t>
  </si>
  <si>
    <t>Tomaszów Mazowiecki</t>
  </si>
  <si>
    <t>Drugi Urząd Skarbowy w Toruniu</t>
  </si>
  <si>
    <t>Mazowiecka 63/65</t>
  </si>
  <si>
    <t>87-710</t>
  </si>
  <si>
    <t>Toruń</t>
  </si>
  <si>
    <t>Pierwszy Urząd Skarbowy w Toruniu</t>
  </si>
  <si>
    <t>Szosa Chełmińska 34/36</t>
  </si>
  <si>
    <t>Urząd Skarbowy w Trzebnicy</t>
  </si>
  <si>
    <t>Prusicka 2</t>
  </si>
  <si>
    <t>55-510</t>
  </si>
  <si>
    <t>Trzebnica</t>
  </si>
  <si>
    <t>Urząd Skarbowy w Tucholi</t>
  </si>
  <si>
    <t>Pl. Zamkowy 4</t>
  </si>
  <si>
    <t>89-950</t>
  </si>
  <si>
    <t>Tuchola</t>
  </si>
  <si>
    <t>Urząd Skarbowy w Turku</t>
  </si>
  <si>
    <t>Konińska 1</t>
  </si>
  <si>
    <t>62-270</t>
  </si>
  <si>
    <t>Turek</t>
  </si>
  <si>
    <t>Urząd Skarbowy w Tychach</t>
  </si>
  <si>
    <t>al. Niepodległości 60</t>
  </si>
  <si>
    <t>43-310</t>
  </si>
  <si>
    <t>Tychy</t>
  </si>
  <si>
    <t>Urząd Skarbowy w Ustrzykach Dolnych</t>
  </si>
  <si>
    <t>Kopernika 1</t>
  </si>
  <si>
    <t>38-870</t>
  </si>
  <si>
    <t>Ustrzyki Dolne</t>
  </si>
  <si>
    <t>Urząd Skarbowy w Wąbrzeźnie</t>
  </si>
  <si>
    <t>Macieja Rataja 2</t>
  </si>
  <si>
    <t>87-720</t>
  </si>
  <si>
    <t>Wąbrzeźno</t>
  </si>
  <si>
    <t>Urząd Skarbowy w Wadowicach</t>
  </si>
  <si>
    <t>Legionów 22</t>
  </si>
  <si>
    <t>34-410</t>
  </si>
  <si>
    <t>Wadowice</t>
  </si>
  <si>
    <t>Urząd Skarbowy w Wągrowcu</t>
  </si>
  <si>
    <t>Kościuszki 19a</t>
  </si>
  <si>
    <t>62-210</t>
  </si>
  <si>
    <t>Wągrowiec</t>
  </si>
  <si>
    <t>Urząd Skarbowy w  Wałbrzychu</t>
  </si>
  <si>
    <t>Uczniowska 21</t>
  </si>
  <si>
    <t>58-830</t>
  </si>
  <si>
    <t>Wałbrzych</t>
  </si>
  <si>
    <t>Urząd Skarbowy w Wałczu</t>
  </si>
  <si>
    <t>Kościuszki 4</t>
  </si>
  <si>
    <t>78-860</t>
  </si>
  <si>
    <t>Wałcz</t>
  </si>
  <si>
    <t>Drugi Mazowiecki Urząd Skarbowy</t>
  </si>
  <si>
    <t>Stawki 2</t>
  </si>
  <si>
    <t>00-193</t>
  </si>
  <si>
    <t>Warszawa</t>
  </si>
  <si>
    <t>Urząd Skarbowy Warszawa - Wola</t>
  </si>
  <si>
    <t>Powstańców Śląskich 2D</t>
  </si>
  <si>
    <t>01-381</t>
  </si>
  <si>
    <t>Izba Skarbowa w Warszawie</t>
  </si>
  <si>
    <t>A. Felińskiego 2B</t>
  </si>
  <si>
    <t>01-513</t>
  </si>
  <si>
    <t>Pierwszy Mazowiecki Urząd Skarbowy</t>
  </si>
  <si>
    <t>A. Felińskiego 2A</t>
  </si>
  <si>
    <t>Urząd Skarbowy Warszawa - Bielany</t>
  </si>
  <si>
    <t>Skalbmierska 5</t>
  </si>
  <si>
    <t>01-844</t>
  </si>
  <si>
    <t>Pierwszy Urząd Skarbowy Warszawa - Śródmieście</t>
  </si>
  <si>
    <t>Lindleya 14</t>
  </si>
  <si>
    <t>02-013</t>
  </si>
  <si>
    <t>Trzeci Urząd Skarbowy Warszawa - Śródmieście</t>
  </si>
  <si>
    <t>Urząd Skarbowy Warszawa - Bemowo</t>
  </si>
  <si>
    <t>Białobrzeska 53a</t>
  </si>
  <si>
    <t>02-325</t>
  </si>
  <si>
    <t>Urząd Skarbowy Warszawa - Mokotów</t>
  </si>
  <si>
    <t>Postępu 16A</t>
  </si>
  <si>
    <t>02-676</t>
  </si>
  <si>
    <t>Urząd Skarbowy Warszawa - Ursynów</t>
  </si>
  <si>
    <t>Wynalazek 3</t>
  </si>
  <si>
    <t>02-677</t>
  </si>
  <si>
    <t>Urząd Skarbowy Warszawa - Targówek</t>
  </si>
  <si>
    <t>Dąbrowszczaków 14</t>
  </si>
  <si>
    <t>03-482</t>
  </si>
  <si>
    <t>Drugi Urząd Skarbowy Warszawa - Śródmieście</t>
  </si>
  <si>
    <t>Jagiellońska 15</t>
  </si>
  <si>
    <t>03-719</t>
  </si>
  <si>
    <t>Urząd Skarbowy Warszawa - Praga</t>
  </si>
  <si>
    <t>Urząd Skarbowy Warszawa - Wawer</t>
  </si>
  <si>
    <t>Ludwika Mycielskiego 21</t>
  </si>
  <si>
    <t>04-379</t>
  </si>
  <si>
    <t>Urząd Skarbowy w Węgrowie</t>
  </si>
  <si>
    <t>Kościelna 4</t>
  </si>
  <si>
    <t>07-100</t>
  </si>
  <si>
    <t>Węgrów</t>
  </si>
  <si>
    <t>Urząd Skarbowy w Wejherowie</t>
  </si>
  <si>
    <t>Sobieskiego 346</t>
  </si>
  <si>
    <t>84-420</t>
  </si>
  <si>
    <t>Wejherowo</t>
  </si>
  <si>
    <t>Urząd Skarbowy w Wieliczce</t>
  </si>
  <si>
    <t>Zamkowa 2</t>
  </si>
  <si>
    <t>32-202</t>
  </si>
  <si>
    <t>Wieliczka</t>
  </si>
  <si>
    <t>Urząd Skarbowy w Wieluniu</t>
  </si>
  <si>
    <t>Krakowskie Przedmieście 34</t>
  </si>
  <si>
    <t>98-830</t>
  </si>
  <si>
    <t>Wieluń</t>
  </si>
  <si>
    <t>Urząd Skarbowy w Wieruszowie</t>
  </si>
  <si>
    <t>Rynek 12/13</t>
  </si>
  <si>
    <t>98-840</t>
  </si>
  <si>
    <t>Wieruszów</t>
  </si>
  <si>
    <t>Urząd Skarbowy we Włocławku</t>
  </si>
  <si>
    <t>Stefana Okrzei 72B</t>
  </si>
  <si>
    <t>87-780</t>
  </si>
  <si>
    <t>Włocławek</t>
  </si>
  <si>
    <t>Urząd Skarbowy we Włodawie</t>
  </si>
  <si>
    <t>Rynek 9</t>
  </si>
  <si>
    <t>22-220</t>
  </si>
  <si>
    <t>Włodawa</t>
  </si>
  <si>
    <t>Urząd Skarbowy we Włoszczowie</t>
  </si>
  <si>
    <t>Wiśniowa 10</t>
  </si>
  <si>
    <t>29-910</t>
  </si>
  <si>
    <t>Włoszczowa</t>
  </si>
  <si>
    <t>Urząd Skarbowy w Wodzisławiu Śląskim</t>
  </si>
  <si>
    <t>Głowackiego 4</t>
  </si>
  <si>
    <t>44-430</t>
  </si>
  <si>
    <t>Wodzisław Śląski</t>
  </si>
  <si>
    <t>Urząd Skarbowy w Wołominie</t>
  </si>
  <si>
    <t>Przejazd 2</t>
  </si>
  <si>
    <t>05-200</t>
  </si>
  <si>
    <t>Wołomin</t>
  </si>
  <si>
    <t>Urząd Skarbowy w  Wołowie</t>
  </si>
  <si>
    <t>T. Kościuszki 17</t>
  </si>
  <si>
    <t>56-610</t>
  </si>
  <si>
    <t>Wołów</t>
  </si>
  <si>
    <t>Urząd Skarbowy w Wolsztynie</t>
  </si>
  <si>
    <t>Dworcowa 15</t>
  </si>
  <si>
    <t>64-420</t>
  </si>
  <si>
    <t>Wolsztyn</t>
  </si>
  <si>
    <t>Urząd Skarbowy Wrocław - Śródmieście</t>
  </si>
  <si>
    <t>Marsz. Józefa Piłsudskiego 27-29</t>
  </si>
  <si>
    <t>50-004</t>
  </si>
  <si>
    <t>Urząd Skarbowy Wrocław - Psie Pole</t>
  </si>
  <si>
    <t>Trzebnicka 33</t>
  </si>
  <si>
    <t>50-023</t>
  </si>
  <si>
    <t>Pierwszy Urząd Skarbowy we Wrocławiu</t>
  </si>
  <si>
    <t>Ks. Czesława Klimasa 34</t>
  </si>
  <si>
    <t>50-051</t>
  </si>
  <si>
    <t>Izba Skarbowa we Wrocławiu</t>
  </si>
  <si>
    <t>Pretficza 11</t>
  </si>
  <si>
    <t>50-098</t>
  </si>
  <si>
    <t>Dolnośląski Urząd Skarbowy we Wrocławiu</t>
  </si>
  <si>
    <t>Żmigrodzka 141</t>
  </si>
  <si>
    <t>51-113</t>
  </si>
  <si>
    <t>Urząd Skarbowy Wrocław - Fabryczna</t>
  </si>
  <si>
    <t>Ostrowskiego 5</t>
  </si>
  <si>
    <t>53-323</t>
  </si>
  <si>
    <t>Urząd Skarbowy Wrocław - Krzyki</t>
  </si>
  <si>
    <t>Sztabowa 100</t>
  </si>
  <si>
    <t>53-331</t>
  </si>
  <si>
    <t>Urząd Skarbowy Wrocław - Stare Miasto</t>
  </si>
  <si>
    <t>Inowrocławska 4</t>
  </si>
  <si>
    <t>53-365</t>
  </si>
  <si>
    <t>Urząd Skarbowy we Wrześni</t>
  </si>
  <si>
    <t>Warszawska 26</t>
  </si>
  <si>
    <t>62-230</t>
  </si>
  <si>
    <t>Września</t>
  </si>
  <si>
    <t>Urząd Skarbowy we Wschowie</t>
  </si>
  <si>
    <t>Zielony Rynek 7</t>
  </si>
  <si>
    <t>67-740</t>
  </si>
  <si>
    <t>Wschowa</t>
  </si>
  <si>
    <t>Urząd Skarbowy w Wysokiem Mazowieckiem</t>
  </si>
  <si>
    <t>Ludowa 21</t>
  </si>
  <si>
    <t>18-820</t>
  </si>
  <si>
    <t>Wysokie Mazowieckie</t>
  </si>
  <si>
    <t>Urząd Skarbowy w Wyszkowie</t>
  </si>
  <si>
    <t>Gen. J.Sowińskiego 82</t>
  </si>
  <si>
    <t>07-200</t>
  </si>
  <si>
    <t>Wyszków</t>
  </si>
  <si>
    <t>Urząd Skarbowy w  Ząbkowicach Śląskich</t>
  </si>
  <si>
    <t>Waryńskiego 2a</t>
  </si>
  <si>
    <t>57-720</t>
  </si>
  <si>
    <t>Ząbkowice Śląskie</t>
  </si>
  <si>
    <t>Urząd Skarbowy w Zabrzu</t>
  </si>
  <si>
    <t>Bytomska 2</t>
  </si>
  <si>
    <t>41-180</t>
  </si>
  <si>
    <t>Zabrze</t>
  </si>
  <si>
    <t>Urząd Skarbowy w Żaganiu</t>
  </si>
  <si>
    <t>X- Lecia 26</t>
  </si>
  <si>
    <t>68-810</t>
  </si>
  <si>
    <t>Żagań</t>
  </si>
  <si>
    <t>Urząd Skarbowy w Zakopanem</t>
  </si>
  <si>
    <t>Szymony 14</t>
  </si>
  <si>
    <t>34-450</t>
  </si>
  <si>
    <t>Zakopane</t>
  </si>
  <si>
    <t>Urząd Skarbowy w Zambrowie</t>
  </si>
  <si>
    <t>Jantarowa 16</t>
  </si>
  <si>
    <t>18-830</t>
  </si>
  <si>
    <t>Zambrów</t>
  </si>
  <si>
    <t>Urząd Skarbowy w Zamościu</t>
  </si>
  <si>
    <t>Kilińskiego 82</t>
  </si>
  <si>
    <t>22-240</t>
  </si>
  <si>
    <t>Zamość</t>
  </si>
  <si>
    <t>Urząd Skarbowy w Żarach</t>
  </si>
  <si>
    <t>Osadników Wojskowych 3-4</t>
  </si>
  <si>
    <t>68-820</t>
  </si>
  <si>
    <t>Żary</t>
  </si>
  <si>
    <t>Urząd Skarbowy w Zawierciu</t>
  </si>
  <si>
    <t>Leśna 8</t>
  </si>
  <si>
    <t>42-240</t>
  </si>
  <si>
    <t>Zawiercie</t>
  </si>
  <si>
    <t>Urząd Skarbowy w Zduńskiej Woli</t>
  </si>
  <si>
    <t>Zielona 15</t>
  </si>
  <si>
    <t>98-822</t>
  </si>
  <si>
    <t>Zduńska Wola</t>
  </si>
  <si>
    <t>Urząd Skarbowy w Zgierzu</t>
  </si>
  <si>
    <t>Popiełuszki 8</t>
  </si>
  <si>
    <t>95-510</t>
  </si>
  <si>
    <t>Zgierz</t>
  </si>
  <si>
    <t>Urząd Skarbowy w Zgorzelcu</t>
  </si>
  <si>
    <t>Boh.II Armii Woj.Pol.8b</t>
  </si>
  <si>
    <t>59-990</t>
  </si>
  <si>
    <t>Zgorzelec</t>
  </si>
  <si>
    <t>Drugi Urząd Skarbowy w Zielonej Górze</t>
  </si>
  <si>
    <t>Dr. Pieniężnego 24</t>
  </si>
  <si>
    <t>65-505</t>
  </si>
  <si>
    <t>Zielona Góra</t>
  </si>
  <si>
    <t>Lubuski Urząd Skarbowy w Zielonej Górze</t>
  </si>
  <si>
    <t>Pierwszy Urząd Skarbowy w Zielonej Górze</t>
  </si>
  <si>
    <t>Izba Skarbowa w Zielonej Górze</t>
  </si>
  <si>
    <t>Gen. Władysława Sikorskiego 2</t>
  </si>
  <si>
    <t>65-545</t>
  </si>
  <si>
    <t>Urząd Skarbowy w Złotoryi</t>
  </si>
  <si>
    <t>Rynek 42</t>
  </si>
  <si>
    <t>59-950</t>
  </si>
  <si>
    <t>Złotoryja</t>
  </si>
  <si>
    <t>Urząd Skarbowy w Złotowie</t>
  </si>
  <si>
    <t>Al. Piasta 25</t>
  </si>
  <si>
    <t>77-740</t>
  </si>
  <si>
    <t>Złotów</t>
  </si>
  <si>
    <t>Urząd Skarbowy w Żninie</t>
  </si>
  <si>
    <t>K. Janickiego 18</t>
  </si>
  <si>
    <t>88-840</t>
  </si>
  <si>
    <t>Żnin</t>
  </si>
  <si>
    <t>Urząd Skarbowy w Żorach</t>
  </si>
  <si>
    <t>Wodzisławska 1</t>
  </si>
  <si>
    <t>44-424</t>
  </si>
  <si>
    <t>Żory</t>
  </si>
  <si>
    <t>Urząd Skarbowy w Żurominie</t>
  </si>
  <si>
    <t>Pl. Piłsudskiego 4</t>
  </si>
  <si>
    <t>09-300</t>
  </si>
  <si>
    <t>Żuromin</t>
  </si>
  <si>
    <t>Urząd Skarbowy w Zwoleniu</t>
  </si>
  <si>
    <t>Wojska Polskiego 39</t>
  </si>
  <si>
    <t>26-670</t>
  </si>
  <si>
    <t>Zwoleń</t>
  </si>
  <si>
    <t>Urząd Skarbowy w Żyrardowie</t>
  </si>
  <si>
    <t>1 Maja 49a</t>
  </si>
  <si>
    <t>96-630</t>
  </si>
  <si>
    <t>Żyrardów</t>
  </si>
  <si>
    <t>Urząd Skarbowy w Żywcu</t>
  </si>
  <si>
    <t>Krasińskiego 11</t>
  </si>
  <si>
    <t>34-430</t>
  </si>
  <si>
    <t>Żywiec</t>
  </si>
  <si>
    <t>Stopień pokre-wieństwa</t>
  </si>
  <si>
    <t>Pokrewienstwo_EN</t>
  </si>
  <si>
    <t>Pokrewienstwo</t>
  </si>
  <si>
    <t>Spouse</t>
  </si>
  <si>
    <t>Child</t>
  </si>
  <si>
    <t>Other</t>
  </si>
  <si>
    <t>Dziecko</t>
  </si>
  <si>
    <t>Inny</t>
  </si>
  <si>
    <t>Kod pocztowy (z kreskami)</t>
  </si>
  <si>
    <t>Imię i nazwisko współmałżonka (imiona i nazwiska oraz daty urodzenia małżonka i dzieci:)</t>
  </si>
  <si>
    <t>Imię, nazwisko</t>
  </si>
  <si>
    <t>Family relationship</t>
  </si>
  <si>
    <t>Date of birth</t>
  </si>
  <si>
    <t>House No</t>
  </si>
  <si>
    <t>Postcode (full)</t>
  </si>
  <si>
    <t>Town</t>
  </si>
  <si>
    <t>Post office</t>
  </si>
  <si>
    <t>Municipality</t>
  </si>
  <si>
    <t>Appt No</t>
  </si>
  <si>
    <t>Małżonek</t>
  </si>
  <si>
    <t>Name, surname</t>
  </si>
  <si>
    <t>Spouse's name and surname (names, surnames and dates of birth of spouse and children)</t>
  </si>
  <si>
    <t>okres od (rrrr-mm-dd)</t>
  </si>
  <si>
    <t>okres do (rrrr-mm-dd)</t>
  </si>
  <si>
    <t>period do (yyyy-mm-dd)</t>
  </si>
  <si>
    <t>period from (yyyy-mm-dd)</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</si>
  <si>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</si>
  <si>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</si>
  <si>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</si>
  <si>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</si>
  <si>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</si>
  <si>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</si>
  <si>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</si>
  <si>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</si>
  <si>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</si>
  <si>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</si>
  <si>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</si>
  <si>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</si>
  <si>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</si>
  <si>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</si>
  <si>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</si>
  <si>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</si>
  <si>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</si>
  <si>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</si>
  <si>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</si>
  <si>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</si>
  <si>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</si>
  <si>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</si>
  <si>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</si>
  <si>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</si>
  <si>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</si>
  <si>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</si>
  <si>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</si>
  <si>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</si>
  <si>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</si>
  <si>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</si>
  <si>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</si>
  <si>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</si>
  <si>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</si>
  <si>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</si>
  <si>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0271</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</si>
  <si>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</si>
  <si>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</si>
  <si>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</si>
  <si>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</si>
  <si>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</si>
  <si>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</si>
  <si>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</si>
  <si>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</si>
  <si>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</si>
  <si>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</si>
  <si>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</si>
  <si>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</si>
  <si>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</si>
  <si>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</si>
  <si>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</si>
  <si>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</si>
  <si>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</si>
  <si>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</si>
  <si>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</si>
  <si>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</si>
  <si>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</si>
  <si>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</si>
  <si>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</si>
  <si>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0471</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</si>
  <si>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</si>
  <si>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</si>
  <si>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</si>
  <si>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</si>
  <si>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</si>
  <si>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</si>
  <si>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</si>
  <si>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</si>
  <si>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</si>
  <si>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</si>
  <si>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</si>
  <si>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</si>
  <si>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</si>
  <si>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</si>
  <si>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</si>
  <si>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</si>
  <si>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</si>
  <si>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</si>
  <si>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</si>
  <si>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</si>
  <si>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</si>
  <si>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</si>
  <si>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0671</t>
  </si>
  <si>
    <t>0801</t>
  </si>
  <si>
    <t>0802</t>
  </si>
  <si>
    <t>0803</t>
  </si>
  <si>
    <t>0804</t>
  </si>
  <si>
    <t>0805</t>
  </si>
  <si>
    <t>0806</t>
  </si>
  <si>
    <t>0807</t>
  </si>
  <si>
    <t>0808</t>
  </si>
  <si>
    <t>0809</t>
  </si>
  <si>
    <t>0810</t>
  </si>
  <si>
    <t>0811</t>
  </si>
  <si>
    <t>0812</t>
  </si>
  <si>
    <t>0813</t>
  </si>
  <si>
    <t>0814</t>
  </si>
  <si>
    <t>0871</t>
  </si>
  <si>
    <t>02R</t>
  </si>
  <si>
    <t>03R</t>
  </si>
  <si>
    <t>04R</t>
  </si>
  <si>
    <t>05R</t>
  </si>
  <si>
    <t>06R</t>
  </si>
  <si>
    <t>07R</t>
  </si>
  <si>
    <t>08R</t>
  </si>
  <si>
    <t>09R</t>
  </si>
  <si>
    <t>10R</t>
  </si>
  <si>
    <t>11R</t>
  </si>
  <si>
    <t>12R</t>
  </si>
  <si>
    <t>13R</t>
  </si>
  <si>
    <t>14R</t>
  </si>
  <si>
    <t>15R</t>
  </si>
  <si>
    <t>16R</t>
  </si>
  <si>
    <t>01R</t>
  </si>
  <si>
    <t>nfz-kod</t>
  </si>
  <si>
    <r>
      <t xml:space="preserve">15. </t>
    </r>
    <r>
      <rPr>
        <b/>
        <sz val="10"/>
        <rFont val="Tahoma"/>
        <family val="2"/>
        <charset val="238"/>
      </rPr>
      <t>Oświadczam, że dane zawarte w pkt.1-4 są zgodne z dokumentem potwierdzającym tożsamość:</t>
    </r>
  </si>
  <si>
    <r>
      <t xml:space="preserve">15. </t>
    </r>
    <r>
      <rPr>
        <b/>
        <sz val="10"/>
        <rFont val="Tahoma"/>
        <family val="2"/>
        <charset val="238"/>
      </rPr>
      <t>I declare that data provided in sections 1-4 are in accordance with the ID document:</t>
    </r>
  </si>
  <si>
    <t>Miejsce zamieszkania</t>
  </si>
  <si>
    <t>Kod pocztowy</t>
  </si>
  <si>
    <t>Nr</t>
  </si>
  <si>
    <t>ul.</t>
  </si>
  <si>
    <t>/</t>
  </si>
  <si>
    <t xml:space="preserve">EMPLOYEE'S CONSENT TO TRANSFER 
SALARIES INTO A BANK ACCOUNT
</t>
  </si>
  <si>
    <t>(zaznacz jedno z pól / mark one of the fields above)</t>
  </si>
  <si>
    <t>1.01.2016</t>
  </si>
  <si>
    <t>31.12.2016</t>
  </si>
  <si>
    <t>121 650,00 zł</t>
  </si>
  <si>
    <t>Jednego stosunku pracy</t>
  </si>
  <si>
    <t>Jednego stosunku pracy podwyższone o 25%</t>
  </si>
  <si>
    <t>KosztyRodzaj</t>
  </si>
  <si>
    <t>KosztyMnoznik</t>
  </si>
  <si>
    <t>UlgaMnoznik</t>
  </si>
  <si>
    <t>Do you intend to file the tax jointly with your spouse?</t>
  </si>
  <si>
    <t>Do you reside in a place where you work?</t>
  </si>
  <si>
    <t>Do you have a child up to 14 years of age?</t>
  </si>
  <si>
    <t>Do you want to register with the National Health Insurance a member of your family?</t>
  </si>
  <si>
    <t>Have you earned remuneration subject to social security contributons deduction in 2016 ?</t>
  </si>
  <si>
    <t>Please answer the following questions (Y/N):</t>
  </si>
  <si>
    <t>After you've filled all the forms, come back here and...</t>
  </si>
  <si>
    <t>(miejscowość)</t>
  </si>
  <si>
    <t>(data)</t>
  </si>
  <si>
    <t>X</t>
  </si>
  <si>
    <t/>
  </si>
  <si>
    <t>tax and pension by Mindbox S.A.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</si>
</sst>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Red]#,##0.00"/>
    <numFmt numFmtId="165" formatCode="yyyy\-mm\-dd;@"/>
    <numFmt numFmtId="166" formatCode="yyyy\-mm\-dd"/>
  </numFmts>
  <fonts count="36" x14ac:knownFonts="1">
    <font>
      <sz val="10"/>
      <name val="Arial"/>
    </font>
    <font>
      <sz val="11"/>
      <color theme="1"/>
      <name val="Calibri"/>
      <family val="2"/>
      <scheme val="minor"/>
    </font>
    <font>
      <sz val="8"/>
      <name val="Arial"/>
      <family val="2"/>
      <charset val="238"/>
    </font>
    <font>
      <u/>
      <sz val="10"/>
      <color indexed="12"/>
      <name val="Arial"/>
      <family val="2"/>
      <charset val="238"/>
    </font>
    <font>
      <b/>
      <sz val="10"/>
      <name val="Arial"/>
      <family val="2"/>
      <charset val="238"/>
    </font>
    <font>
      <b/>
      <sz val="10"/>
      <name val="Tahoma"/>
      <family val="2"/>
      <charset val="238"/>
    </font>
    <font>
      <sz val="10"/>
      <name val="Tahoma"/>
      <family val="2"/>
      <charset val="238"/>
    </font>
    <font>
      <sz val="10"/>
      <color indexed="22"/>
      <name val="Tahoma"/>
      <family val="2"/>
      <charset val="238"/>
    </font>
    <font>
      <b/>
      <sz val="9"/>
      <name val="Tahoma"/>
      <family val="2"/>
      <charset val="238"/>
    </font>
    <font>
      <sz val="8"/>
      <name val="Tahoma"/>
      <family val="2"/>
      <charset val="238"/>
    </font>
    <font>
      <b/>
      <sz val="12"/>
      <name val="Tahoma"/>
      <family val="2"/>
      <charset val="238"/>
    </font>
    <font>
      <b/>
      <sz val="14"/>
      <name val="Tahoma"/>
      <family val="2"/>
      <charset val="238"/>
    </font>
    <font>
      <sz val="9"/>
      <name val="Tahoma"/>
      <family val="2"/>
      <charset val="238"/>
    </font>
    <font>
      <u/>
      <sz val="8"/>
      <name val="Tahoma"/>
      <family val="2"/>
      <charset val="238"/>
    </font>
    <font>
      <i/>
      <sz val="8"/>
      <name val="Tahoma"/>
      <family val="2"/>
      <charset val="238"/>
    </font>
    <font>
      <u/>
      <sz val="12"/>
      <name val="Tahoma"/>
      <family val="2"/>
      <charset val="238"/>
    </font>
    <font>
      <b/>
      <sz val="11"/>
      <name val="Tahoma"/>
      <family val="2"/>
      <charset val="238"/>
    </font>
    <font>
      <b/>
      <u/>
      <sz val="10"/>
      <name val="Tahoma"/>
      <family val="2"/>
      <charset val="238"/>
    </font>
    <font>
      <sz val="11"/>
      <name val="Arial"/>
      <family val="2"/>
      <charset val="238"/>
    </font>
    <font>
      <sz val="11"/>
      <name val="Calibri"/>
      <family val="2"/>
      <charset val="238"/>
    </font>
    <font>
      <sz val="10"/>
      <name val="Arial"/>
      <family val="2"/>
      <charset val="238"/>
    </font>
    <font>
      <sz val="10"/>
      <name val="Arial"/>
      <family val="2"/>
      <charset val="238"/>
    </font>
    <font>
      <vertAlign val="superscript"/>
      <sz val="10"/>
      <name val="Tahoma"/>
      <family val="2"/>
      <charset val="238"/>
    </font>
    <font>
      <b/>
      <sz val="11"/>
      <name val="Calibri"/>
      <family val="2"/>
      <charset val="238"/>
    </font>
    <font>
      <i/>
      <sz val="10"/>
      <name val="Arial"/>
      <family val="2"/>
      <charset val="238"/>
    </font>
    <font>
      <sz val="12"/>
      <name val="Arial"/>
      <family val="2"/>
      <charset val="238"/>
    </font>
    <font>
      <b/>
      <sz val="10"/>
      <color rgb="FF0070C0"/>
      <name val="Tahoma"/>
      <family val="2"/>
      <charset val="238"/>
    </font>
    <font>
      <b/>
      <sz val="9"/>
      <color rgb="FF0070C0"/>
      <name val="Tahoma"/>
      <family val="2"/>
      <charset val="238"/>
    </font>
    <font>
      <b/>
      <sz val="10"/>
      <color theme="4" tint="-0.249977111117893"/>
      <name val="Arial"/>
      <family val="2"/>
      <charset val="238"/>
    </font>
    <font>
      <sz val="10"/>
      <name val="Arial"/>
      <family val="2"/>
    </font>
    <font>
      <sz val="10"/>
      <name val="Tahoma"/>
      <family val="2"/>
    </font>
    <font>
      <sz val="9"/>
      <name val="Tahoma"/>
      <family val="2"/>
    </font>
    <font>
      <b/>
      <sz val="11"/>
      <color theme="1"/>
      <name val="Calibri"/>
      <family val="2"/>
      <scheme val="minor"/>
    </font>
    <font>
      <sz val="10"/>
      <color rgb="FFFFC000"/>
      <name val="Tahoma"/>
      <family val="2"/>
      <charset val="238"/>
    </font>
    <font>
      <sz val="10"/>
      <color theme="0" tint="-0.14999847407452621"/>
      <name val="Tahoma"/>
      <family val="2"/>
      <charset val="238"/>
    </font>
    <font>
      <b/>
      <i/>
      <sz val="8"/>
      <name val="Arial"/>
      <family val="2"/>
      <charset val="238"/>
    </font>
  </fonts>
  <fills count="14">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41"/>
        <bgColor indexed="64"/>
      </patternFill>
    </fill>
    <fill>
      <patternFill patternType="solid">
        <fgColor indexed="5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99CC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99"/>
        <bgColor indexed="64"/>
      </patternFill>
    </fill>
  </fills>
  <borders count="72">
    <border>
      <left/>
      <right/>
      <top/>
      <bottom/>
      <diagonal/>
    </border>
    <border>
      <left/>
      <right/>
      <top style="medium">
        <color indexed="52"/>
      </top>
      <bottom/>
      <diagonal/>
    </border>
    <border>
      <left/>
      <right/>
      <top/>
      <bottom style="hair">
        <color indexed="64"/>
      </bottom>
      <diagonal/>
    </border>
    <border>
      <left style="thin">
        <color indexed="64"/>
      </left>
      <right style="thin">
        <color indexed="64"/>
      </right>
      <top style="thin">
        <color indexed="64"/>
      </top>
      <bottom style="thin">
        <color indexed="64"/>
      </bottom>
      <diagonal/>
    </border>
    <border>
      <left/>
      <right/>
      <top style="medium">
        <color indexed="53"/>
      </top>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thin">
        <color indexed="9"/>
      </right>
      <top style="medium">
        <color indexed="52"/>
      </top>
      <bottom style="thin">
        <color indexed="9"/>
      </bottom>
      <diagonal/>
    </border>
    <border>
      <left style="thin">
        <color indexed="9"/>
      </left>
      <right style="thin">
        <color indexed="9"/>
      </right>
      <top/>
      <bottom style="thin">
        <color indexed="9"/>
      </bottom>
      <diagonal/>
    </border>
    <border>
      <left/>
      <right/>
      <top style="hair">
        <color indexed="64"/>
      </top>
      <bottom/>
      <diagonal/>
    </border>
    <border>
      <left style="thin">
        <color indexed="9"/>
      </left>
      <right style="thin">
        <color indexed="9"/>
      </right>
      <top style="thin">
        <color indexed="9"/>
      </top>
      <bottom style="hair">
        <color indexed="64"/>
      </bottom>
      <diagonal/>
    </border>
    <border>
      <left/>
      <right style="medium">
        <color indexed="64"/>
      </right>
      <top/>
      <bottom/>
      <diagonal/>
    </border>
    <border>
      <left style="medium">
        <color indexed="64"/>
      </left>
      <right/>
      <top/>
      <bottom/>
      <diagonal/>
    </border>
    <border>
      <left/>
      <right style="thin">
        <color indexed="64"/>
      </right>
      <top/>
      <bottom/>
      <diagonal/>
    </border>
    <border>
      <left/>
      <right style="medium">
        <color indexed="64"/>
      </right>
      <top style="hair">
        <color indexed="64"/>
      </top>
      <bottom style="hair">
        <color indexed="64"/>
      </bottom>
      <diagonal/>
    </border>
    <border>
      <left/>
      <right/>
      <top style="medium">
        <color indexed="64"/>
      </top>
      <bottom style="hair">
        <color indexed="64"/>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bottom style="hair">
        <color indexed="64"/>
      </bottom>
      <diagonal/>
    </border>
    <border>
      <left style="thin">
        <color indexed="64"/>
      </left>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thin">
        <color indexed="9"/>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hair">
        <color indexed="64"/>
      </bottom>
      <diagonal/>
    </border>
    <border>
      <left/>
      <right/>
      <top style="thin">
        <color indexed="9"/>
      </top>
      <bottom style="hair">
        <color indexed="64"/>
      </bottom>
      <diagonal/>
    </border>
    <border>
      <left/>
      <right style="thin">
        <color indexed="9"/>
      </right>
      <top style="thin">
        <color indexed="9"/>
      </top>
      <bottom style="hair">
        <color indexed="64"/>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diagonal/>
    </border>
    <border>
      <left/>
      <right style="thin">
        <color indexed="9"/>
      </right>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652">
    <xf numFmtId="0" fontId="0" fillId="0" borderId="0" xfId="0"/>
    <xf numFmtId="0" fontId="6" fillId="0" borderId="0" xfId="0" applyFont="1" applyAlignment="1">
      <alignment horizontal="left" vertical="center"/>
    </xf>
    <xf numFmtId="0" fontId="6" fillId="0" borderId="0" xfId="0" applyFont="1"/>
    <xf numFmtId="0" fontId="6" fillId="0" borderId="0" xfId="0" applyFont="1" applyAlignment="1">
      <alignment horizontal="right" vertical="center"/>
    </xf>
    <xf numFmtId="0" fontId="6" fillId="0" borderId="0" xfId="0" applyFont="1" applyAlignment="1">
      <alignment horizontal="left"/>
    </xf>
    <xf numFmtId="0" fontId="6" fillId="0" borderId="0" xfId="0" applyFont="1" applyAlignment="1">
      <alignment horizontal="left" indent="2"/>
    </xf>
    <xf numFmtId="0" fontId="6" fillId="0" borderId="0" xfId="1" applyFont="1" applyAlignment="1" applyProtection="1">
      <alignment horizontal="left" indent="2"/>
    </xf>
    <xf numFmtId="0" fontId="6" fillId="0" borderId="1" xfId="0" applyFont="1" applyBorder="1"/>
    <xf numFmtId="0" fontId="11" fillId="0" borderId="0" xfId="0" applyFont="1" applyAlignment="1"/>
    <xf numFmtId="0" fontId="6" fillId="0" borderId="0" xfId="0" applyFont="1" applyBorder="1" applyAlignment="1"/>
    <xf numFmtId="0" fontId="6" fillId="0" borderId="0" xfId="0" applyFont="1" applyBorder="1" applyAlignment="1">
      <alignment horizontal="center"/>
    </xf>
    <xf numFmtId="0" fontId="5" fillId="0" borderId="2" xfId="0" applyFont="1" applyBorder="1" applyAlignment="1">
      <alignment horizontal="center"/>
    </xf>
    <xf numFmtId="0" fontId="6" fillId="0" borderId="0" xfId="0" applyFont="1" applyAlignment="1">
      <alignment vertical="center"/>
    </xf>
    <xf numFmtId="0" fontId="5" fillId="0" borderId="3" xfId="0" applyFont="1" applyBorder="1" applyAlignment="1">
      <alignment horizontal="center"/>
    </xf>
    <xf numFmtId="0" fontId="6" fillId="0" borderId="0" xfId="0" applyFont="1" applyBorder="1"/>
    <xf numFmtId="0" fontId="6" fillId="0" borderId="0" xfId="0" applyFont="1" applyAlignment="1"/>
    <xf numFmtId="0" fontId="6" fillId="0" borderId="0" xfId="0" applyFont="1" applyAlignment="1">
      <alignment horizontal="center"/>
    </xf>
    <xf numFmtId="0" fontId="9" fillId="0" borderId="0" xfId="0" applyFont="1" applyAlignment="1"/>
    <xf numFmtId="0" fontId="5" fillId="0" borderId="0" xfId="0" applyFont="1"/>
    <xf numFmtId="0" fontId="5" fillId="2" borderId="2" xfId="0" applyFont="1" applyFill="1" applyBorder="1" applyAlignment="1">
      <alignment horizontal="center"/>
    </xf>
    <xf numFmtId="0" fontId="5" fillId="2" borderId="3" xfId="0" applyFont="1" applyFill="1" applyBorder="1"/>
    <xf numFmtId="0" fontId="5" fillId="0" borderId="0" xfId="0" applyFont="1" applyAlignment="1">
      <alignment horizontal="center"/>
    </xf>
    <xf numFmtId="0" fontId="9" fillId="0" borderId="0" xfId="0" applyFont="1"/>
    <xf numFmtId="0" fontId="15" fillId="0" borderId="0" xfId="0" applyFont="1"/>
    <xf numFmtId="0" fontId="12" fillId="0" borderId="0" xfId="0" applyFont="1"/>
    <xf numFmtId="0" fontId="6" fillId="0" borderId="4" xfId="0" applyFont="1" applyBorder="1"/>
    <xf numFmtId="0" fontId="5" fillId="0" borderId="0" xfId="0" applyFont="1" applyAlignment="1"/>
    <xf numFmtId="0" fontId="6" fillId="0" borderId="5" xfId="0" applyFont="1" applyBorder="1"/>
    <xf numFmtId="0" fontId="6" fillId="0" borderId="6" xfId="0" applyFont="1" applyBorder="1"/>
    <xf numFmtId="0" fontId="6" fillId="0" borderId="7" xfId="0" applyFont="1" applyBorder="1"/>
    <xf numFmtId="0" fontId="5" fillId="0" borderId="5" xfId="0" applyFont="1" applyBorder="1" applyAlignment="1"/>
    <xf numFmtId="0" fontId="6" fillId="0" borderId="5" xfId="0" applyFont="1" applyBorder="1" applyAlignment="1"/>
    <xf numFmtId="0" fontId="6" fillId="0" borderId="5" xfId="0" applyFont="1" applyBorder="1" applyAlignment="1">
      <alignment horizontal="left"/>
    </xf>
    <xf numFmtId="0" fontId="6" fillId="3" borderId="3" xfId="0" applyFont="1" applyFill="1" applyBorder="1" applyAlignment="1"/>
    <xf numFmtId="0" fontId="6" fillId="0" borderId="3" xfId="0" applyFont="1" applyBorder="1" applyAlignment="1">
      <alignment horizontal="center" vertical="center"/>
    </xf>
    <xf numFmtId="0" fontId="6" fillId="0" borderId="8" xfId="0" applyFont="1" applyBorder="1"/>
    <xf numFmtId="0" fontId="5" fillId="0" borderId="2" xfId="0" applyFont="1" applyBorder="1" applyAlignment="1"/>
    <xf numFmtId="0" fontId="6" fillId="0" borderId="9" xfId="0" applyFont="1" applyBorder="1" applyAlignment="1"/>
    <xf numFmtId="0" fontId="6" fillId="0" borderId="0" xfId="0" quotePrefix="1" applyFont="1"/>
    <xf numFmtId="0" fontId="6" fillId="0" borderId="0" xfId="0" quotePrefix="1" applyFont="1" applyAlignment="1">
      <alignment horizontal="left"/>
    </xf>
    <xf numFmtId="0" fontId="6" fillId="0" borderId="10" xfId="0" applyFont="1" applyBorder="1"/>
    <xf numFmtId="49" fontId="6" fillId="0" borderId="10" xfId="0" applyNumberFormat="1" applyFont="1" applyBorder="1"/>
    <xf numFmtId="0" fontId="5" fillId="0" borderId="5" xfId="0" applyNumberFormat="1" applyFont="1" applyBorder="1" applyAlignment="1">
      <alignment horizontal="left"/>
    </xf>
    <xf numFmtId="0" fontId="9" fillId="0" borderId="8" xfId="0" applyFont="1" applyBorder="1"/>
    <xf numFmtId="0" fontId="5" fillId="0" borderId="5" xfId="0" applyFont="1" applyBorder="1"/>
    <xf numFmtId="0" fontId="9" fillId="0" borderId="5" xfId="0" applyFont="1" applyBorder="1" applyAlignment="1">
      <alignment horizontal="left"/>
    </xf>
    <xf numFmtId="0" fontId="6" fillId="0" borderId="0" xfId="0" applyFont="1" applyFill="1"/>
    <xf numFmtId="0" fontId="5" fillId="0" borderId="0" xfId="0" applyFont="1" applyBorder="1" applyAlignment="1">
      <alignment horizontal="center"/>
    </xf>
    <xf numFmtId="0" fontId="6" fillId="0" borderId="0" xfId="0" applyFont="1" applyFill="1" applyAlignment="1">
      <alignment horizontal="center"/>
    </xf>
    <xf numFmtId="0" fontId="7" fillId="0" borderId="0" xfId="0" applyFont="1" applyAlignment="1">
      <alignment horizontal="right"/>
    </xf>
    <xf numFmtId="0" fontId="5" fillId="0" borderId="0" xfId="0" applyFont="1" applyAlignment="1">
      <alignment horizontal="left" vertical="center"/>
    </xf>
    <xf numFmtId="0" fontId="6" fillId="0" borderId="0" xfId="0" applyNumberFormat="1" applyFont="1" applyAlignment="1">
      <alignment horizontal="left" vertical="center"/>
    </xf>
    <xf numFmtId="0" fontId="6" fillId="5" borderId="0" xfId="0" applyFont="1" applyFill="1" applyBorder="1" applyAlignment="1"/>
    <xf numFmtId="0" fontId="6" fillId="5" borderId="0" xfId="0" applyFont="1" applyFill="1" applyBorder="1"/>
    <xf numFmtId="0" fontId="6" fillId="0" borderId="0" xfId="0" applyFont="1" applyFill="1" applyBorder="1" applyAlignment="1">
      <alignment horizontal="center"/>
    </xf>
    <xf numFmtId="0" fontId="6" fillId="0" borderId="0" xfId="0" applyFont="1" applyFill="1" applyBorder="1" applyAlignment="1"/>
    <xf numFmtId="0" fontId="6" fillId="0" borderId="0" xfId="0" applyFont="1" applyFill="1" applyBorder="1" applyAlignment="1">
      <alignment horizontal="left"/>
    </xf>
    <xf numFmtId="0" fontId="6" fillId="0" borderId="11" xfId="0" applyFont="1" applyFill="1" applyBorder="1" applyAlignment="1">
      <alignment horizontal="center"/>
    </xf>
    <xf numFmtId="0" fontId="6" fillId="0" borderId="12" xfId="0" applyFont="1" applyFill="1" applyBorder="1"/>
    <xf numFmtId="0" fontId="6" fillId="0" borderId="13" xfId="0" applyFont="1" applyFill="1" applyBorder="1"/>
    <xf numFmtId="0" fontId="6" fillId="0" borderId="0" xfId="0" applyFont="1" applyFill="1" applyBorder="1"/>
    <xf numFmtId="0" fontId="5" fillId="0" borderId="2" xfId="0" applyFont="1" applyFill="1" applyBorder="1" applyAlignment="1">
      <alignment horizontal="left"/>
    </xf>
    <xf numFmtId="0" fontId="5" fillId="0" borderId="15" xfId="0" applyFont="1" applyFill="1" applyBorder="1" applyAlignment="1">
      <alignment horizontal="center"/>
    </xf>
    <xf numFmtId="0" fontId="0" fillId="0" borderId="15" xfId="0" applyFill="1" applyBorder="1" applyAlignment="1"/>
    <xf numFmtId="0" fontId="5" fillId="0" borderId="0" xfId="0" applyFont="1" applyFill="1" applyBorder="1" applyAlignment="1">
      <alignment horizontal="center"/>
    </xf>
    <xf numFmtId="0" fontId="0" fillId="0" borderId="0" xfId="0" applyFill="1"/>
    <xf numFmtId="0" fontId="5" fillId="2" borderId="2" xfId="0" applyFont="1" applyFill="1" applyBorder="1"/>
    <xf numFmtId="0" fontId="5" fillId="0" borderId="0" xfId="0" applyFont="1" applyBorder="1"/>
    <xf numFmtId="49" fontId="6" fillId="0" borderId="0" xfId="0" applyNumberFormat="1" applyFont="1" applyBorder="1"/>
    <xf numFmtId="49" fontId="5" fillId="0" borderId="2" xfId="0" applyNumberFormat="1" applyFont="1" applyBorder="1" applyAlignment="1">
      <alignment horizontal="center"/>
    </xf>
    <xf numFmtId="0" fontId="5" fillId="0" borderId="10" xfId="0" applyNumberFormat="1" applyFont="1" applyBorder="1" applyAlignment="1">
      <alignment horizontal="left"/>
    </xf>
    <xf numFmtId="49" fontId="5" fillId="2" borderId="2" xfId="0" applyNumberFormat="1" applyFont="1" applyFill="1" applyBorder="1" applyAlignment="1">
      <alignment horizontal="left"/>
    </xf>
    <xf numFmtId="3" fontId="3" fillId="0" borderId="0" xfId="1" applyNumberFormat="1" applyAlignment="1" applyProtection="1"/>
    <xf numFmtId="3" fontId="3" fillId="2" borderId="0" xfId="1" applyNumberFormat="1" applyFill="1" applyAlignment="1" applyProtection="1"/>
    <xf numFmtId="0" fontId="6" fillId="0" borderId="1" xfId="0" applyFont="1" applyFill="1" applyBorder="1"/>
    <xf numFmtId="0" fontId="6" fillId="3" borderId="19" xfId="0" applyFont="1" applyFill="1" applyBorder="1" applyAlignment="1">
      <alignment vertical="center"/>
    </xf>
    <xf numFmtId="0" fontId="6" fillId="3" borderId="18" xfId="0" applyFont="1" applyFill="1" applyBorder="1" applyAlignment="1">
      <alignment vertical="center"/>
    </xf>
    <xf numFmtId="0" fontId="6" fillId="3" borderId="19" xfId="0" applyNumberFormat="1" applyFont="1" applyFill="1" applyBorder="1" applyAlignment="1">
      <alignment vertical="center"/>
    </xf>
    <xf numFmtId="0" fontId="6" fillId="3" borderId="18" xfId="0" applyNumberFormat="1" applyFont="1" applyFill="1" applyBorder="1" applyAlignment="1">
      <alignment vertical="center"/>
    </xf>
    <xf numFmtId="0" fontId="6" fillId="3" borderId="19" xfId="0" applyFont="1" applyFill="1" applyBorder="1" applyAlignment="1"/>
    <xf numFmtId="0" fontId="6" fillId="3" borderId="18" xfId="0" applyFont="1" applyFill="1" applyBorder="1" applyAlignment="1"/>
    <xf numFmtId="0" fontId="5" fillId="5" borderId="23" xfId="0" applyFont="1" applyFill="1" applyBorder="1" applyAlignment="1"/>
    <xf numFmtId="0" fontId="6" fillId="5" borderId="24" xfId="0" applyFont="1" applyFill="1" applyBorder="1" applyAlignment="1"/>
    <xf numFmtId="0" fontId="6" fillId="0" borderId="19" xfId="0" applyFont="1" applyBorder="1" applyAlignment="1"/>
    <xf numFmtId="0" fontId="6" fillId="0" borderId="17" xfId="0" applyFont="1" applyBorder="1" applyAlignment="1"/>
    <xf numFmtId="49" fontId="6" fillId="4" borderId="19" xfId="0" applyNumberFormat="1" applyFont="1" applyFill="1" applyBorder="1" applyAlignment="1"/>
    <xf numFmtId="0" fontId="5" fillId="5" borderId="26" xfId="0" applyFont="1" applyFill="1" applyBorder="1" applyAlignment="1"/>
    <xf numFmtId="0" fontId="5" fillId="3" borderId="19" xfId="0" applyFont="1" applyFill="1" applyBorder="1" applyAlignment="1"/>
    <xf numFmtId="0" fontId="6" fillId="3" borderId="17" xfId="0" applyFont="1" applyFill="1" applyBorder="1" applyAlignment="1"/>
    <xf numFmtId="0" fontId="5" fillId="5" borderId="19" xfId="0" applyFont="1" applyFill="1" applyBorder="1" applyAlignment="1"/>
    <xf numFmtId="0" fontId="6" fillId="5" borderId="17" xfId="0" applyFont="1" applyFill="1" applyBorder="1" applyAlignment="1"/>
    <xf numFmtId="0" fontId="6" fillId="0" borderId="3" xfId="0" applyFont="1" applyBorder="1" applyAlignment="1"/>
    <xf numFmtId="0" fontId="6" fillId="4" borderId="17" xfId="0" applyFont="1" applyFill="1" applyBorder="1" applyAlignment="1"/>
    <xf numFmtId="0" fontId="6" fillId="0" borderId="26" xfId="0" applyFont="1" applyBorder="1" applyAlignment="1"/>
    <xf numFmtId="0" fontId="6" fillId="0" borderId="26" xfId="0" applyFont="1" applyBorder="1" applyAlignment="1">
      <alignment horizontal="right"/>
    </xf>
    <xf numFmtId="0" fontId="5" fillId="5" borderId="23" xfId="0" applyFont="1" applyFill="1" applyBorder="1"/>
    <xf numFmtId="0" fontId="6" fillId="5" borderId="24" xfId="0" applyFont="1" applyFill="1" applyBorder="1"/>
    <xf numFmtId="0" fontId="6" fillId="5" borderId="26" xfId="0" applyFont="1" applyFill="1" applyBorder="1"/>
    <xf numFmtId="0" fontId="5" fillId="5" borderId="3" xfId="0" applyFont="1" applyFill="1" applyBorder="1"/>
    <xf numFmtId="0" fontId="6" fillId="5" borderId="3" xfId="0" applyFont="1" applyFill="1" applyBorder="1"/>
    <xf numFmtId="0" fontId="6" fillId="0" borderId="19" xfId="0" applyFont="1" applyBorder="1"/>
    <xf numFmtId="0" fontId="6" fillId="0" borderId="18" xfId="0" applyFont="1" applyBorder="1"/>
    <xf numFmtId="0" fontId="12" fillId="0" borderId="0" xfId="0" applyFont="1" applyAlignment="1">
      <alignment horizontal="left"/>
    </xf>
    <xf numFmtId="0" fontId="0" fillId="0" borderId="0" xfId="0" applyAlignment="1"/>
    <xf numFmtId="0" fontId="6" fillId="0" borderId="0" xfId="0" applyFont="1" applyAlignment="1">
      <alignment wrapText="1"/>
    </xf>
    <xf numFmtId="0" fontId="6" fillId="0" borderId="2" xfId="0" applyFont="1" applyBorder="1" applyAlignment="1">
      <alignment horizontal="left"/>
    </xf>
    <xf numFmtId="0" fontId="6" fillId="3" borderId="23" xfId="0" applyFont="1" applyFill="1" applyBorder="1" applyAlignment="1">
      <alignment vertical="center"/>
    </xf>
    <xf numFmtId="0" fontId="6" fillId="3" borderId="24" xfId="0" applyFont="1" applyFill="1" applyBorder="1" applyAlignment="1"/>
    <xf numFmtId="0" fontId="5" fillId="0" borderId="12" xfId="0" applyFont="1" applyFill="1" applyBorder="1" applyAlignment="1">
      <alignment horizontal="center"/>
    </xf>
    <xf numFmtId="0" fontId="5" fillId="0" borderId="13" xfId="0" applyFont="1" applyFill="1" applyBorder="1" applyAlignment="1">
      <alignment horizontal="center"/>
    </xf>
    <xf numFmtId="0" fontId="5" fillId="0" borderId="26" xfId="0" applyFont="1" applyFill="1" applyBorder="1" applyAlignment="1">
      <alignment horizontal="center"/>
    </xf>
    <xf numFmtId="0" fontId="5" fillId="0" borderId="11" xfId="0" applyFont="1" applyFill="1" applyBorder="1" applyAlignment="1">
      <alignment horizontal="center"/>
    </xf>
    <xf numFmtId="0" fontId="6" fillId="6" borderId="0" xfId="0" applyFont="1" applyFill="1"/>
    <xf numFmtId="0" fontId="12" fillId="6" borderId="0" xfId="0" applyFont="1" applyFill="1"/>
    <xf numFmtId="0" fontId="6" fillId="7" borderId="0" xfId="0" applyFont="1" applyFill="1"/>
    <xf numFmtId="0" fontId="6" fillId="7" borderId="0" xfId="0" applyFont="1" applyFill="1" applyAlignment="1"/>
    <xf numFmtId="0" fontId="6" fillId="7" borderId="0" xfId="0" applyFont="1" applyFill="1" applyBorder="1" applyAlignment="1">
      <alignment horizontal="center"/>
    </xf>
    <xf numFmtId="0" fontId="0" fillId="7" borderId="0" xfId="0" applyFill="1" applyAlignment="1"/>
    <xf numFmtId="0" fontId="5" fillId="7" borderId="0" xfId="0" applyFont="1" applyFill="1" applyAlignment="1"/>
    <xf numFmtId="0" fontId="6" fillId="7" borderId="0" xfId="0" applyFont="1" applyFill="1" applyAlignment="1"/>
    <xf numFmtId="0" fontId="6" fillId="8" borderId="0" xfId="0" applyFont="1" applyFill="1"/>
    <xf numFmtId="0" fontId="6" fillId="8" borderId="0" xfId="0" applyFont="1" applyFill="1" applyAlignment="1">
      <alignment horizontal="center"/>
    </xf>
    <xf numFmtId="0" fontId="6" fillId="8" borderId="2" xfId="0" applyFont="1" applyFill="1" applyBorder="1" applyAlignment="1">
      <alignment horizontal="left"/>
    </xf>
    <xf numFmtId="0" fontId="6" fillId="8" borderId="0" xfId="0" applyFont="1" applyFill="1" applyAlignment="1">
      <alignment horizontal="left"/>
    </xf>
    <xf numFmtId="0" fontId="6" fillId="8" borderId="0" xfId="0" applyFont="1" applyFill="1" applyAlignment="1">
      <alignment horizontal="right"/>
    </xf>
    <xf numFmtId="0" fontId="6" fillId="8" borderId="1" xfId="0" applyFont="1" applyFill="1" applyBorder="1"/>
    <xf numFmtId="0" fontId="5" fillId="8" borderId="2" xfId="0" applyFont="1" applyFill="1" applyBorder="1" applyAlignment="1"/>
    <xf numFmtId="0" fontId="6" fillId="8" borderId="9" xfId="0" applyFont="1" applyFill="1" applyBorder="1" applyAlignment="1"/>
    <xf numFmtId="0" fontId="5" fillId="8" borderId="0" xfId="0" applyFont="1" applyFill="1" applyAlignment="1"/>
    <xf numFmtId="0" fontId="6" fillId="8" borderId="0" xfId="0" applyFont="1" applyFill="1" applyBorder="1" applyAlignment="1">
      <alignment horizontal="center"/>
    </xf>
    <xf numFmtId="0" fontId="6" fillId="8" borderId="0" xfId="0" applyFont="1" applyFill="1" applyBorder="1"/>
    <xf numFmtId="0" fontId="5" fillId="8" borderId="0" xfId="0" applyFont="1" applyFill="1"/>
    <xf numFmtId="0" fontId="5" fillId="8" borderId="3" xfId="0" applyFont="1" applyFill="1" applyBorder="1" applyAlignment="1">
      <alignment horizontal="center"/>
    </xf>
    <xf numFmtId="0" fontId="5" fillId="8" borderId="0" xfId="0" applyFont="1" applyFill="1" applyAlignment="1">
      <alignment horizontal="center"/>
    </xf>
    <xf numFmtId="0" fontId="6" fillId="8" borderId="0" xfId="0" applyFont="1" applyFill="1" applyAlignment="1"/>
    <xf numFmtId="0" fontId="5" fillId="8" borderId="0" xfId="0" applyFont="1" applyFill="1" applyBorder="1" applyAlignment="1">
      <alignment horizontal="center"/>
    </xf>
    <xf numFmtId="49" fontId="5" fillId="8" borderId="2" xfId="0" applyNumberFormat="1" applyFont="1" applyFill="1" applyBorder="1" applyAlignment="1">
      <alignment horizontal="center"/>
    </xf>
    <xf numFmtId="0" fontId="5" fillId="8" borderId="2" xfId="0" applyFont="1" applyFill="1" applyBorder="1" applyAlignment="1">
      <alignment horizontal="center"/>
    </xf>
    <xf numFmtId="0" fontId="12" fillId="8" borderId="0" xfId="0" applyFont="1" applyFill="1"/>
    <xf numFmtId="0" fontId="12" fillId="8" borderId="0" xfId="0" applyFont="1" applyFill="1" applyAlignment="1">
      <alignment horizontal="left"/>
    </xf>
    <xf numFmtId="0" fontId="6" fillId="8" borderId="0" xfId="1" applyFont="1" applyFill="1" applyAlignment="1" applyProtection="1">
      <alignment horizontal="left" indent="2"/>
    </xf>
    <xf numFmtId="0" fontId="6" fillId="8" borderId="0" xfId="0" applyFont="1" applyFill="1" applyAlignment="1">
      <alignment horizontal="left" indent="2"/>
    </xf>
    <xf numFmtId="49" fontId="6" fillId="8" borderId="0" xfId="0" applyNumberFormat="1" applyFont="1" applyFill="1" applyBorder="1"/>
    <xf numFmtId="0" fontId="5" fillId="8" borderId="0" xfId="0" applyFont="1" applyFill="1" applyBorder="1"/>
    <xf numFmtId="0" fontId="6" fillId="8" borderId="0" xfId="0" applyFont="1" applyFill="1" applyAlignment="1">
      <alignment wrapText="1"/>
    </xf>
    <xf numFmtId="0" fontId="6" fillId="8" borderId="4" xfId="0" applyFont="1" applyFill="1" applyBorder="1"/>
    <xf numFmtId="0" fontId="5" fillId="9" borderId="2" xfId="0" applyFont="1" applyFill="1" applyBorder="1"/>
    <xf numFmtId="0" fontId="5" fillId="9" borderId="2" xfId="0" applyFont="1" applyFill="1" applyBorder="1" applyAlignment="1">
      <alignment horizontal="center"/>
    </xf>
    <xf numFmtId="0" fontId="0" fillId="8" borderId="0" xfId="0" applyFill="1"/>
    <xf numFmtId="0" fontId="7" fillId="8" borderId="0" xfId="0" applyFont="1" applyFill="1" applyAlignment="1">
      <alignment horizontal="right"/>
    </xf>
    <xf numFmtId="0" fontId="6" fillId="8" borderId="0" xfId="0" applyFont="1" applyFill="1" applyAlignment="1">
      <alignment horizontal="left" vertical="center"/>
    </xf>
    <xf numFmtId="0" fontId="5" fillId="8" borderId="0" xfId="0" applyFont="1" applyFill="1" applyAlignment="1">
      <alignment horizontal="left" vertical="center"/>
    </xf>
    <xf numFmtId="0" fontId="6" fillId="8" borderId="0" xfId="0" applyFont="1" applyFill="1" applyAlignment="1">
      <alignment horizontal="right" vertical="center"/>
    </xf>
    <xf numFmtId="0" fontId="6" fillId="8" borderId="0" xfId="0" applyNumberFormat="1" applyFont="1" applyFill="1" applyAlignment="1">
      <alignment horizontal="left" vertical="center"/>
    </xf>
    <xf numFmtId="0" fontId="21" fillId="8" borderId="0" xfId="0" applyFont="1" applyFill="1"/>
    <xf numFmtId="0" fontId="6" fillId="8" borderId="0" xfId="0" applyFont="1" applyFill="1" applyBorder="1" applyAlignment="1"/>
    <xf numFmtId="0" fontId="5" fillId="8" borderId="16" xfId="0" applyFont="1" applyFill="1" applyBorder="1" applyAlignment="1">
      <alignment horizontal="center" vertical="center"/>
    </xf>
    <xf numFmtId="0" fontId="5" fillId="8" borderId="3" xfId="0" applyFont="1" applyFill="1" applyBorder="1" applyAlignment="1"/>
    <xf numFmtId="0" fontId="9" fillId="8" borderId="0" xfId="0" applyFont="1" applyFill="1"/>
    <xf numFmtId="3" fontId="3" fillId="8" borderId="0" xfId="1" applyNumberFormat="1" applyFill="1" applyAlignment="1" applyProtection="1"/>
    <xf numFmtId="0" fontId="15" fillId="8" borderId="0" xfId="0" applyFont="1" applyFill="1"/>
    <xf numFmtId="0" fontId="6" fillId="9" borderId="0" xfId="0" applyFont="1" applyFill="1"/>
    <xf numFmtId="49" fontId="5" fillId="9" borderId="2" xfId="0" applyNumberFormat="1" applyFont="1" applyFill="1" applyBorder="1" applyAlignment="1">
      <alignment horizontal="left"/>
    </xf>
    <xf numFmtId="3" fontId="3" fillId="9" borderId="0" xfId="1" applyNumberFormat="1" applyFill="1" applyAlignment="1" applyProtection="1"/>
    <xf numFmtId="0" fontId="5" fillId="9" borderId="0" xfId="0" applyFont="1" applyFill="1" applyBorder="1" applyAlignment="1">
      <alignment horizontal="center"/>
    </xf>
    <xf numFmtId="0" fontId="5" fillId="9" borderId="3" xfId="0" applyFont="1" applyFill="1" applyBorder="1"/>
    <xf numFmtId="0" fontId="5" fillId="9" borderId="0" xfId="0" applyFont="1" applyFill="1" applyAlignment="1">
      <alignment horizontal="center"/>
    </xf>
    <xf numFmtId="0" fontId="9" fillId="8" borderId="8" xfId="0" applyFont="1" applyFill="1" applyBorder="1"/>
    <xf numFmtId="0" fontId="6" fillId="8" borderId="8" xfId="0" applyFont="1" applyFill="1" applyBorder="1"/>
    <xf numFmtId="0" fontId="6" fillId="8" borderId="5" xfId="0" applyFont="1" applyFill="1" applyBorder="1"/>
    <xf numFmtId="0" fontId="6" fillId="8" borderId="59" xfId="0" applyFont="1" applyFill="1" applyBorder="1" applyAlignment="1"/>
    <xf numFmtId="0" fontId="6" fillId="8" borderId="60" xfId="0" applyFont="1" applyFill="1" applyBorder="1" applyAlignment="1"/>
    <xf numFmtId="0" fontId="6" fillId="8" borderId="59" xfId="0" applyFont="1" applyFill="1" applyBorder="1" applyAlignment="1">
      <alignment wrapText="1"/>
    </xf>
    <xf numFmtId="0" fontId="6" fillId="8" borderId="0" xfId="0" applyFont="1" applyFill="1" applyBorder="1" applyAlignment="1">
      <alignment wrapText="1"/>
    </xf>
    <xf numFmtId="0" fontId="6" fillId="8" borderId="60" xfId="0" applyFont="1" applyFill="1" applyBorder="1" applyAlignment="1">
      <alignment wrapText="1"/>
    </xf>
    <xf numFmtId="0" fontId="6" fillId="8" borderId="61" xfId="0" applyFont="1" applyFill="1" applyBorder="1" applyAlignment="1">
      <alignment wrapText="1"/>
    </xf>
    <xf numFmtId="0" fontId="6" fillId="8" borderId="62" xfId="0" applyFont="1" applyFill="1" applyBorder="1" applyAlignment="1">
      <alignment wrapText="1"/>
    </xf>
    <xf numFmtId="0" fontId="6" fillId="8" borderId="63" xfId="0" applyFont="1" applyFill="1" applyBorder="1" applyAlignment="1">
      <alignment wrapText="1"/>
    </xf>
    <xf numFmtId="0" fontId="6" fillId="8" borderId="56" xfId="0" applyFont="1" applyFill="1" applyBorder="1" applyAlignment="1">
      <alignment wrapText="1"/>
    </xf>
    <xf numFmtId="0" fontId="6" fillId="8" borderId="57" xfId="0" applyFont="1" applyFill="1" applyBorder="1" applyAlignment="1">
      <alignment wrapText="1"/>
    </xf>
    <xf numFmtId="0" fontId="6" fillId="8" borderId="58" xfId="0" applyFont="1" applyFill="1" applyBorder="1" applyAlignment="1">
      <alignment wrapText="1"/>
    </xf>
    <xf numFmtId="0" fontId="6" fillId="0" borderId="5" xfId="0" applyFont="1" applyFill="1" applyBorder="1"/>
    <xf numFmtId="0" fontId="6" fillId="8" borderId="50" xfId="0" applyFont="1" applyFill="1" applyBorder="1" applyAlignment="1"/>
    <xf numFmtId="0" fontId="6" fillId="8" borderId="51" xfId="0" applyFont="1" applyFill="1" applyBorder="1" applyAlignment="1"/>
    <xf numFmtId="0" fontId="6" fillId="8" borderId="52" xfId="0" applyFont="1" applyFill="1" applyBorder="1" applyAlignment="1"/>
    <xf numFmtId="0" fontId="20" fillId="0" borderId="0" xfId="0" applyFont="1"/>
    <xf numFmtId="0" fontId="0" fillId="0" borderId="0" xfId="0" applyAlignment="1">
      <alignment horizontal="right"/>
    </xf>
    <xf numFmtId="0" fontId="20" fillId="0" borderId="0" xfId="0" applyFont="1" applyAlignment="1">
      <alignment horizontal="right"/>
    </xf>
    <xf numFmtId="4" fontId="0" fillId="0" borderId="0" xfId="0" applyNumberFormat="1"/>
    <xf numFmtId="0" fontId="0" fillId="0" borderId="0" xfId="0" applyAlignment="1">
      <alignment wrapText="1"/>
    </xf>
    <xf numFmtId="0" fontId="0" fillId="0" borderId="0" xfId="0" applyAlignment="1">
      <alignment horizontal="center"/>
    </xf>
    <xf numFmtId="0" fontId="24" fillId="0" borderId="0" xfId="0" applyFont="1"/>
    <xf numFmtId="0" fontId="25" fillId="0" borderId="0" xfId="0" applyFont="1"/>
    <xf numFmtId="0" fontId="0" fillId="0" borderId="0" xfId="0" applyAlignment="1">
      <alignment horizontal="center"/>
    </xf>
    <xf numFmtId="0" fontId="4" fillId="0" borderId="64" xfId="0" applyFont="1" applyBorder="1" applyAlignment="1">
      <alignment horizontal="center"/>
    </xf>
    <xf numFmtId="0" fontId="20" fillId="0" borderId="64" xfId="0" applyFont="1" applyBorder="1" applyAlignment="1">
      <alignment horizontal="center" vertical="center"/>
    </xf>
    <xf numFmtId="0" fontId="0" fillId="0" borderId="0" xfId="0" applyAlignment="1">
      <alignment horizontal="left"/>
    </xf>
    <xf numFmtId="0" fontId="4" fillId="0" borderId="0" xfId="0" applyFont="1"/>
    <xf numFmtId="0" fontId="20" fillId="0" borderId="0" xfId="0" applyFont="1" applyAlignment="1">
      <alignment horizontal="left"/>
    </xf>
    <xf numFmtId="0" fontId="26" fillId="0" borderId="0" xfId="0" applyFont="1" applyAlignment="1">
      <alignment horizontal="center"/>
    </xf>
    <xf numFmtId="0" fontId="27" fillId="0" borderId="0" xfId="0" applyFont="1"/>
    <xf numFmtId="0" fontId="9" fillId="0" borderId="5" xfId="0" applyFont="1" applyBorder="1"/>
    <xf numFmtId="49" fontId="20" fillId="0" borderId="0" xfId="0" applyNumberFormat="1" applyFont="1" applyAlignment="1">
      <alignment horizontal="left"/>
    </xf>
    <xf numFmtId="0" fontId="5" fillId="8" borderId="0" xfId="0" applyFont="1" applyFill="1" applyBorder="1" applyAlignment="1">
      <alignment horizontal="center"/>
    </xf>
    <xf numFmtId="0" fontId="6" fillId="8" borderId="0" xfId="0" applyFont="1" applyFill="1" applyAlignment="1"/>
    <xf numFmtId="0" fontId="6" fillId="0" borderId="5" xfId="0" applyFont="1" applyBorder="1" applyAlignment="1">
      <alignment horizontal="left"/>
    </xf>
    <xf numFmtId="0" fontId="6" fillId="8" borderId="56" xfId="0" applyFont="1" applyFill="1" applyBorder="1"/>
    <xf numFmtId="0" fontId="6" fillId="8" borderId="57" xfId="0" applyFont="1" applyFill="1" applyBorder="1"/>
    <xf numFmtId="0" fontId="5" fillId="8" borderId="57" xfId="0" applyFont="1" applyFill="1" applyBorder="1"/>
    <xf numFmtId="0" fontId="6" fillId="8" borderId="58" xfId="0" applyFont="1" applyFill="1" applyBorder="1"/>
    <xf numFmtId="0" fontId="6" fillId="0" borderId="0" xfId="0" applyFont="1" applyBorder="1" applyAlignment="1">
      <alignment horizontal="center"/>
    </xf>
    <xf numFmtId="0" fontId="6" fillId="0" borderId="0" xfId="0" applyFont="1" applyAlignment="1">
      <alignment horizontal="left"/>
    </xf>
    <xf numFmtId="0" fontId="5" fillId="0" borderId="0" xfId="0" applyFont="1" applyAlignment="1">
      <alignment horizontal="center"/>
    </xf>
    <xf numFmtId="0" fontId="6" fillId="0" borderId="0" xfId="0" applyFont="1" applyAlignment="1"/>
    <xf numFmtId="0" fontId="5" fillId="0" borderId="0" xfId="0" applyFont="1" applyBorder="1" applyAlignment="1">
      <alignment horizontal="center"/>
    </xf>
    <xf numFmtId="0" fontId="5" fillId="8" borderId="0" xfId="0" applyFont="1" applyFill="1" applyBorder="1" applyAlignment="1"/>
    <xf numFmtId="0" fontId="0" fillId="0" borderId="0" xfId="0" applyAlignment="1">
      <alignment horizontal="center"/>
    </xf>
    <xf numFmtId="0" fontId="6" fillId="0" borderId="0" xfId="0" applyFont="1" applyFill="1" applyBorder="1" applyAlignment="1">
      <alignment horizontal="center"/>
    </xf>
    <xf numFmtId="0" fontId="6" fillId="0" borderId="11" xfId="0" applyFont="1" applyFill="1" applyBorder="1" applyAlignment="1">
      <alignment horizontal="center"/>
    </xf>
    <xf numFmtId="0" fontId="5" fillId="0" borderId="2" xfId="0" applyFont="1" applyFill="1" applyBorder="1" applyAlignment="1">
      <alignment horizontal="left"/>
    </xf>
    <xf numFmtId="0" fontId="5" fillId="0" borderId="0" xfId="0" applyFont="1" applyFill="1" applyBorder="1" applyAlignment="1">
      <alignment horizontal="center"/>
    </xf>
    <xf numFmtId="0" fontId="6" fillId="0" borderId="0" xfId="0" applyFont="1" applyAlignment="1">
      <alignment horizontal="center"/>
    </xf>
    <xf numFmtId="0" fontId="6" fillId="0" borderId="0" xfId="0" applyFont="1" applyFill="1" applyAlignment="1">
      <alignment horizontal="center"/>
    </xf>
    <xf numFmtId="0" fontId="0" fillId="0" borderId="0" xfId="0" applyAlignment="1">
      <alignment horizontal="center"/>
    </xf>
    <xf numFmtId="0" fontId="6" fillId="8" borderId="0" xfId="0" applyFont="1" applyFill="1" applyBorder="1" applyAlignment="1">
      <alignment horizontal="left"/>
    </xf>
    <xf numFmtId="0" fontId="6" fillId="8" borderId="0" xfId="0" applyFont="1" applyFill="1" applyBorder="1" applyAlignment="1">
      <alignment horizontal="center"/>
    </xf>
    <xf numFmtId="0" fontId="6" fillId="8" borderId="0" xfId="0" applyFont="1" applyFill="1" applyAlignment="1">
      <alignment horizontal="center"/>
    </xf>
    <xf numFmtId="0" fontId="6" fillId="0" borderId="0" xfId="0" applyFont="1" applyBorder="1" applyAlignment="1"/>
    <xf numFmtId="0" fontId="5" fillId="0" borderId="0" xfId="0" applyFont="1" applyFill="1" applyBorder="1" applyAlignment="1"/>
    <xf numFmtId="0" fontId="5" fillId="2" borderId="2" xfId="0" applyNumberFormat="1" applyFont="1" applyFill="1" applyBorder="1" applyAlignment="1">
      <alignment horizontal="left"/>
    </xf>
    <xf numFmtId="0" fontId="5" fillId="0" borderId="50" xfId="0" applyFont="1" applyBorder="1" applyAlignment="1"/>
    <xf numFmtId="0" fontId="5" fillId="0" borderId="51" xfId="0" applyFont="1" applyBorder="1" applyAlignment="1"/>
    <xf numFmtId="0" fontId="5" fillId="0" borderId="52" xfId="0" applyFont="1" applyBorder="1" applyAlignment="1"/>
    <xf numFmtId="0" fontId="5" fillId="9" borderId="2" xfId="0" applyNumberFormat="1" applyFont="1" applyFill="1" applyBorder="1" applyAlignment="1">
      <alignment horizontal="left"/>
    </xf>
    <xf numFmtId="0" fontId="19" fillId="0" borderId="68" xfId="0" applyFont="1" applyBorder="1" applyAlignment="1">
      <alignment vertical="center" wrapText="1"/>
    </xf>
    <xf numFmtId="0" fontId="19" fillId="0" borderId="69" xfId="0" applyFont="1" applyBorder="1" applyAlignment="1">
      <alignment vertical="center" wrapText="1"/>
    </xf>
    <xf numFmtId="0" fontId="23" fillId="0" borderId="64" xfId="0" applyFont="1" applyBorder="1" applyAlignment="1">
      <alignment vertical="center" wrapText="1"/>
    </xf>
    <xf numFmtId="0" fontId="6" fillId="0" borderId="0" xfId="0" applyFont="1" applyAlignment="1"/>
    <xf numFmtId="0" fontId="6" fillId="8" borderId="0" xfId="0" applyFont="1" applyFill="1" applyAlignment="1"/>
    <xf numFmtId="0" fontId="6" fillId="0" borderId="0" xfId="0" applyFont="1" applyBorder="1" applyAlignment="1"/>
    <xf numFmtId="0" fontId="6" fillId="0" borderId="12" xfId="0" applyFont="1" applyFill="1" applyBorder="1" applyAlignment="1"/>
    <xf numFmtId="0" fontId="6" fillId="8" borderId="12" xfId="0" applyFont="1" applyFill="1" applyBorder="1" applyAlignment="1"/>
    <xf numFmtId="0" fontId="6" fillId="0" borderId="17" xfId="0" applyFont="1" applyFill="1" applyBorder="1" applyAlignment="1"/>
    <xf numFmtId="0" fontId="6" fillId="5" borderId="17" xfId="0" applyFont="1" applyFill="1" applyBorder="1"/>
    <xf numFmtId="0" fontId="29" fillId="10" borderId="0" xfId="0" applyFont="1" applyFill="1"/>
    <xf numFmtId="0" fontId="4" fillId="10" borderId="0" xfId="0" applyFont="1" applyFill="1"/>
    <xf numFmtId="0" fontId="0" fillId="10" borderId="0" xfId="0" applyFill="1" applyAlignment="1">
      <alignment horizontal="left"/>
    </xf>
    <xf numFmtId="0" fontId="0" fillId="10" borderId="0" xfId="0" applyFill="1"/>
    <xf numFmtId="0" fontId="29" fillId="0" borderId="0" xfId="0" applyFont="1" applyFill="1"/>
    <xf numFmtId="0" fontId="6" fillId="0" borderId="0" xfId="0" applyFont="1" applyAlignment="1"/>
    <xf numFmtId="0" fontId="6" fillId="8" borderId="0" xfId="0" applyFont="1" applyFill="1" applyAlignment="1"/>
    <xf numFmtId="0" fontId="6" fillId="0" borderId="3" xfId="0" applyFont="1" applyFill="1" applyBorder="1" applyAlignment="1">
      <alignment horizontal="left"/>
    </xf>
    <xf numFmtId="165" fontId="0" fillId="0" borderId="0" xfId="0" applyNumberFormat="1" applyAlignment="1">
      <alignment horizontal="left"/>
    </xf>
    <xf numFmtId="165" fontId="5" fillId="0" borderId="2" xfId="0" applyNumberFormat="1" applyFont="1" applyBorder="1" applyAlignment="1"/>
    <xf numFmtId="165" fontId="5" fillId="0" borderId="0" xfId="0" applyNumberFormat="1" applyFont="1" applyBorder="1" applyAlignment="1"/>
    <xf numFmtId="0" fontId="5" fillId="0" borderId="10" xfId="0" applyFont="1" applyBorder="1" applyAlignment="1"/>
    <xf numFmtId="0" fontId="6" fillId="11" borderId="17" xfId="0" applyFont="1" applyFill="1" applyBorder="1" applyAlignment="1">
      <alignment vertical="center"/>
    </xf>
    <xf numFmtId="0" fontId="6" fillId="11" borderId="17" xfId="0" applyNumberFormat="1" applyFont="1" applyFill="1" applyBorder="1" applyAlignment="1">
      <alignment vertical="center"/>
    </xf>
    <xf numFmtId="0" fontId="6" fillId="11" borderId="0" xfId="0" applyFont="1" applyFill="1" applyAlignment="1">
      <alignment horizontal="left"/>
    </xf>
    <xf numFmtId="0" fontId="6" fillId="11" borderId="17" xfId="0" applyFont="1" applyFill="1" applyBorder="1" applyAlignment="1"/>
    <xf numFmtId="0" fontId="6" fillId="11" borderId="24" xfId="0" applyFont="1" applyFill="1" applyBorder="1" applyAlignment="1">
      <alignment horizontal="left"/>
    </xf>
    <xf numFmtId="49" fontId="6" fillId="11" borderId="17" xfId="0" applyNumberFormat="1" applyFont="1" applyFill="1" applyBorder="1" applyAlignment="1"/>
    <xf numFmtId="0" fontId="6" fillId="11" borderId="0" xfId="0" applyFont="1" applyFill="1" applyBorder="1" applyAlignment="1"/>
    <xf numFmtId="0" fontId="6" fillId="11" borderId="17" xfId="0" applyFont="1" applyFill="1" applyBorder="1" applyAlignment="1">
      <alignment horizontal="left"/>
    </xf>
    <xf numFmtId="0" fontId="6" fillId="11" borderId="24" xfId="0" applyFont="1" applyFill="1" applyBorder="1" applyAlignment="1"/>
    <xf numFmtId="17" fontId="6" fillId="11" borderId="17" xfId="0" applyNumberFormat="1" applyFont="1" applyFill="1" applyBorder="1" applyAlignment="1"/>
    <xf numFmtId="3" fontId="6" fillId="11" borderId="17" xfId="0" applyNumberFormat="1" applyFont="1" applyFill="1" applyBorder="1" applyAlignment="1">
      <alignment horizontal="left"/>
    </xf>
    <xf numFmtId="0" fontId="6" fillId="11" borderId="17" xfId="0" applyFont="1" applyFill="1" applyBorder="1"/>
    <xf numFmtId="0" fontId="6" fillId="0" borderId="0" xfId="0" applyFont="1" applyAlignment="1"/>
    <xf numFmtId="0" fontId="6" fillId="8" borderId="0" xfId="0" applyFont="1" applyFill="1" applyAlignment="1"/>
    <xf numFmtId="0" fontId="6" fillId="0" borderId="0" xfId="0" applyFont="1" applyAlignment="1">
      <alignment wrapText="1"/>
    </xf>
    <xf numFmtId="0" fontId="6" fillId="8" borderId="0" xfId="0" applyFont="1" applyFill="1" applyAlignment="1">
      <alignment wrapText="1"/>
    </xf>
    <xf numFmtId="165" fontId="5" fillId="0" borderId="2" xfId="0" applyNumberFormat="1" applyFont="1" applyBorder="1" applyAlignment="1">
      <alignment horizontal="center"/>
    </xf>
    <xf numFmtId="0" fontId="6" fillId="8" borderId="0" xfId="0" applyFont="1" applyFill="1" applyAlignment="1">
      <alignment horizontal="center"/>
    </xf>
    <xf numFmtId="0" fontId="6" fillId="0" borderId="0" xfId="0" applyFont="1" applyAlignment="1"/>
    <xf numFmtId="0" fontId="32" fillId="0" borderId="0" xfId="2" applyFont="1"/>
    <xf numFmtId="49" fontId="32" fillId="0" borderId="0" xfId="2" applyNumberFormat="1" applyFont="1"/>
    <xf numFmtId="0" fontId="1" fillId="0" borderId="0" xfId="2"/>
    <xf numFmtId="49" fontId="1" fillId="0" borderId="0" xfId="2" applyNumberFormat="1"/>
    <xf numFmtId="0" fontId="0" fillId="10" borderId="0" xfId="0" applyFont="1" applyFill="1"/>
    <xf numFmtId="0" fontId="12" fillId="8" borderId="3" xfId="0" applyFont="1" applyFill="1" applyBorder="1" applyAlignment="1">
      <alignment wrapText="1"/>
    </xf>
    <xf numFmtId="0" fontId="12" fillId="8" borderId="3" xfId="0" applyFont="1" applyFill="1" applyBorder="1" applyAlignment="1">
      <alignment horizontal="center" wrapText="1"/>
    </xf>
    <xf numFmtId="0" fontId="30" fillId="8" borderId="0" xfId="0" applyFont="1" applyFill="1"/>
    <xf numFmtId="0" fontId="6" fillId="0" borderId="19" xfId="0" applyFont="1" applyFill="1" applyBorder="1" applyAlignment="1"/>
    <xf numFmtId="0" fontId="6" fillId="0" borderId="26" xfId="0" applyFont="1" applyFill="1" applyBorder="1" applyAlignment="1"/>
    <xf numFmtId="0" fontId="30" fillId="0" borderId="26" xfId="0" applyFont="1" applyBorder="1" applyAlignment="1">
      <alignment horizontal="right"/>
    </xf>
    <xf numFmtId="0" fontId="6" fillId="13" borderId="3" xfId="0" applyFont="1" applyFill="1" applyBorder="1" applyAlignment="1"/>
    <xf numFmtId="0" fontId="6" fillId="13" borderId="3" xfId="0" applyFont="1" applyFill="1" applyBorder="1"/>
    <xf numFmtId="0" fontId="29" fillId="13" borderId="3" xfId="0" applyFont="1" applyFill="1" applyBorder="1"/>
    <xf numFmtId="49" fontId="32" fillId="0" borderId="0" xfId="2" applyNumberFormat="1" applyFont="1" applyAlignment="1">
      <alignment horizontal="center"/>
    </xf>
    <xf numFmtId="49" fontId="1" fillId="0" borderId="0" xfId="2" applyNumberFormat="1" applyAlignment="1">
      <alignment horizontal="center"/>
    </xf>
    <xf numFmtId="49" fontId="0" fillId="0" borderId="0" xfId="0" applyNumberFormat="1"/>
    <xf numFmtId="49" fontId="7" fillId="0" borderId="0" xfId="0" applyNumberFormat="1" applyFont="1" applyAlignment="1">
      <alignment horizontal="right"/>
    </xf>
    <xf numFmtId="49" fontId="6" fillId="0" borderId="1" xfId="0" applyNumberFormat="1" applyFont="1" applyFill="1" applyBorder="1"/>
    <xf numFmtId="49" fontId="5" fillId="0" borderId="0" xfId="0" applyNumberFormat="1" applyFont="1" applyAlignment="1">
      <alignment horizontal="left" vertical="center"/>
    </xf>
    <xf numFmtId="49" fontId="6" fillId="0" borderId="0" xfId="0" applyNumberFormat="1" applyFont="1" applyAlignment="1">
      <alignment horizontal="left" vertical="center"/>
    </xf>
    <xf numFmtId="49" fontId="6" fillId="4" borderId="19" xfId="0" applyNumberFormat="1" applyFont="1" applyFill="1" applyBorder="1" applyAlignment="1">
      <alignment vertical="center"/>
    </xf>
    <xf numFmtId="49" fontId="6" fillId="4" borderId="0" xfId="0" applyNumberFormat="1" applyFont="1" applyFill="1" applyAlignment="1">
      <alignment horizontal="left"/>
    </xf>
    <xf numFmtId="49" fontId="6" fillId="4" borderId="19" xfId="0" applyNumberFormat="1" applyFont="1" applyFill="1" applyBorder="1" applyAlignment="1">
      <alignment horizontal="left"/>
    </xf>
    <xf numFmtId="49" fontId="6" fillId="5" borderId="24" xfId="0" applyNumberFormat="1" applyFont="1" applyFill="1" applyBorder="1" applyAlignment="1"/>
    <xf numFmtId="49" fontId="6" fillId="5" borderId="0" xfId="0" applyNumberFormat="1" applyFont="1" applyFill="1" applyBorder="1" applyAlignment="1"/>
    <xf numFmtId="49" fontId="6" fillId="11" borderId="19" xfId="0" applyNumberFormat="1" applyFont="1" applyFill="1" applyBorder="1" applyAlignment="1"/>
    <xf numFmtId="49" fontId="6" fillId="5" borderId="17" xfId="0" applyNumberFormat="1" applyFont="1" applyFill="1" applyBorder="1" applyAlignment="1"/>
    <xf numFmtId="49" fontId="6" fillId="11" borderId="23" xfId="0" applyNumberFormat="1" applyFont="1" applyFill="1" applyBorder="1" applyAlignment="1"/>
    <xf numFmtId="49" fontId="6" fillId="11" borderId="26" xfId="0" applyNumberFormat="1" applyFont="1" applyFill="1" applyBorder="1" applyAlignment="1"/>
    <xf numFmtId="49" fontId="6" fillId="0" borderId="19" xfId="0" applyNumberFormat="1" applyFont="1" applyFill="1" applyBorder="1" applyAlignment="1"/>
    <xf numFmtId="49" fontId="6" fillId="4" borderId="3" xfId="0" applyNumberFormat="1" applyFont="1" applyFill="1" applyBorder="1" applyAlignment="1"/>
    <xf numFmtId="49" fontId="6" fillId="5" borderId="24" xfId="0" applyNumberFormat="1" applyFont="1" applyFill="1" applyBorder="1"/>
    <xf numFmtId="49" fontId="6" fillId="5" borderId="0" xfId="0" applyNumberFormat="1" applyFont="1" applyFill="1" applyBorder="1"/>
    <xf numFmtId="49" fontId="6" fillId="13" borderId="3" xfId="0" applyNumberFormat="1" applyFont="1" applyFill="1" applyBorder="1" applyAlignment="1">
      <alignment horizontal="center"/>
    </xf>
    <xf numFmtId="49" fontId="0" fillId="4" borderId="3" xfId="0" applyNumberFormat="1" applyFill="1" applyBorder="1" applyAlignment="1"/>
    <xf numFmtId="49" fontId="6" fillId="5" borderId="19" xfId="0" applyNumberFormat="1" applyFont="1" applyFill="1" applyBorder="1"/>
    <xf numFmtId="49" fontId="6" fillId="4" borderId="19" xfId="0" applyNumberFormat="1" applyFont="1" applyFill="1" applyBorder="1"/>
    <xf numFmtId="49" fontId="6" fillId="0" borderId="0" xfId="0" applyNumberFormat="1" applyFont="1" applyFill="1" applyBorder="1" applyAlignment="1"/>
    <xf numFmtId="49" fontId="26" fillId="0" borderId="0" xfId="0" applyNumberFormat="1" applyFont="1" applyAlignment="1">
      <alignment horizontal="center"/>
    </xf>
    <xf numFmtId="49" fontId="6" fillId="0" borderId="0" xfId="0" applyNumberFormat="1" applyFont="1"/>
    <xf numFmtId="49" fontId="6" fillId="4" borderId="18" xfId="0" applyNumberFormat="1" applyFont="1" applyFill="1" applyBorder="1" applyAlignment="1"/>
    <xf numFmtId="49" fontId="6" fillId="4" borderId="3" xfId="0" applyNumberFormat="1" applyFont="1" applyFill="1" applyBorder="1"/>
    <xf numFmtId="49" fontId="7" fillId="0" borderId="0" xfId="0" applyNumberFormat="1" applyFont="1"/>
    <xf numFmtId="49" fontId="6" fillId="11" borderId="18" xfId="0" applyNumberFormat="1" applyFont="1" applyFill="1" applyBorder="1" applyAlignment="1">
      <alignment vertical="center"/>
    </xf>
    <xf numFmtId="49" fontId="6" fillId="11" borderId="18" xfId="0" applyNumberFormat="1" applyFont="1" applyFill="1" applyBorder="1" applyAlignment="1"/>
    <xf numFmtId="49" fontId="6" fillId="11" borderId="25" xfId="0" applyNumberFormat="1" applyFont="1" applyFill="1" applyBorder="1" applyAlignment="1"/>
    <xf numFmtId="49" fontId="6" fillId="5" borderId="13" xfId="0" applyNumberFormat="1" applyFont="1" applyFill="1" applyBorder="1" applyAlignment="1"/>
    <xf numFmtId="49" fontId="33" fillId="12" borderId="25" xfId="0" applyNumberFormat="1" applyFont="1" applyFill="1" applyBorder="1" applyAlignment="1">
      <alignment horizontal="center"/>
    </xf>
    <xf numFmtId="49" fontId="6" fillId="5" borderId="25" xfId="0" applyNumberFormat="1" applyFont="1" applyFill="1" applyBorder="1" applyAlignment="1"/>
    <xf numFmtId="49" fontId="6" fillId="5" borderId="18" xfId="0" applyNumberFormat="1" applyFont="1" applyFill="1" applyBorder="1" applyAlignment="1"/>
    <xf numFmtId="49" fontId="6" fillId="11" borderId="13" xfId="0" applyNumberFormat="1" applyFont="1" applyFill="1" applyBorder="1" applyAlignment="1"/>
    <xf numFmtId="49" fontId="34" fillId="11" borderId="13" xfId="0" applyNumberFormat="1" applyFont="1" applyFill="1" applyBorder="1" applyAlignment="1">
      <alignment horizontal="right"/>
    </xf>
    <xf numFmtId="49" fontId="6" fillId="5" borderId="25" xfId="0" applyNumberFormat="1" applyFont="1" applyFill="1" applyBorder="1"/>
    <xf numFmtId="49" fontId="6" fillId="5" borderId="13" xfId="0" applyNumberFormat="1" applyFont="1" applyFill="1" applyBorder="1"/>
    <xf numFmtId="49" fontId="6" fillId="13" borderId="3" xfId="0" applyNumberFormat="1" applyFont="1" applyFill="1" applyBorder="1" applyAlignment="1"/>
    <xf numFmtId="49" fontId="6" fillId="5" borderId="18" xfId="0" applyNumberFormat="1" applyFont="1" applyFill="1" applyBorder="1"/>
    <xf numFmtId="49" fontId="6" fillId="11" borderId="18" xfId="0" applyNumberFormat="1" applyFont="1" applyFill="1" applyBorder="1"/>
    <xf numFmtId="49" fontId="0" fillId="8" borderId="0" xfId="0" applyNumberFormat="1" applyFill="1"/>
    <xf numFmtId="49" fontId="7" fillId="8" borderId="0" xfId="0" applyNumberFormat="1" applyFont="1" applyFill="1" applyAlignment="1">
      <alignment horizontal="right"/>
    </xf>
    <xf numFmtId="49" fontId="6" fillId="8" borderId="1" xfId="0" applyNumberFormat="1" applyFont="1" applyFill="1" applyBorder="1"/>
    <xf numFmtId="49" fontId="5"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4" borderId="0" xfId="0" applyNumberFormat="1" applyFont="1" applyFill="1" applyBorder="1" applyAlignment="1"/>
    <xf numFmtId="49" fontId="6" fillId="8" borderId="0" xfId="0" applyNumberFormat="1" applyFont="1" applyFill="1" applyBorder="1" applyAlignment="1"/>
    <xf numFmtId="49" fontId="6" fillId="8" borderId="0" xfId="0" applyNumberFormat="1" applyFont="1" applyFill="1"/>
    <xf numFmtId="49" fontId="7" fillId="8" borderId="0" xfId="0" applyNumberFormat="1" applyFont="1" applyFill="1"/>
    <xf numFmtId="49" fontId="6" fillId="0" borderId="18" xfId="0" applyNumberFormat="1" applyFont="1" applyFill="1" applyBorder="1" applyAlignment="1"/>
    <xf numFmtId="49" fontId="6" fillId="0" borderId="3" xfId="0" applyNumberFormat="1" applyFont="1" applyBorder="1" applyAlignment="1">
      <alignment horizontal="right"/>
    </xf>
    <xf numFmtId="49" fontId="31" fillId="9" borderId="3" xfId="0" applyNumberFormat="1" applyFont="1" applyFill="1" applyBorder="1" applyAlignment="1">
      <alignment horizontal="center"/>
    </xf>
    <xf numFmtId="49" fontId="31" fillId="9" borderId="3" xfId="0" applyNumberFormat="1" applyFont="1" applyFill="1" applyBorder="1" applyAlignment="1">
      <alignment horizontal="left"/>
    </xf>
    <xf numFmtId="49" fontId="31" fillId="9" borderId="19" xfId="0" applyNumberFormat="1" applyFont="1" applyFill="1" applyBorder="1" applyAlignment="1">
      <alignment horizontal="left"/>
    </xf>
    <xf numFmtId="0" fontId="0" fillId="12" borderId="0" xfId="0" quotePrefix="1" applyFill="1"/>
    <xf numFmtId="0" fontId="6" fillId="0" borderId="0" xfId="0" applyFont="1" applyAlignment="1">
      <alignment horizontal="center"/>
    </xf>
    <xf numFmtId="0" fontId="6" fillId="8" borderId="0" xfId="0" applyFont="1" applyFill="1" applyAlignment="1">
      <alignment horizontal="center"/>
    </xf>
    <xf numFmtId="166" fontId="26" fillId="0" borderId="0" xfId="0" applyNumberFormat="1" applyFont="1" applyAlignment="1">
      <alignment horizontal="left"/>
    </xf>
    <xf numFmtId="49" fontId="6" fillId="11" borderId="3" xfId="0" applyNumberFormat="1" applyFont="1" applyFill="1" applyBorder="1" applyAlignment="1"/>
    <xf numFmtId="0" fontId="5" fillId="0" borderId="2" xfId="0" applyFont="1" applyFill="1" applyBorder="1" applyAlignment="1"/>
    <xf numFmtId="0" fontId="8" fillId="5" borderId="3" xfId="0" applyFont="1" applyFill="1" applyBorder="1" applyAlignment="1"/>
    <xf numFmtId="0" fontId="5" fillId="8" borderId="2" xfId="0" applyNumberFormat="1" applyFont="1" applyFill="1" applyBorder="1" applyAlignment="1"/>
    <xf numFmtId="0" fontId="6" fillId="8" borderId="11" xfId="0" applyFont="1" applyFill="1" applyBorder="1" applyAlignment="1"/>
    <xf numFmtId="49" fontId="20" fillId="4" borderId="3" xfId="0" applyNumberFormat="1" applyFont="1" applyFill="1" applyBorder="1" applyAlignment="1"/>
    <xf numFmtId="0" fontId="0" fillId="0" borderId="0" xfId="0" applyAlignment="1">
      <alignment horizontal="center"/>
    </xf>
    <xf numFmtId="0" fontId="0" fillId="0" borderId="0" xfId="0" applyNumberFormat="1" applyAlignment="1">
      <alignment horizontal="center"/>
    </xf>
    <xf numFmtId="0" fontId="35" fillId="0" borderId="0" xfId="0" applyFont="1" applyAlignment="1">
      <alignment horizontal="left"/>
    </xf>
    <xf numFmtId="0" fontId="35" fillId="0" borderId="0" xfId="0" applyFont="1" applyAlignment="1">
      <alignment horizontal="center"/>
    </xf>
    <xf numFmtId="49" fontId="6" fillId="0" borderId="0" xfId="0" applyNumberFormat="1" applyFont="1" applyAlignment="1">
      <alignment horizontal="center"/>
    </xf>
    <xf numFmtId="0" fontId="26" fillId="0" borderId="64" xfId="0" applyNumberFormat="1" applyFont="1" applyBorder="1" applyAlignment="1">
      <alignment horizontal="center"/>
    </xf>
    <xf numFmtId="0" fontId="28" fillId="0" borderId="65" xfId="0" applyFont="1" applyBorder="1" applyAlignment="1">
      <alignment horizontal="center"/>
    </xf>
    <xf numFmtId="0" fontId="28" fillId="0" borderId="66" xfId="0" applyFont="1" applyBorder="1" applyAlignment="1">
      <alignment horizontal="center"/>
    </xf>
    <xf numFmtId="0" fontId="28" fillId="0" borderId="67" xfId="0" applyFont="1" applyBorder="1" applyAlignment="1">
      <alignment horizontal="center"/>
    </xf>
    <xf numFmtId="165" fontId="28" fillId="0" borderId="65" xfId="0" applyNumberFormat="1" applyFont="1" applyBorder="1" applyAlignment="1">
      <alignment horizontal="center"/>
    </xf>
    <xf numFmtId="165" fontId="28" fillId="0" borderId="66" xfId="0" applyNumberFormat="1" applyFont="1" applyBorder="1" applyAlignment="1">
      <alignment horizontal="center"/>
    </xf>
    <xf numFmtId="165" fontId="28" fillId="0" borderId="67" xfId="0" applyNumberFormat="1" applyFont="1" applyBorder="1" applyAlignment="1">
      <alignment horizontal="center"/>
    </xf>
    <xf numFmtId="0" fontId="26" fillId="0" borderId="65" xfId="0" applyNumberFormat="1" applyFont="1" applyBorder="1" applyAlignment="1">
      <alignment horizontal="center"/>
    </xf>
    <xf numFmtId="0" fontId="26" fillId="0" borderId="67" xfId="0" applyNumberFormat="1" applyFont="1" applyBorder="1" applyAlignment="1">
      <alignment horizontal="center"/>
    </xf>
    <xf numFmtId="49" fontId="6" fillId="0" borderId="0" xfId="0" applyNumberFormat="1" applyFont="1" applyAlignment="1">
      <alignment horizontal="center"/>
    </xf>
    <xf numFmtId="0" fontId="27" fillId="0" borderId="0" xfId="0" applyFont="1" applyAlignment="1">
      <alignment horizontal="left"/>
    </xf>
    <xf numFmtId="0" fontId="27" fillId="0" borderId="11" xfId="0" applyFont="1" applyBorder="1" applyAlignment="1">
      <alignment horizontal="left"/>
    </xf>
    <xf numFmtId="0" fontId="5" fillId="0" borderId="0" xfId="0" applyFont="1" applyAlignment="1">
      <alignment horizontal="center" vertical="center"/>
    </xf>
    <xf numFmtId="0" fontId="5" fillId="5" borderId="19" xfId="0" applyFont="1" applyFill="1" applyBorder="1" applyAlignment="1"/>
    <xf numFmtId="0" fontId="5" fillId="5" borderId="17" xfId="0" applyFont="1" applyFill="1" applyBorder="1" applyAlignment="1"/>
    <xf numFmtId="0" fontId="5" fillId="5" borderId="18" xfId="0" applyFont="1" applyFill="1" applyBorder="1" applyAlignment="1"/>
    <xf numFmtId="0" fontId="6" fillId="4" borderId="3" xfId="0" applyFont="1" applyFill="1" applyBorder="1" applyAlignment="1"/>
    <xf numFmtId="0" fontId="6" fillId="4" borderId="19" xfId="0" applyFont="1" applyFill="1" applyBorder="1" applyAlignment="1">
      <alignment horizontal="left"/>
    </xf>
    <xf numFmtId="0" fontId="6" fillId="4" borderId="17" xfId="0" applyFont="1" applyFill="1" applyBorder="1" applyAlignment="1">
      <alignment horizontal="left"/>
    </xf>
    <xf numFmtId="0" fontId="6" fillId="4" borderId="18" xfId="0" applyFont="1" applyFill="1" applyBorder="1" applyAlignment="1">
      <alignment horizontal="left"/>
    </xf>
    <xf numFmtId="0" fontId="33" fillId="12" borderId="17" xfId="0" applyFont="1" applyFill="1" applyBorder="1" applyAlignment="1">
      <alignment horizontal="left"/>
    </xf>
    <xf numFmtId="0" fontId="5" fillId="12" borderId="3" xfId="0" applyFont="1" applyFill="1" applyBorder="1" applyAlignment="1">
      <alignment horizontal="left"/>
    </xf>
    <xf numFmtId="0" fontId="5" fillId="8" borderId="0" xfId="0" applyFont="1" applyFill="1" applyAlignment="1">
      <alignment horizontal="center" vertical="center"/>
    </xf>
    <xf numFmtId="0" fontId="5" fillId="0" borderId="21" xfId="0" applyFont="1" applyFill="1" applyBorder="1" applyAlignment="1">
      <alignment horizontal="left"/>
    </xf>
    <xf numFmtId="0" fontId="5" fillId="0" borderId="2" xfId="0" applyFont="1" applyFill="1" applyBorder="1" applyAlignment="1">
      <alignment horizontal="left"/>
    </xf>
    <xf numFmtId="0" fontId="5" fillId="0" borderId="22" xfId="0" applyFont="1" applyFill="1" applyBorder="1" applyAlignment="1">
      <alignment horizontal="left"/>
    </xf>
    <xf numFmtId="0" fontId="6" fillId="0" borderId="33" xfId="0" applyFont="1" applyFill="1" applyBorder="1" applyAlignment="1">
      <alignment horizontal="center"/>
    </xf>
    <xf numFmtId="0" fontId="6" fillId="0" borderId="28" xfId="0" applyFont="1" applyFill="1" applyBorder="1" applyAlignment="1">
      <alignment horizontal="center"/>
    </xf>
    <xf numFmtId="0" fontId="6" fillId="0" borderId="34" xfId="0" applyFont="1" applyFill="1" applyBorder="1" applyAlignment="1">
      <alignment horizontal="center"/>
    </xf>
    <xf numFmtId="0" fontId="6" fillId="0" borderId="24" xfId="0" applyFont="1" applyFill="1" applyBorder="1" applyAlignment="1">
      <alignment horizontal="left" vertical="center"/>
    </xf>
    <xf numFmtId="0" fontId="6" fillId="0" borderId="36" xfId="0" applyFont="1" applyFill="1" applyBorder="1" applyAlignment="1">
      <alignment horizontal="left" vertical="center"/>
    </xf>
    <xf numFmtId="0" fontId="6" fillId="0" borderId="0" xfId="0" applyFont="1" applyFill="1" applyBorder="1" applyAlignment="1">
      <alignment horizontal="center"/>
    </xf>
    <xf numFmtId="0" fontId="6" fillId="0" borderId="11" xfId="0" applyFont="1" applyFill="1" applyBorder="1" applyAlignment="1">
      <alignment horizontal="center"/>
    </xf>
    <xf numFmtId="0" fontId="6" fillId="0" borderId="12" xfId="0" applyFont="1" applyFill="1" applyBorder="1" applyAlignment="1">
      <alignment horizontal="left"/>
    </xf>
    <xf numFmtId="0" fontId="6" fillId="0" borderId="0" xfId="0" applyFont="1" applyFill="1" applyBorder="1" applyAlignment="1">
      <alignment horizontal="left"/>
    </xf>
    <xf numFmtId="0" fontId="6" fillId="0" borderId="35" xfId="0" applyFont="1" applyFill="1" applyBorder="1" applyAlignment="1">
      <alignment horizontal="left" vertical="center"/>
    </xf>
    <xf numFmtId="0" fontId="6" fillId="0" borderId="35" xfId="0" applyFont="1" applyFill="1" applyBorder="1" applyAlignment="1">
      <alignment horizontal="left"/>
    </xf>
    <xf numFmtId="0" fontId="6" fillId="0" borderId="24" xfId="0" applyFont="1" applyFill="1" applyBorder="1" applyAlignment="1">
      <alignment horizontal="left"/>
    </xf>
    <xf numFmtId="0" fontId="6" fillId="0" borderId="36" xfId="0" applyFont="1" applyFill="1" applyBorder="1" applyAlignment="1">
      <alignment horizontal="left"/>
    </xf>
    <xf numFmtId="0" fontId="6" fillId="0" borderId="12" xfId="0" applyFont="1" applyFill="1" applyBorder="1" applyAlignment="1">
      <alignment horizontal="center"/>
    </xf>
    <xf numFmtId="0" fontId="5" fillId="8" borderId="39" xfId="0" applyFont="1" applyFill="1" applyBorder="1" applyAlignment="1">
      <alignment horizontal="center"/>
    </xf>
    <xf numFmtId="0" fontId="0" fillId="0" borderId="0" xfId="0" applyAlignment="1">
      <alignment horizontal="center"/>
    </xf>
    <xf numFmtId="0" fontId="6" fillId="0" borderId="9" xfId="0" applyFont="1" applyFill="1" applyBorder="1" applyAlignment="1">
      <alignment horizontal="center"/>
    </xf>
    <xf numFmtId="0" fontId="5" fillId="8" borderId="2" xfId="0" applyFont="1" applyFill="1" applyBorder="1" applyAlignment="1">
      <alignment horizontal="center"/>
    </xf>
    <xf numFmtId="0" fontId="5" fillId="8" borderId="22" xfId="0" applyFont="1" applyFill="1" applyBorder="1" applyAlignment="1">
      <alignment horizontal="center"/>
    </xf>
    <xf numFmtId="0" fontId="0" fillId="0" borderId="2" xfId="0" applyBorder="1" applyAlignment="1">
      <alignment horizontal="left"/>
    </xf>
    <xf numFmtId="0" fontId="0" fillId="0" borderId="22" xfId="0" applyBorder="1" applyAlignment="1">
      <alignment horizontal="left"/>
    </xf>
    <xf numFmtId="0" fontId="5" fillId="8" borderId="2" xfId="0" applyNumberFormat="1" applyFont="1" applyFill="1" applyBorder="1" applyAlignment="1">
      <alignment horizontal="center"/>
    </xf>
    <xf numFmtId="0" fontId="6" fillId="0" borderId="2" xfId="0" applyFont="1" applyFill="1" applyBorder="1" applyAlignment="1">
      <alignment horizontal="center"/>
    </xf>
    <xf numFmtId="0" fontId="10" fillId="0" borderId="0" xfId="0" applyFont="1" applyAlignment="1">
      <alignment horizontal="center"/>
    </xf>
    <xf numFmtId="0" fontId="6" fillId="0" borderId="11" xfId="0" applyFont="1" applyFill="1" applyBorder="1" applyAlignment="1">
      <alignment horizontal="left"/>
    </xf>
    <xf numFmtId="0" fontId="6" fillId="0" borderId="27" xfId="0" applyFont="1" applyFill="1" applyBorder="1" applyAlignment="1">
      <alignment horizontal="center"/>
    </xf>
    <xf numFmtId="0" fontId="6" fillId="0" borderId="29" xfId="0" applyFont="1" applyFill="1" applyBorder="1" applyAlignment="1">
      <alignment horizontal="center"/>
    </xf>
    <xf numFmtId="0" fontId="5" fillId="0" borderId="21" xfId="0" applyFont="1" applyFill="1" applyBorder="1" applyAlignment="1">
      <alignment horizontal="center"/>
    </xf>
    <xf numFmtId="0" fontId="5" fillId="0" borderId="2" xfId="0" applyFont="1" applyFill="1" applyBorder="1" applyAlignment="1">
      <alignment horizontal="center"/>
    </xf>
    <xf numFmtId="0" fontId="5" fillId="0" borderId="41" xfId="0" applyFont="1" applyFill="1" applyBorder="1" applyAlignment="1">
      <alignment horizontal="center"/>
    </xf>
    <xf numFmtId="0" fontId="6" fillId="0" borderId="13" xfId="0" applyFont="1" applyFill="1" applyBorder="1" applyAlignment="1">
      <alignment horizontal="center"/>
    </xf>
    <xf numFmtId="0" fontId="6" fillId="0" borderId="26" xfId="0" applyFont="1" applyFill="1" applyBorder="1" applyAlignment="1">
      <alignment horizontal="center"/>
    </xf>
    <xf numFmtId="0" fontId="6" fillId="0" borderId="38" xfId="0" applyFont="1" applyFill="1" applyBorder="1" applyAlignment="1">
      <alignment horizontal="center"/>
    </xf>
    <xf numFmtId="0" fontId="6" fillId="0" borderId="3" xfId="0" applyFont="1" applyFill="1" applyBorder="1" applyAlignment="1">
      <alignment horizontal="center"/>
    </xf>
    <xf numFmtId="0" fontId="5" fillId="8" borderId="40" xfId="0" applyFont="1" applyFill="1" applyBorder="1" applyAlignment="1">
      <alignment horizontal="center"/>
    </xf>
    <xf numFmtId="0" fontId="6" fillId="0" borderId="23" xfId="0" applyFont="1" applyFill="1" applyBorder="1" applyAlignment="1">
      <alignment horizontal="left"/>
    </xf>
    <xf numFmtId="0" fontId="5" fillId="0" borderId="42" xfId="0" applyFont="1" applyFill="1" applyBorder="1" applyAlignment="1">
      <alignment horizontal="center"/>
    </xf>
    <xf numFmtId="0" fontId="5" fillId="0" borderId="22" xfId="0" applyFont="1" applyFill="1" applyBorder="1" applyAlignment="1">
      <alignment horizontal="center"/>
    </xf>
    <xf numFmtId="0" fontId="8" fillId="0" borderId="37" xfId="0" applyFont="1" applyFill="1" applyBorder="1" applyAlignment="1">
      <alignment horizontal="center" wrapText="1"/>
    </xf>
    <xf numFmtId="0" fontId="8" fillId="0" borderId="17" xfId="0" applyFont="1" applyFill="1" applyBorder="1" applyAlignment="1">
      <alignment horizontal="center" wrapText="1"/>
    </xf>
    <xf numFmtId="0" fontId="8" fillId="0" borderId="3" xfId="0" applyFont="1" applyFill="1" applyBorder="1" applyAlignment="1">
      <alignment horizontal="center" wrapText="1"/>
    </xf>
    <xf numFmtId="0" fontId="12" fillId="0" borderId="3" xfId="0" applyFont="1" applyFill="1" applyBorder="1" applyAlignment="1">
      <alignment horizontal="center" vertical="center"/>
    </xf>
    <xf numFmtId="0" fontId="6" fillId="0" borderId="25" xfId="0" applyFont="1" applyFill="1" applyBorder="1" applyAlignment="1">
      <alignment horizontal="left"/>
    </xf>
    <xf numFmtId="0" fontId="12" fillId="0" borderId="35"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5" xfId="0" applyFont="1" applyFill="1" applyBorder="1" applyAlignment="1">
      <alignment horizontal="left" vertical="center"/>
    </xf>
    <xf numFmtId="0" fontId="12" fillId="0" borderId="23" xfId="0" applyFont="1" applyFill="1" applyBorder="1" applyAlignment="1">
      <alignment horizontal="left" vertical="center"/>
    </xf>
    <xf numFmtId="0" fontId="5" fillId="8" borderId="23" xfId="0" applyFont="1" applyFill="1" applyBorder="1" applyAlignment="1">
      <alignment horizontal="center" vertical="center"/>
    </xf>
    <xf numFmtId="0" fontId="5" fillId="8" borderId="24" xfId="0" applyFont="1" applyFill="1" applyBorder="1" applyAlignment="1">
      <alignment horizontal="center" vertical="center"/>
    </xf>
    <xf numFmtId="0" fontId="5" fillId="8" borderId="25" xfId="0" applyFont="1" applyFill="1" applyBorder="1" applyAlignment="1">
      <alignment horizontal="center" vertical="center"/>
    </xf>
    <xf numFmtId="0" fontId="5" fillId="8" borderId="19" xfId="0" applyFont="1" applyFill="1" applyBorder="1" applyAlignment="1">
      <alignment horizontal="center" vertical="center"/>
    </xf>
    <xf numFmtId="0" fontId="0" fillId="8" borderId="17" xfId="0" applyFill="1" applyBorder="1" applyAlignment="1"/>
    <xf numFmtId="0" fontId="0" fillId="8" borderId="18" xfId="0" applyFill="1" applyBorder="1" applyAlignment="1"/>
    <xf numFmtId="0" fontId="6" fillId="0" borderId="9" xfId="0" applyFont="1" applyBorder="1" applyAlignment="1">
      <alignment horizontal="center"/>
    </xf>
    <xf numFmtId="0" fontId="16" fillId="8" borderId="19" xfId="0" applyFont="1" applyFill="1" applyBorder="1" applyAlignment="1">
      <alignment horizontal="center"/>
    </xf>
    <xf numFmtId="0" fontId="18" fillId="8" borderId="17" xfId="0" applyFont="1" applyFill="1" applyBorder="1" applyAlignment="1">
      <alignment horizontal="center"/>
    </xf>
    <xf numFmtId="0" fontId="18" fillId="8" borderId="18" xfId="0" applyFont="1" applyFill="1" applyBorder="1" applyAlignment="1">
      <alignment horizontal="center"/>
    </xf>
    <xf numFmtId="0" fontId="5" fillId="8" borderId="21" xfId="0" applyFont="1" applyFill="1" applyBorder="1" applyAlignment="1">
      <alignment horizontal="center"/>
    </xf>
    <xf numFmtId="0" fontId="6" fillId="0" borderId="43" xfId="0" applyFont="1" applyFill="1" applyBorder="1" applyAlignment="1">
      <alignment horizontal="left"/>
    </xf>
    <xf numFmtId="0" fontId="6" fillId="0" borderId="44" xfId="0" applyFont="1" applyFill="1" applyBorder="1" applyAlignment="1">
      <alignment horizontal="left"/>
    </xf>
    <xf numFmtId="0" fontId="4" fillId="8" borderId="15" xfId="0" applyNumberFormat="1" applyFont="1" applyFill="1" applyBorder="1" applyAlignment="1">
      <alignment horizontal="center"/>
    </xf>
    <xf numFmtId="0" fontId="4" fillId="8" borderId="15" xfId="0" applyFont="1" applyFill="1" applyBorder="1" applyAlignment="1">
      <alignment horizontal="center"/>
    </xf>
    <xf numFmtId="0" fontId="4" fillId="8" borderId="45" xfId="0" applyFont="1" applyFill="1" applyBorder="1" applyAlignment="1">
      <alignment horizontal="center"/>
    </xf>
    <xf numFmtId="0" fontId="6" fillId="0" borderId="12" xfId="0" applyFont="1" applyFill="1" applyBorder="1" applyAlignment="1">
      <alignment horizontal="center" vertical="center"/>
    </xf>
    <xf numFmtId="0" fontId="6" fillId="0" borderId="0" xfId="0" applyFont="1" applyFill="1" applyBorder="1" applyAlignment="1">
      <alignment horizontal="center" vertical="center"/>
    </xf>
    <xf numFmtId="0" fontId="5" fillId="8" borderId="2" xfId="0" applyFont="1" applyFill="1" applyBorder="1" applyAlignment="1">
      <alignment horizontal="center" vertical="center"/>
    </xf>
    <xf numFmtId="0" fontId="5" fillId="8" borderId="22" xfId="0" applyFont="1" applyFill="1" applyBorder="1" applyAlignment="1">
      <alignment horizontal="center" vertical="center"/>
    </xf>
    <xf numFmtId="0" fontId="14" fillId="0" borderId="0" xfId="0" applyFont="1" applyAlignment="1">
      <alignment horizontal="center"/>
    </xf>
    <xf numFmtId="0" fontId="14" fillId="0" borderId="9" xfId="0" applyFont="1" applyBorder="1" applyAlignment="1">
      <alignment horizontal="center"/>
    </xf>
    <xf numFmtId="0" fontId="13" fillId="0" borderId="0" xfId="0" applyFont="1" applyAlignment="1">
      <alignment horizontal="left"/>
    </xf>
    <xf numFmtId="0" fontId="6" fillId="0" borderId="0" xfId="0" applyFont="1" applyAlignment="1">
      <alignment horizontal="center"/>
    </xf>
    <xf numFmtId="0" fontId="6" fillId="0" borderId="0" xfId="0" applyFont="1" applyFill="1" applyAlignment="1">
      <alignment horizontal="center" wrapText="1"/>
    </xf>
    <xf numFmtId="0" fontId="6" fillId="0" borderId="0" xfId="0" applyFont="1" applyFill="1" applyAlignment="1">
      <alignment horizontal="center"/>
    </xf>
    <xf numFmtId="0" fontId="5" fillId="0" borderId="0" xfId="0" applyFont="1" applyFill="1" applyAlignment="1">
      <alignment horizontal="left"/>
    </xf>
    <xf numFmtId="0" fontId="17" fillId="0" borderId="0" xfId="0" applyFont="1" applyFill="1" applyAlignment="1">
      <alignment horizontal="left"/>
    </xf>
    <xf numFmtId="0" fontId="9" fillId="0" borderId="44" xfId="0" applyFont="1" applyFill="1" applyBorder="1" applyAlignment="1">
      <alignment horizontal="left"/>
    </xf>
    <xf numFmtId="0" fontId="9" fillId="0" borderId="0" xfId="0" applyFont="1" applyFill="1" applyAlignment="1">
      <alignment horizontal="left"/>
    </xf>
    <xf numFmtId="0" fontId="5" fillId="0" borderId="2" xfId="0" applyFont="1" applyBorder="1" applyAlignment="1">
      <alignment horizontal="center"/>
    </xf>
    <xf numFmtId="165" fontId="5" fillId="0" borderId="2" xfId="0" applyNumberFormat="1" applyFont="1" applyBorder="1" applyAlignment="1">
      <alignment horizontal="center"/>
    </xf>
    <xf numFmtId="0" fontId="9" fillId="0" borderId="0" xfId="0" applyFont="1" applyFill="1" applyBorder="1" applyAlignment="1">
      <alignment horizontal="left"/>
    </xf>
    <xf numFmtId="0" fontId="9" fillId="0" borderId="0" xfId="0" applyFont="1" applyAlignment="1">
      <alignment horizontal="left"/>
    </xf>
    <xf numFmtId="0" fontId="6" fillId="0" borderId="2" xfId="0" applyFont="1" applyBorder="1" applyAlignment="1">
      <alignment horizontal="center"/>
    </xf>
    <xf numFmtId="0" fontId="6" fillId="0" borderId="0" xfId="0" applyFont="1" applyBorder="1" applyAlignment="1">
      <alignment horizontal="center"/>
    </xf>
    <xf numFmtId="0" fontId="0" fillId="0" borderId="0" xfId="0" applyAlignment="1"/>
    <xf numFmtId="0" fontId="5" fillId="0" borderId="46" xfId="0" applyFont="1" applyFill="1" applyBorder="1" applyAlignment="1">
      <alignment horizontal="left"/>
    </xf>
    <xf numFmtId="0" fontId="5" fillId="0" borderId="20" xfId="0" applyFont="1" applyFill="1" applyBorder="1" applyAlignment="1">
      <alignment horizontal="left"/>
    </xf>
    <xf numFmtId="0" fontId="5" fillId="0" borderId="14" xfId="0" applyFont="1" applyFill="1" applyBorder="1" applyAlignment="1">
      <alignment horizontal="left"/>
    </xf>
    <xf numFmtId="0" fontId="5" fillId="0" borderId="47" xfId="0" applyFont="1" applyFill="1" applyBorder="1" applyAlignment="1">
      <alignment horizontal="left"/>
    </xf>
    <xf numFmtId="0" fontId="5" fillId="0" borderId="48" xfId="0" applyFont="1" applyFill="1" applyBorder="1" applyAlignment="1">
      <alignment horizontal="left"/>
    </xf>
    <xf numFmtId="0" fontId="5" fillId="0" borderId="49" xfId="0" applyFont="1" applyFill="1" applyBorder="1" applyAlignment="1">
      <alignment horizontal="left"/>
    </xf>
    <xf numFmtId="0" fontId="5" fillId="0" borderId="19" xfId="0" applyNumberFormat="1" applyFont="1" applyFill="1" applyBorder="1" applyAlignment="1">
      <alignment horizontal="center"/>
    </xf>
    <xf numFmtId="0" fontId="5" fillId="0" borderId="17" xfId="0" applyNumberFormat="1" applyFont="1" applyFill="1" applyBorder="1" applyAlignment="1">
      <alignment horizontal="center"/>
    </xf>
    <xf numFmtId="0" fontId="5" fillId="0" borderId="18" xfId="0" applyNumberFormat="1" applyFont="1" applyFill="1" applyBorder="1" applyAlignment="1">
      <alignment horizontal="center"/>
    </xf>
    <xf numFmtId="0" fontId="5" fillId="0" borderId="23" xfId="0" applyNumberFormat="1" applyFont="1" applyFill="1" applyBorder="1" applyAlignment="1">
      <alignment horizontal="center"/>
    </xf>
    <xf numFmtId="0" fontId="5" fillId="0" borderId="24" xfId="0" applyNumberFormat="1" applyFont="1" applyFill="1" applyBorder="1" applyAlignment="1">
      <alignment horizontal="center"/>
    </xf>
    <xf numFmtId="0" fontId="5" fillId="0" borderId="25" xfId="0" applyNumberFormat="1" applyFont="1" applyFill="1" applyBorder="1" applyAlignment="1">
      <alignment horizontal="center"/>
    </xf>
    <xf numFmtId="0" fontId="5" fillId="0" borderId="70" xfId="0" applyNumberFormat="1"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6" fillId="0" borderId="32" xfId="0" applyFont="1" applyFill="1" applyBorder="1" applyAlignment="1">
      <alignment horizontal="center"/>
    </xf>
    <xf numFmtId="0" fontId="6" fillId="0" borderId="12" xfId="0" quotePrefix="1" applyFont="1" applyFill="1" applyBorder="1" applyAlignment="1">
      <alignment horizontal="center"/>
    </xf>
    <xf numFmtId="0" fontId="5" fillId="8" borderId="46" xfId="0" applyFont="1" applyFill="1" applyBorder="1" applyAlignment="1">
      <alignment horizontal="center"/>
    </xf>
    <xf numFmtId="0" fontId="5" fillId="8" borderId="20" xfId="0" applyFont="1" applyFill="1" applyBorder="1" applyAlignment="1">
      <alignment horizontal="center"/>
    </xf>
    <xf numFmtId="0" fontId="5" fillId="8" borderId="14"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6" xfId="0" applyFont="1" applyFill="1" applyBorder="1" applyAlignment="1">
      <alignment horizontal="left"/>
    </xf>
    <xf numFmtId="0" fontId="5" fillId="8" borderId="19" xfId="0" applyFont="1" applyFill="1" applyBorder="1" applyAlignment="1">
      <alignment horizontal="center"/>
    </xf>
    <xf numFmtId="0" fontId="5" fillId="8" borderId="18" xfId="0" applyFont="1" applyFill="1" applyBorder="1" applyAlignment="1">
      <alignment horizontal="center"/>
    </xf>
    <xf numFmtId="0" fontId="6" fillId="0" borderId="35" xfId="0" applyFont="1" applyFill="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18" xfId="0" applyFont="1" applyFill="1" applyBorder="1" applyAlignment="1">
      <alignment horizontal="center"/>
    </xf>
    <xf numFmtId="0" fontId="6" fillId="0" borderId="19" xfId="0" applyFont="1" applyFill="1" applyBorder="1" applyAlignment="1">
      <alignment horizontal="center"/>
    </xf>
    <xf numFmtId="0" fontId="6" fillId="0" borderId="17" xfId="0" applyFont="1" applyFill="1" applyBorder="1" applyAlignment="1">
      <alignment horizontal="center"/>
    </xf>
    <xf numFmtId="0" fontId="6" fillId="0" borderId="23"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8" xfId="0" applyFont="1" applyFill="1" applyBorder="1" applyAlignment="1">
      <alignment horizontal="center" vertical="center"/>
    </xf>
    <xf numFmtId="0" fontId="6" fillId="0" borderId="29" xfId="0" applyFont="1" applyFill="1" applyBorder="1" applyAlignment="1">
      <alignment horizontal="center" vertical="center"/>
    </xf>
    <xf numFmtId="0" fontId="6" fillId="0" borderId="36" xfId="0" applyFont="1" applyFill="1" applyBorder="1" applyAlignment="1">
      <alignment horizontal="center" vertical="center"/>
    </xf>
    <xf numFmtId="0" fontId="6" fillId="0" borderId="34" xfId="0" applyFont="1" applyFill="1" applyBorder="1" applyAlignment="1">
      <alignment horizontal="center" vertical="center"/>
    </xf>
    <xf numFmtId="0" fontId="9" fillId="8" borderId="44" xfId="0" applyFont="1" applyFill="1" applyBorder="1" applyAlignment="1">
      <alignment horizontal="left"/>
    </xf>
    <xf numFmtId="0" fontId="9" fillId="8" borderId="0" xfId="0" applyFont="1" applyFill="1" applyAlignment="1">
      <alignment horizontal="left"/>
    </xf>
    <xf numFmtId="0" fontId="6" fillId="8" borderId="0" xfId="0" applyFont="1" applyFill="1" applyAlignment="1">
      <alignment horizontal="center" wrapText="1"/>
    </xf>
    <xf numFmtId="0" fontId="6" fillId="8" borderId="0" xfId="0" applyFont="1" applyFill="1" applyAlignment="1">
      <alignment horizontal="center"/>
    </xf>
    <xf numFmtId="0" fontId="5" fillId="8" borderId="0" xfId="0" applyFont="1" applyFill="1" applyAlignment="1">
      <alignment horizontal="left"/>
    </xf>
    <xf numFmtId="0" fontId="17" fillId="8" borderId="0" xfId="0" applyFont="1" applyFill="1" applyAlignment="1">
      <alignment horizontal="left"/>
    </xf>
    <xf numFmtId="0" fontId="14" fillId="8" borderId="9" xfId="0" applyFont="1" applyFill="1" applyBorder="1" applyAlignment="1">
      <alignment horizontal="center"/>
    </xf>
    <xf numFmtId="0" fontId="14" fillId="8" borderId="0" xfId="0" applyFont="1" applyFill="1" applyAlignment="1">
      <alignment horizontal="center"/>
    </xf>
    <xf numFmtId="0" fontId="13" fillId="8" borderId="0" xfId="0" applyFont="1" applyFill="1" applyAlignment="1">
      <alignment horizontal="left"/>
    </xf>
    <xf numFmtId="0" fontId="0" fillId="8" borderId="0" xfId="0" applyFill="1" applyAlignment="1"/>
    <xf numFmtId="0" fontId="6" fillId="8" borderId="0" xfId="0" applyFont="1" applyFill="1" applyBorder="1" applyAlignment="1">
      <alignment horizontal="center"/>
    </xf>
    <xf numFmtId="0" fontId="6" fillId="8" borderId="35" xfId="0" applyFont="1" applyFill="1" applyBorder="1" applyAlignment="1">
      <alignment horizontal="left"/>
    </xf>
    <xf numFmtId="0" fontId="6" fillId="8" borderId="24" xfId="0" applyFont="1" applyFill="1" applyBorder="1" applyAlignment="1">
      <alignment horizontal="left"/>
    </xf>
    <xf numFmtId="0" fontId="6" fillId="8" borderId="36" xfId="0" applyFont="1" applyFill="1" applyBorder="1" applyAlignment="1">
      <alignment horizontal="left"/>
    </xf>
    <xf numFmtId="0" fontId="6" fillId="8" borderId="35" xfId="0" applyFont="1" applyFill="1" applyBorder="1" applyAlignment="1">
      <alignment horizontal="left" vertical="center"/>
    </xf>
    <xf numFmtId="0" fontId="6" fillId="8" borderId="24" xfId="0" applyFont="1" applyFill="1" applyBorder="1" applyAlignment="1">
      <alignment horizontal="left" vertical="center"/>
    </xf>
    <xf numFmtId="0" fontId="6" fillId="8" borderId="36" xfId="0" applyFont="1" applyFill="1" applyBorder="1" applyAlignment="1">
      <alignment horizontal="left" vertical="center"/>
    </xf>
    <xf numFmtId="0" fontId="6" fillId="8" borderId="12" xfId="0" applyFont="1" applyFill="1" applyBorder="1" applyAlignment="1">
      <alignment horizontal="center"/>
    </xf>
    <xf numFmtId="0" fontId="0" fillId="8" borderId="0" xfId="0" applyFill="1" applyAlignment="1">
      <alignment horizontal="center"/>
    </xf>
    <xf numFmtId="0" fontId="6" fillId="8" borderId="12" xfId="0" applyFont="1" applyFill="1" applyBorder="1" applyAlignment="1">
      <alignment horizontal="left"/>
    </xf>
    <xf numFmtId="0" fontId="6" fillId="8" borderId="0" xfId="0" applyFont="1" applyFill="1" applyBorder="1" applyAlignment="1">
      <alignment horizontal="left"/>
    </xf>
    <xf numFmtId="0" fontId="6" fillId="8" borderId="11" xfId="0" applyFont="1" applyFill="1" applyBorder="1" applyAlignment="1">
      <alignment horizontal="left"/>
    </xf>
    <xf numFmtId="0" fontId="5" fillId="8" borderId="71" xfId="0" applyFont="1" applyFill="1" applyBorder="1" applyAlignment="1">
      <alignment horizontal="center"/>
    </xf>
    <xf numFmtId="0" fontId="6" fillId="8" borderId="38" xfId="0" applyFont="1" applyFill="1" applyBorder="1" applyAlignment="1">
      <alignment horizontal="center"/>
    </xf>
    <xf numFmtId="0" fontId="6" fillId="8" borderId="3" xfId="0" applyFont="1" applyFill="1" applyBorder="1" applyAlignment="1">
      <alignment horizontal="center"/>
    </xf>
    <xf numFmtId="0" fontId="6" fillId="8" borderId="37" xfId="0" applyFont="1" applyFill="1" applyBorder="1" applyAlignment="1">
      <alignment horizontal="center"/>
    </xf>
    <xf numFmtId="0" fontId="6" fillId="8" borderId="18" xfId="0" applyFont="1" applyFill="1" applyBorder="1" applyAlignment="1">
      <alignment horizontal="center"/>
    </xf>
    <xf numFmtId="0" fontId="6" fillId="8" borderId="19" xfId="0" applyFont="1" applyFill="1" applyBorder="1" applyAlignment="1">
      <alignment horizontal="center"/>
    </xf>
    <xf numFmtId="0" fontId="6" fillId="8" borderId="17" xfId="0" applyFont="1" applyFill="1" applyBorder="1" applyAlignment="1">
      <alignment horizontal="center"/>
    </xf>
    <xf numFmtId="0" fontId="6" fillId="8" borderId="23" xfId="0" applyFont="1" applyFill="1" applyBorder="1" applyAlignment="1">
      <alignment horizontal="left"/>
    </xf>
    <xf numFmtId="0" fontId="6" fillId="8" borderId="12" xfId="0" quotePrefix="1" applyFont="1" applyFill="1" applyBorder="1" applyAlignment="1">
      <alignment horizontal="left"/>
    </xf>
    <xf numFmtId="0" fontId="6" fillId="8" borderId="23" xfId="0" applyFont="1" applyFill="1" applyBorder="1" applyAlignment="1">
      <alignment horizontal="center"/>
    </xf>
    <xf numFmtId="0" fontId="6" fillId="8" borderId="24" xfId="0" applyFont="1" applyFill="1" applyBorder="1" applyAlignment="1">
      <alignment horizontal="center"/>
    </xf>
    <xf numFmtId="0" fontId="6" fillId="8" borderId="26" xfId="0" applyFont="1" applyFill="1" applyBorder="1" applyAlignment="1">
      <alignment horizontal="center"/>
    </xf>
    <xf numFmtId="0" fontId="6" fillId="8" borderId="25" xfId="0" applyFont="1" applyFill="1" applyBorder="1" applyAlignment="1">
      <alignment horizontal="center"/>
    </xf>
    <xf numFmtId="0" fontId="6" fillId="8" borderId="13" xfId="0" applyFont="1" applyFill="1" applyBorder="1" applyAlignment="1">
      <alignment horizontal="center"/>
    </xf>
    <xf numFmtId="0" fontId="6" fillId="8" borderId="26" xfId="0" applyFont="1" applyFill="1" applyBorder="1" applyAlignment="1">
      <alignment horizontal="left"/>
    </xf>
    <xf numFmtId="0" fontId="10" fillId="8" borderId="0" xfId="0" applyFont="1" applyFill="1" applyAlignment="1">
      <alignment horizontal="center"/>
    </xf>
    <xf numFmtId="0" fontId="6" fillId="8" borderId="43" xfId="0" applyFont="1" applyFill="1" applyBorder="1" applyAlignment="1">
      <alignment horizontal="left"/>
    </xf>
    <xf numFmtId="0" fontId="6" fillId="8" borderId="44" xfId="0" applyFont="1" applyFill="1" applyBorder="1" applyAlignment="1">
      <alignment horizontal="left"/>
    </xf>
    <xf numFmtId="0" fontId="12" fillId="8" borderId="35" xfId="0" applyFont="1" applyFill="1" applyBorder="1" applyAlignment="1">
      <alignment horizontal="left" vertical="center"/>
    </xf>
    <xf numFmtId="0" fontId="12" fillId="8" borderId="24" xfId="0" applyFont="1" applyFill="1" applyBorder="1" applyAlignment="1">
      <alignment horizontal="left" vertical="center"/>
    </xf>
    <xf numFmtId="0" fontId="12" fillId="8" borderId="25" xfId="0" applyFont="1" applyFill="1" applyBorder="1" applyAlignment="1">
      <alignment horizontal="left" vertical="center"/>
    </xf>
    <xf numFmtId="0" fontId="12" fillId="8" borderId="23" xfId="0" applyFont="1" applyFill="1" applyBorder="1" applyAlignment="1">
      <alignment horizontal="left" vertical="center"/>
    </xf>
    <xf numFmtId="0" fontId="12" fillId="8" borderId="3" xfId="0" applyFont="1" applyFill="1" applyBorder="1" applyAlignment="1">
      <alignment horizontal="center" vertical="center"/>
    </xf>
    <xf numFmtId="0" fontId="6" fillId="8" borderId="25" xfId="0" applyFont="1" applyFill="1" applyBorder="1" applyAlignment="1">
      <alignment horizontal="left"/>
    </xf>
    <xf numFmtId="0" fontId="6" fillId="8" borderId="12" xfId="0" applyFont="1" applyFill="1" applyBorder="1" applyAlignment="1">
      <alignment horizontal="left" vertical="center"/>
    </xf>
    <xf numFmtId="0" fontId="6" fillId="8" borderId="0" xfId="0" applyFont="1" applyFill="1" applyBorder="1" applyAlignment="1">
      <alignment horizontal="left" vertical="center"/>
    </xf>
    <xf numFmtId="0" fontId="6" fillId="8" borderId="11" xfId="0" applyFont="1" applyFill="1" applyBorder="1" applyAlignment="1">
      <alignment horizontal="center"/>
    </xf>
    <xf numFmtId="0" fontId="6" fillId="8" borderId="9" xfId="0" applyFont="1" applyFill="1" applyBorder="1" applyAlignment="1">
      <alignment horizontal="center"/>
    </xf>
    <xf numFmtId="0" fontId="9" fillId="0" borderId="0" xfId="0" applyFont="1" applyAlignment="1">
      <alignment horizontal="center"/>
    </xf>
    <xf numFmtId="0" fontId="6" fillId="0" borderId="0" xfId="0" applyFont="1" applyAlignment="1">
      <alignment horizontal="left" vertical="center" wrapText="1"/>
    </xf>
    <xf numFmtId="0" fontId="10" fillId="0" borderId="0" xfId="0" applyFont="1" applyAlignment="1">
      <alignment horizontal="center" wrapText="1"/>
    </xf>
    <xf numFmtId="0" fontId="5" fillId="9" borderId="2" xfId="0" applyFont="1" applyFill="1" applyBorder="1" applyAlignment="1">
      <alignment horizontal="center"/>
    </xf>
    <xf numFmtId="0" fontId="5" fillId="8" borderId="0" xfId="0" applyFont="1" applyFill="1" applyBorder="1" applyAlignment="1">
      <alignment horizontal="center"/>
    </xf>
    <xf numFmtId="0" fontId="6" fillId="0" borderId="13" xfId="0" applyFont="1" applyBorder="1" applyAlignment="1">
      <alignment horizontal="center"/>
    </xf>
    <xf numFmtId="0" fontId="5" fillId="0" borderId="0" xfId="0" applyFont="1" applyAlignment="1">
      <alignment horizontal="left"/>
    </xf>
    <xf numFmtId="0" fontId="6" fillId="0" borderId="0" xfId="0" applyFont="1" applyAlignment="1">
      <alignment horizontal="left"/>
    </xf>
    <xf numFmtId="0" fontId="10" fillId="8" borderId="0" xfId="0" applyFont="1" applyFill="1" applyAlignment="1">
      <alignment horizontal="center" wrapText="1"/>
    </xf>
    <xf numFmtId="0" fontId="6" fillId="8" borderId="0" xfId="0" applyFont="1" applyFill="1" applyAlignment="1">
      <alignment horizontal="left"/>
    </xf>
    <xf numFmtId="0" fontId="9" fillId="8" borderId="0" xfId="0" applyFont="1" applyFill="1" applyAlignment="1">
      <alignment horizontal="center"/>
    </xf>
    <xf numFmtId="0" fontId="6" fillId="8" borderId="0" xfId="0" applyFont="1" applyFill="1" applyAlignment="1">
      <alignment horizontal="left" vertical="center" wrapText="1"/>
    </xf>
    <xf numFmtId="0" fontId="6" fillId="8" borderId="2" xfId="0" applyFont="1" applyFill="1" applyBorder="1" applyAlignment="1">
      <alignment horizontal="center"/>
    </xf>
    <xf numFmtId="0" fontId="5" fillId="0" borderId="0" xfId="0" applyFont="1" applyAlignment="1">
      <alignment horizontal="center"/>
    </xf>
    <xf numFmtId="0" fontId="6" fillId="0" borderId="0" xfId="0" applyFont="1" applyAlignment="1"/>
    <xf numFmtId="0" fontId="5" fillId="9" borderId="0" xfId="0" applyFont="1" applyFill="1" applyBorder="1" applyAlignment="1">
      <alignment horizontal="center"/>
    </xf>
    <xf numFmtId="0" fontId="0" fillId="2" borderId="0" xfId="0" applyFill="1" applyBorder="1" applyAlignment="1">
      <alignment horizontal="center"/>
    </xf>
    <xf numFmtId="0" fontId="9" fillId="0" borderId="9" xfId="0" applyFont="1" applyBorder="1" applyAlignment="1">
      <alignment horizontal="center"/>
    </xf>
    <xf numFmtId="0" fontId="5" fillId="9" borderId="0" xfId="0" applyFont="1" applyFill="1" applyBorder="1" applyAlignment="1">
      <alignment horizontal="left"/>
    </xf>
    <xf numFmtId="0" fontId="12" fillId="0" borderId="0" xfId="0" applyFont="1" applyAlignment="1">
      <alignment horizontal="left"/>
    </xf>
    <xf numFmtId="0" fontId="12" fillId="8" borderId="0" xfId="0" applyFont="1" applyFill="1" applyAlignment="1">
      <alignment horizontal="left"/>
    </xf>
    <xf numFmtId="0" fontId="9" fillId="8" borderId="9" xfId="0" applyFont="1" applyFill="1" applyBorder="1" applyAlignment="1">
      <alignment horizontal="center"/>
    </xf>
    <xf numFmtId="0" fontId="5" fillId="8" borderId="0" xfId="0" applyFont="1" applyFill="1" applyAlignment="1">
      <alignment horizontal="center"/>
    </xf>
    <xf numFmtId="0" fontId="6" fillId="8" borderId="0" xfId="0" applyFont="1" applyFill="1" applyAlignment="1"/>
    <xf numFmtId="0" fontId="0" fillId="9" borderId="0" xfId="0" applyFill="1" applyBorder="1" applyAlignment="1">
      <alignment horizontal="center"/>
    </xf>
    <xf numFmtId="0" fontId="10" fillId="0" borderId="0" xfId="0" applyFont="1" applyAlignment="1">
      <alignment horizontal="center" vertical="center"/>
    </xf>
    <xf numFmtId="0" fontId="6" fillId="7" borderId="0" xfId="0" applyFont="1" applyFill="1" applyAlignment="1">
      <alignment horizontal="left"/>
    </xf>
    <xf numFmtId="0" fontId="10" fillId="8" borderId="0" xfId="0" applyFont="1" applyFill="1" applyAlignment="1">
      <alignment horizontal="center" vertical="center"/>
    </xf>
    <xf numFmtId="0" fontId="0" fillId="0" borderId="0" xfId="0" applyAlignment="1">
      <alignment horizontal="left"/>
    </xf>
    <xf numFmtId="0" fontId="6" fillId="2" borderId="0" xfId="0" applyFont="1" applyFill="1" applyAlignment="1">
      <alignment horizontal="left"/>
    </xf>
    <xf numFmtId="164" fontId="5" fillId="2" borderId="2" xfId="0" applyNumberFormat="1" applyFont="1" applyFill="1" applyBorder="1" applyAlignment="1">
      <alignment horizontal="center"/>
    </xf>
    <xf numFmtId="164" fontId="5" fillId="9" borderId="2" xfId="0" applyNumberFormat="1" applyFont="1" applyFill="1" applyBorder="1" applyAlignment="1">
      <alignment horizontal="center"/>
    </xf>
    <xf numFmtId="0" fontId="0" fillId="8" borderId="0" xfId="0" applyFill="1" applyAlignment="1">
      <alignment horizontal="left"/>
    </xf>
    <xf numFmtId="0" fontId="6" fillId="9" borderId="0" xfId="0" applyFont="1" applyFill="1" applyAlignment="1">
      <alignment horizontal="left"/>
    </xf>
    <xf numFmtId="0" fontId="6" fillId="0" borderId="5" xfId="0" applyFont="1" applyBorder="1" applyAlignment="1">
      <alignment horizontal="center"/>
    </xf>
    <xf numFmtId="0" fontId="6" fillId="0" borderId="50" xfId="0" applyFont="1" applyBorder="1" applyAlignment="1">
      <alignment wrapText="1"/>
    </xf>
    <xf numFmtId="0" fontId="6" fillId="0" borderId="51" xfId="0" applyFont="1" applyBorder="1" applyAlignment="1">
      <alignment wrapText="1"/>
    </xf>
    <xf numFmtId="0" fontId="6" fillId="0" borderId="52" xfId="0" applyFont="1" applyBorder="1" applyAlignment="1">
      <alignment wrapText="1"/>
    </xf>
    <xf numFmtId="0" fontId="6" fillId="0" borderId="8" xfId="0" applyFont="1" applyBorder="1" applyAlignment="1">
      <alignment horizontal="center"/>
    </xf>
    <xf numFmtId="0" fontId="5" fillId="0" borderId="10" xfId="0" applyFont="1" applyBorder="1" applyAlignment="1">
      <alignment horizontal="left"/>
    </xf>
    <xf numFmtId="0" fontId="6" fillId="0" borderId="10" xfId="0" applyFont="1" applyBorder="1" applyAlignment="1">
      <alignment horizontal="center"/>
    </xf>
    <xf numFmtId="0" fontId="5" fillId="2" borderId="19" xfId="0" applyFont="1" applyFill="1" applyBorder="1" applyAlignment="1">
      <alignment horizontal="left" vertical="center"/>
    </xf>
    <xf numFmtId="0" fontId="6" fillId="0" borderId="17" xfId="0" applyFont="1" applyBorder="1" applyAlignment="1">
      <alignment horizontal="left" vertical="center"/>
    </xf>
    <xf numFmtId="0" fontId="5" fillId="0" borderId="10" xfId="0" applyFont="1" applyBorder="1" applyAlignment="1">
      <alignment horizontal="center"/>
    </xf>
    <xf numFmtId="0" fontId="6" fillId="0" borderId="50" xfId="0" applyFont="1" applyBorder="1" applyAlignment="1"/>
    <xf numFmtId="0" fontId="6" fillId="0" borderId="51" xfId="0" applyFont="1" applyBorder="1" applyAlignment="1"/>
    <xf numFmtId="0" fontId="6" fillId="0" borderId="52" xfId="0" applyFont="1" applyBorder="1" applyAlignment="1"/>
    <xf numFmtId="0" fontId="6" fillId="3" borderId="3" xfId="0" applyFont="1" applyFill="1" applyBorder="1" applyAlignment="1">
      <alignment horizontal="center"/>
    </xf>
    <xf numFmtId="0" fontId="10" fillId="0" borderId="5" xfId="0" applyFont="1" applyBorder="1" applyAlignment="1">
      <alignment horizontal="center"/>
    </xf>
    <xf numFmtId="0" fontId="6" fillId="0" borderId="5" xfId="0" applyFont="1" applyBorder="1" applyAlignment="1">
      <alignment horizontal="left"/>
    </xf>
    <xf numFmtId="0" fontId="5" fillId="0" borderId="50" xfId="0" applyFont="1" applyBorder="1" applyAlignment="1">
      <alignment horizontal="center"/>
    </xf>
    <xf numFmtId="0" fontId="5" fillId="0" borderId="51" xfId="0" applyFont="1" applyBorder="1" applyAlignment="1">
      <alignment horizontal="center"/>
    </xf>
    <xf numFmtId="0" fontId="5" fillId="0" borderId="52" xfId="0" applyFont="1" applyBorder="1" applyAlignment="1">
      <alignment horizontal="center"/>
    </xf>
    <xf numFmtId="0" fontId="5" fillId="0" borderId="0" xfId="0" applyFont="1" applyBorder="1" applyAlignment="1">
      <alignment horizontal="center"/>
    </xf>
    <xf numFmtId="0" fontId="6" fillId="0" borderId="0" xfId="0" applyFont="1" applyAlignment="1">
      <alignment wrapText="1"/>
    </xf>
    <xf numFmtId="0" fontId="6" fillId="2" borderId="2" xfId="0" applyFont="1" applyFill="1" applyBorder="1" applyAlignment="1">
      <alignment horizontal="center"/>
    </xf>
    <xf numFmtId="0" fontId="6" fillId="9" borderId="2" xfId="0" applyFont="1" applyFill="1" applyBorder="1" applyAlignment="1">
      <alignment horizontal="center"/>
    </xf>
    <xf numFmtId="0" fontId="6" fillId="8" borderId="0" xfId="0" applyFont="1" applyFill="1" applyAlignment="1">
      <alignment wrapText="1"/>
    </xf>
    <xf numFmtId="0" fontId="6" fillId="7" borderId="0" xfId="0" applyFont="1" applyFill="1" applyAlignment="1"/>
    <xf numFmtId="0" fontId="0" fillId="7" borderId="0" xfId="0" applyFill="1" applyAlignment="1"/>
    <xf numFmtId="164" fontId="6" fillId="2" borderId="2" xfId="0" applyNumberFormat="1" applyFont="1" applyFill="1" applyBorder="1" applyAlignment="1">
      <alignment horizontal="center"/>
    </xf>
    <xf numFmtId="0" fontId="6" fillId="0" borderId="0" xfId="0" applyFont="1" applyBorder="1" applyAlignment="1"/>
    <xf numFmtId="0" fontId="6" fillId="2" borderId="50" xfId="0" applyFont="1" applyFill="1" applyBorder="1" applyAlignment="1"/>
    <xf numFmtId="0" fontId="6" fillId="2" borderId="51" xfId="0" applyFont="1" applyFill="1" applyBorder="1" applyAlignment="1"/>
    <xf numFmtId="0" fontId="6" fillId="2" borderId="52" xfId="0" applyFont="1" applyFill="1" applyBorder="1" applyAlignment="1"/>
    <xf numFmtId="0" fontId="5" fillId="0" borderId="53" xfId="0" applyNumberFormat="1" applyFont="1" applyBorder="1" applyAlignment="1">
      <alignment horizontal="left"/>
    </xf>
    <xf numFmtId="0" fontId="5" fillId="0" borderId="54" xfId="0" applyNumberFormat="1" applyFont="1" applyBorder="1" applyAlignment="1">
      <alignment horizontal="left"/>
    </xf>
    <xf numFmtId="0" fontId="5" fillId="0" borderId="55" xfId="0" applyNumberFormat="1" applyFont="1" applyBorder="1" applyAlignment="1">
      <alignment horizontal="left"/>
    </xf>
    <xf numFmtId="0" fontId="6" fillId="2" borderId="50" xfId="0" applyFont="1" applyFill="1" applyBorder="1" applyAlignment="1">
      <alignment horizontal="left" vertical="top" wrapText="1"/>
    </xf>
    <xf numFmtId="0" fontId="6" fillId="2" borderId="51" xfId="0" applyFont="1" applyFill="1" applyBorder="1" applyAlignment="1">
      <alignment horizontal="left" vertical="top" wrapText="1"/>
    </xf>
    <xf numFmtId="0" fontId="6" fillId="2" borderId="52" xfId="0" applyFont="1" applyFill="1" applyBorder="1" applyAlignment="1">
      <alignment horizontal="left" vertical="top" wrapText="1"/>
    </xf>
    <xf numFmtId="0" fontId="6" fillId="0" borderId="56" xfId="0" applyFont="1" applyBorder="1" applyAlignment="1">
      <alignment wrapText="1"/>
    </xf>
    <xf numFmtId="0" fontId="0" fillId="0" borderId="57" xfId="0" applyBorder="1" applyAlignment="1"/>
    <xf numFmtId="0" fontId="0" fillId="0" borderId="58" xfId="0" applyBorder="1" applyAlignment="1"/>
    <xf numFmtId="0" fontId="0" fillId="0" borderId="59" xfId="0" applyBorder="1" applyAlignment="1"/>
    <xf numFmtId="0" fontId="0" fillId="0" borderId="60" xfId="0" applyBorder="1" applyAlignment="1"/>
    <xf numFmtId="0" fontId="0" fillId="0" borderId="61" xfId="0" applyBorder="1" applyAlignment="1"/>
    <xf numFmtId="0" fontId="0" fillId="0" borderId="62" xfId="0" applyBorder="1" applyAlignment="1"/>
    <xf numFmtId="0" fontId="0" fillId="0" borderId="63" xfId="0" applyBorder="1" applyAlignment="1"/>
    <xf numFmtId="165" fontId="30" fillId="0" borderId="2" xfId="0" applyNumberFormat="1" applyFont="1" applyBorder="1" applyAlignment="1">
      <alignment horizontal="center"/>
    </xf>
    <xf numFmtId="0" fontId="6" fillId="0" borderId="56" xfId="0" applyFont="1" applyBorder="1" applyAlignment="1">
      <alignment horizontal="left" vertical="center" wrapText="1"/>
    </xf>
    <xf numFmtId="0" fontId="6" fillId="0" borderId="57" xfId="0" applyFont="1" applyBorder="1" applyAlignment="1">
      <alignment horizontal="left" vertical="center" wrapText="1"/>
    </xf>
    <xf numFmtId="0" fontId="6" fillId="0" borderId="58" xfId="0" applyFont="1" applyBorder="1" applyAlignment="1">
      <alignment horizontal="left" vertical="center" wrapText="1"/>
    </xf>
    <xf numFmtId="0" fontId="6" fillId="0" borderId="59" xfId="0" applyFont="1" applyBorder="1" applyAlignment="1">
      <alignment horizontal="left" vertical="center" wrapText="1"/>
    </xf>
    <xf numFmtId="0" fontId="6" fillId="0" borderId="60" xfId="0" applyFont="1" applyBorder="1" applyAlignment="1">
      <alignment horizontal="left" vertical="center" wrapText="1"/>
    </xf>
    <xf numFmtId="0" fontId="6" fillId="0" borderId="61" xfId="0" applyFont="1" applyBorder="1" applyAlignment="1">
      <alignment horizontal="left" vertical="center" wrapText="1"/>
    </xf>
    <xf numFmtId="0" fontId="6" fillId="0" borderId="62" xfId="0" applyFont="1" applyBorder="1" applyAlignment="1">
      <alignment horizontal="left" vertical="center" wrapText="1"/>
    </xf>
    <xf numFmtId="0" fontId="6" fillId="0" borderId="63" xfId="0" applyFont="1" applyBorder="1" applyAlignment="1">
      <alignment horizontal="left" vertical="center" wrapText="1"/>
    </xf>
    <xf numFmtId="0" fontId="6" fillId="0" borderId="0" xfId="0" applyFont="1" applyAlignment="1">
      <alignment horizontal="left" vertical="top" wrapText="1"/>
    </xf>
    <xf numFmtId="0" fontId="6" fillId="0" borderId="60" xfId="0" applyFont="1" applyBorder="1" applyAlignment="1">
      <alignment horizontal="left" vertical="top" wrapText="1"/>
    </xf>
  </cellXfs>
  <cellStyles count="3">
    <cellStyle name="Hiperłącze" xfId="1" builtinId="8"/>
    <cellStyle name="Normalny" xfId="0" builtinId="0"/>
    <cellStyle name="Normalny 2" xfId="2"/>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xdr:rowOff>
        </xdr:from>
        <xdr:to>
          <xdr:col>2</xdr:col>
          <xdr:colOff>1485900</xdr:colOff>
          <xdr:row>3</xdr:row>
          <xdr:rowOff>19050</xdr:rowOff>
        </xdr:to>
        <xdr:sp macro="" textlink="">
          <xdr:nvSpPr>
            <xdr:cNvPr id="6145" name="CommandButton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590550</xdr:colOff>
          <xdr:row>15</xdr:row>
          <xdr:rowOff>19050</xdr:rowOff>
        </xdr:from>
        <xdr:to>
          <xdr:col>5</xdr:col>
          <xdr:colOff>609600</xdr:colOff>
          <xdr:row>17</xdr:row>
          <xdr:rowOff>9525</xdr:rowOff>
        </xdr:to>
        <xdr:sp macro="" textlink="">
          <xdr:nvSpPr>
            <xdr:cNvPr id="1026" name="CommandButton1"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114300</xdr:rowOff>
        </xdr:from>
        <xdr:to>
          <xdr:col>7</xdr:col>
          <xdr:colOff>428625</xdr:colOff>
          <xdr:row>20</xdr:row>
          <xdr:rowOff>85725</xdr:rowOff>
        </xdr:to>
        <xdr:sp macro="" textlink="">
          <xdr:nvSpPr>
            <xdr:cNvPr id="1027" name="CommandButton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514350</xdr:colOff>
          <xdr:row>18</xdr:row>
          <xdr:rowOff>114300</xdr:rowOff>
        </xdr:from>
        <xdr:to>
          <xdr:col>8</xdr:col>
          <xdr:colOff>200025</xdr:colOff>
          <xdr:row>20</xdr:row>
          <xdr:rowOff>85725</xdr:rowOff>
        </xdr:to>
        <xdr:sp macro="" textlink="">
          <xdr:nvSpPr>
            <xdr:cNvPr id="1029" name="CommandButton4"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27</xdr:row>
          <xdr:rowOff>57150</xdr:rowOff>
        </xdr:from>
        <xdr:to>
          <xdr:col>2</xdr:col>
          <xdr:colOff>2514600</xdr:colOff>
          <xdr:row>29</xdr:row>
          <xdr:rowOff>28575</xdr:rowOff>
        </xdr:to>
        <xdr:sp macro="" textlink="">
          <xdr:nvSpPr>
            <xdr:cNvPr id="2049" name="CommandButton2"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22</xdr:row>
          <xdr:rowOff>28575</xdr:rowOff>
        </xdr:from>
        <xdr:to>
          <xdr:col>2</xdr:col>
          <xdr:colOff>3133725</xdr:colOff>
          <xdr:row>23</xdr:row>
          <xdr:rowOff>152400</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2876550</xdr:colOff>
          <xdr:row>27</xdr:row>
          <xdr:rowOff>66675</xdr:rowOff>
        </xdr:from>
        <xdr:to>
          <xdr:col>2</xdr:col>
          <xdr:colOff>4781550</xdr:colOff>
          <xdr:row>29</xdr:row>
          <xdr:rowOff>38100</xdr:rowOff>
        </xdr:to>
        <xdr:sp macro="" textlink="">
          <xdr:nvSpPr>
            <xdr:cNvPr id="2051" name="CommandButton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4505325</xdr:colOff>
          <xdr:row>31</xdr:row>
          <xdr:rowOff>66675</xdr:rowOff>
        </xdr:from>
        <xdr:to>
          <xdr:col>2</xdr:col>
          <xdr:colOff>4781550</xdr:colOff>
          <xdr:row>33</xdr:row>
          <xdr:rowOff>38100</xdr:rowOff>
        </xdr:to>
        <xdr:sp macro="" textlink="">
          <xdr:nvSpPr>
            <xdr:cNvPr id="2052" name="CommandButton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2876550</xdr:colOff>
          <xdr:row>31</xdr:row>
          <xdr:rowOff>76200</xdr:rowOff>
        </xdr:from>
        <xdr:to>
          <xdr:col>2</xdr:col>
          <xdr:colOff>3171825</xdr:colOff>
          <xdr:row>33</xdr:row>
          <xdr:rowOff>47625</xdr:rowOff>
        </xdr:to>
        <xdr:sp macro="" textlink="">
          <xdr:nvSpPr>
            <xdr:cNvPr id="2053" name="CommandButton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3238500</xdr:colOff>
          <xdr:row>31</xdr:row>
          <xdr:rowOff>76200</xdr:rowOff>
        </xdr:from>
        <xdr:to>
          <xdr:col>2</xdr:col>
          <xdr:colOff>3552825</xdr:colOff>
          <xdr:row>33</xdr:row>
          <xdr:rowOff>47625</xdr:rowOff>
        </xdr:to>
        <xdr:sp macro="" textlink="">
          <xdr:nvSpPr>
            <xdr:cNvPr id="2054" name="CommandButton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2190750</xdr:colOff>
          <xdr:row>95</xdr:row>
          <xdr:rowOff>0</xdr:rowOff>
        </xdr:from>
        <xdr:to>
          <xdr:col>2</xdr:col>
          <xdr:colOff>676275</xdr:colOff>
          <xdr:row>96</xdr:row>
          <xdr:rowOff>104775</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2209800</xdr:colOff>
          <xdr:row>95</xdr:row>
          <xdr:rowOff>0</xdr:rowOff>
        </xdr:from>
        <xdr:to>
          <xdr:col>2</xdr:col>
          <xdr:colOff>733425</xdr:colOff>
          <xdr:row>96</xdr:row>
          <xdr:rowOff>104775</xdr:rowOff>
        </xdr:to>
        <xdr:sp macro="" textlink="">
          <xdr:nvSpPr>
            <xdr:cNvPr id="5121" name="CommandButton1" hidden="1">
              <a:extLst>
                <a:ext uri="{63B3BB69-23CF-44E3-9099-C40C66FF867C}">
                  <a14:compatExt spid="_x0000_s5121"/>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9.emf"/><Relationship Id="rId3" Type="http://schemas.openxmlformats.org/officeDocument/2006/relationships/vmlDrawing" Target="../drawings/vmlDrawing3.vml"/><Relationship Id="rId7" Type="http://schemas.openxmlformats.org/officeDocument/2006/relationships/image" Target="../media/image6.emf"/><Relationship Id="rId12" Type="http://schemas.openxmlformats.org/officeDocument/2006/relationships/control" Target="../activeX/activeX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7.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1.emf"/><Relationship Id="rId4"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2.emf"/><Relationship Id="rId4" Type="http://schemas.openxmlformats.org/officeDocument/2006/relationships/control" Target="../activeX/activeX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www.malopolska.kasa-chorych.gov.p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dimension ref="A1:F418"/>
  <sheetViews>
    <sheetView topLeftCell="A388" workbookViewId="0"/>
  </sheetViews>
  <sheetFormatPr defaultRowHeight="15" x14ac:dyDescent="0.25"/>
  <cols>
    <col min="1" max="1" width="62.85546875" style="277" bestFit="1" customWidth="1"/>
    <col min="2" max="2" width="22" style="290" bestFit="1" customWidth="1"/>
    <col min="3" max="3" width="50.42578125" style="277" bestFit="1" customWidth="1"/>
    <col min="4" max="4" width="34.42578125" style="277" bestFit="1" customWidth="1"/>
    <col min="5" max="5" width="14.5703125" style="278" customWidth="1"/>
    <col min="6" max="6" width="22.85546875" style="277" bestFit="1" customWidth="1"/>
    <col min="7" max="16384" width="9.140625" style="277"/>
  </cols>
  <sheetData>
    <row r="1" spans="1:6" x14ac:dyDescent="0.25">
      <c r="A1" s="275" t="s">
        <v>710</v>
      </c>
      <c r="B1" s="289" t="s">
        <v>711</v>
      </c>
      <c r="C1" s="275" t="s">
        <v>712</v>
      </c>
      <c r="D1" s="275" t="s">
        <v>462</v>
      </c>
      <c r="E1" s="276" t="s">
        <v>713</v>
      </c>
      <c r="F1" s="275" t="s">
        <v>714</v>
      </c>
    </row>
    <row r="2" spans="1:6" x14ac:dyDescent="0.25">
      <c r="A2" s="277" t="str">
        <f t="shared" ref="A2:A65" si="0">F2&amp;" – "&amp;C2</f>
        <v>Aleksandrów Kujawski – Urząd Skarbowy w Aleksandrowie Kujawskim</v>
      </c>
      <c r="B2" s="290" t="s">
        <v>2300</v>
      </c>
      <c r="C2" s="277" t="s">
        <v>715</v>
      </c>
      <c r="D2" s="277" t="s">
        <v>716</v>
      </c>
      <c r="E2" s="278" t="s">
        <v>717</v>
      </c>
      <c r="F2" s="277" t="s">
        <v>718</v>
      </c>
    </row>
    <row r="3" spans="1:6" x14ac:dyDescent="0.25">
      <c r="A3" s="277" t="str">
        <f t="shared" si="0"/>
        <v>Augustów – Urząd Skarbowy w Augustowie</v>
      </c>
      <c r="B3" s="290">
        <v>2002</v>
      </c>
      <c r="C3" s="277" t="s">
        <v>719</v>
      </c>
      <c r="D3" s="277" t="s">
        <v>720</v>
      </c>
      <c r="E3" s="278" t="s">
        <v>721</v>
      </c>
      <c r="F3" s="277" t="s">
        <v>722</v>
      </c>
    </row>
    <row r="4" spans="1:6" x14ac:dyDescent="0.25">
      <c r="A4" s="277" t="str">
        <f t="shared" si="0"/>
        <v>Bartoszyce – Urząd Skarbowy w Bartoszycach</v>
      </c>
      <c r="B4" s="290">
        <v>2802</v>
      </c>
      <c r="C4" s="277" t="s">
        <v>723</v>
      </c>
      <c r="D4" s="277" t="s">
        <v>724</v>
      </c>
      <c r="E4" s="278" t="s">
        <v>725</v>
      </c>
      <c r="F4" s="277" t="s">
        <v>726</v>
      </c>
    </row>
    <row r="5" spans="1:6" x14ac:dyDescent="0.25">
      <c r="A5" s="277" t="str">
        <f t="shared" si="0"/>
        <v>Będzin – Urząd Skarbowy w Będzinie</v>
      </c>
      <c r="B5" s="290">
        <v>2402</v>
      </c>
      <c r="C5" s="277" t="s">
        <v>727</v>
      </c>
      <c r="D5" s="277" t="s">
        <v>728</v>
      </c>
      <c r="E5" s="278" t="s">
        <v>729</v>
      </c>
      <c r="F5" s="277" t="s">
        <v>730</v>
      </c>
    </row>
    <row r="6" spans="1:6" x14ac:dyDescent="0.25">
      <c r="A6" s="277" t="str">
        <f t="shared" si="0"/>
        <v>Bełchatów – Urząd Skarbowy w Bełchatowie</v>
      </c>
      <c r="B6" s="290">
        <v>1002</v>
      </c>
      <c r="C6" s="277" t="s">
        <v>731</v>
      </c>
      <c r="D6" s="277" t="s">
        <v>732</v>
      </c>
      <c r="E6" s="278" t="s">
        <v>733</v>
      </c>
      <c r="F6" s="277" t="s">
        <v>734</v>
      </c>
    </row>
    <row r="7" spans="1:6" x14ac:dyDescent="0.25">
      <c r="A7" s="277" t="str">
        <f t="shared" si="0"/>
        <v>Biała Podlaska – Urząd Skarbowy w Białej Podlaskiej</v>
      </c>
      <c r="B7" s="290" t="s">
        <v>2324</v>
      </c>
      <c r="C7" s="277" t="s">
        <v>735</v>
      </c>
      <c r="D7" s="277" t="s">
        <v>736</v>
      </c>
      <c r="E7" s="278" t="s">
        <v>737</v>
      </c>
      <c r="F7" s="277" t="s">
        <v>738</v>
      </c>
    </row>
    <row r="8" spans="1:6" x14ac:dyDescent="0.25">
      <c r="A8" s="277" t="str">
        <f t="shared" si="0"/>
        <v>Białobrzegi – Urząd Skarbowy w Białobrzegach</v>
      </c>
      <c r="B8" s="290">
        <v>1402</v>
      </c>
      <c r="C8" s="277" t="s">
        <v>739</v>
      </c>
      <c r="D8" s="277" t="s">
        <v>740</v>
      </c>
      <c r="E8" s="278" t="s">
        <v>741</v>
      </c>
      <c r="F8" s="277" t="s">
        <v>742</v>
      </c>
    </row>
    <row r="9" spans="1:6" x14ac:dyDescent="0.25">
      <c r="A9" s="277" t="str">
        <f t="shared" si="0"/>
        <v>Białogard – Urząd Skarbowy w Białogardzie</v>
      </c>
      <c r="B9" s="290">
        <v>3202</v>
      </c>
      <c r="C9" s="277" t="s">
        <v>743</v>
      </c>
      <c r="D9" s="277" t="s">
        <v>744</v>
      </c>
      <c r="E9" s="278" t="s">
        <v>745</v>
      </c>
      <c r="F9" s="277" t="s">
        <v>746</v>
      </c>
    </row>
    <row r="10" spans="1:6" x14ac:dyDescent="0.25">
      <c r="A10" s="277" t="str">
        <f t="shared" si="0"/>
        <v>Białystok – Izba Skarbowa w Białymstoku</v>
      </c>
      <c r="B10" s="290">
        <v>2004</v>
      </c>
      <c r="C10" s="277" t="s">
        <v>747</v>
      </c>
      <c r="D10" s="277" t="s">
        <v>757</v>
      </c>
      <c r="E10" s="278" t="s">
        <v>758</v>
      </c>
      <c r="F10" s="277" t="s">
        <v>750</v>
      </c>
    </row>
    <row r="11" spans="1:6" x14ac:dyDescent="0.25">
      <c r="A11" s="277" t="str">
        <f t="shared" si="0"/>
        <v>Białystok – Izba Skarbowa w Białymstoku</v>
      </c>
      <c r="B11" s="290">
        <v>2001</v>
      </c>
      <c r="C11" s="277" t="s">
        <v>747</v>
      </c>
      <c r="D11" s="277" t="s">
        <v>748</v>
      </c>
      <c r="E11" s="278" t="s">
        <v>749</v>
      </c>
      <c r="F11" s="277" t="s">
        <v>750</v>
      </c>
    </row>
    <row r="12" spans="1:6" x14ac:dyDescent="0.25">
      <c r="A12" s="277" t="str">
        <f t="shared" si="0"/>
        <v>Białystok – Pierwszy Urząd Skarbowy w Białymstoku</v>
      </c>
      <c r="B12" s="290">
        <v>2003</v>
      </c>
      <c r="C12" s="277" t="s">
        <v>751</v>
      </c>
      <c r="D12" s="277" t="s">
        <v>752</v>
      </c>
      <c r="E12" s="278" t="s">
        <v>753</v>
      </c>
      <c r="F12" s="277" t="s">
        <v>750</v>
      </c>
    </row>
    <row r="13" spans="1:6" x14ac:dyDescent="0.25">
      <c r="A13" s="277" t="str">
        <f t="shared" si="0"/>
        <v>Białystok – Podlaski Urząd Skarbowy</v>
      </c>
      <c r="B13" s="290">
        <v>2071</v>
      </c>
      <c r="C13" s="277" t="s">
        <v>754</v>
      </c>
      <c r="D13" s="277" t="s">
        <v>755</v>
      </c>
      <c r="E13" s="278" t="s">
        <v>756</v>
      </c>
      <c r="F13" s="277" t="s">
        <v>750</v>
      </c>
    </row>
    <row r="14" spans="1:6" x14ac:dyDescent="0.25">
      <c r="A14" s="277" t="str">
        <f t="shared" si="0"/>
        <v>Bielsk Podlaski – Urząd Skarbowy w Bielsku Podlaskim</v>
      </c>
      <c r="B14" s="290">
        <v>2005</v>
      </c>
      <c r="C14" s="277" t="s">
        <v>759</v>
      </c>
      <c r="D14" s="277" t="s">
        <v>760</v>
      </c>
      <c r="E14" s="278" t="s">
        <v>761</v>
      </c>
      <c r="F14" s="277" t="s">
        <v>762</v>
      </c>
    </row>
    <row r="15" spans="1:6" x14ac:dyDescent="0.25">
      <c r="A15" s="277" t="str">
        <f t="shared" si="0"/>
        <v>Bielsko-Biała – Biuro Krajowej Informacji Podatkowej w Bielsku-Białej</v>
      </c>
      <c r="B15" s="290">
        <v>2461</v>
      </c>
      <c r="C15" s="277" t="s">
        <v>763</v>
      </c>
      <c r="D15" s="277" t="s">
        <v>764</v>
      </c>
      <c r="E15" s="278" t="s">
        <v>765</v>
      </c>
      <c r="F15" s="277" t="s">
        <v>766</v>
      </c>
    </row>
    <row r="16" spans="1:6" x14ac:dyDescent="0.25">
      <c r="A16" s="277" t="str">
        <f t="shared" si="0"/>
        <v>Bielsko-Biała – Drugi Śląski Urząd Skarbowy w Bielsku-Białej</v>
      </c>
      <c r="B16" s="290">
        <v>2472</v>
      </c>
      <c r="C16" s="277" t="s">
        <v>767</v>
      </c>
      <c r="D16" s="277" t="s">
        <v>768</v>
      </c>
      <c r="E16" s="278" t="s">
        <v>765</v>
      </c>
      <c r="F16" s="277" t="s">
        <v>766</v>
      </c>
    </row>
    <row r="17" spans="1:6" x14ac:dyDescent="0.25">
      <c r="A17" s="277" t="str">
        <f t="shared" si="0"/>
        <v>Bielsko-Biała – Drugi Urząd Skarbowy w Bielsku-Białej</v>
      </c>
      <c r="B17" s="290">
        <v>2404</v>
      </c>
      <c r="C17" s="277" t="s">
        <v>769</v>
      </c>
      <c r="D17" s="277" t="s">
        <v>770</v>
      </c>
      <c r="E17" s="278" t="s">
        <v>765</v>
      </c>
      <c r="F17" s="277" t="s">
        <v>766</v>
      </c>
    </row>
    <row r="18" spans="1:6" x14ac:dyDescent="0.25">
      <c r="A18" s="277" t="str">
        <f t="shared" si="0"/>
        <v>Bielsko-Biała – Pierwszy Urząd Skarbowy w Bielsku-Białej</v>
      </c>
      <c r="B18" s="290">
        <v>2403</v>
      </c>
      <c r="C18" s="277" t="s">
        <v>771</v>
      </c>
      <c r="D18" s="277" t="s">
        <v>772</v>
      </c>
      <c r="E18" s="278" t="s">
        <v>765</v>
      </c>
      <c r="F18" s="277" t="s">
        <v>766</v>
      </c>
    </row>
    <row r="19" spans="1:6" x14ac:dyDescent="0.25">
      <c r="A19" s="277" t="str">
        <f t="shared" si="0"/>
        <v>Biłgoraj – Urząd Skarbowy w Biłgoraju</v>
      </c>
      <c r="B19" s="290" t="s">
        <v>2325</v>
      </c>
      <c r="C19" s="277" t="s">
        <v>773</v>
      </c>
      <c r="D19" s="277" t="s">
        <v>774</v>
      </c>
      <c r="E19" s="278" t="s">
        <v>775</v>
      </c>
      <c r="F19" s="277" t="s">
        <v>776</v>
      </c>
    </row>
    <row r="20" spans="1:6" x14ac:dyDescent="0.25">
      <c r="A20" s="277" t="str">
        <f t="shared" si="0"/>
        <v>Bochnia – Urząd Skarbowy w Bochni</v>
      </c>
      <c r="B20" s="290">
        <v>1202</v>
      </c>
      <c r="C20" s="277" t="s">
        <v>777</v>
      </c>
      <c r="D20" s="277" t="s">
        <v>778</v>
      </c>
      <c r="E20" s="278" t="s">
        <v>779</v>
      </c>
      <c r="F20" s="277" t="s">
        <v>780</v>
      </c>
    </row>
    <row r="21" spans="1:6" x14ac:dyDescent="0.25">
      <c r="A21" s="277" t="str">
        <f t="shared" si="0"/>
        <v>Bolesławiec – Urząd Skarbowy w Bolesławcu</v>
      </c>
      <c r="B21" s="290" t="s">
        <v>2265</v>
      </c>
      <c r="C21" s="277" t="s">
        <v>781</v>
      </c>
      <c r="D21" s="277" t="s">
        <v>782</v>
      </c>
      <c r="E21" s="278" t="s">
        <v>783</v>
      </c>
      <c r="F21" s="277" t="s">
        <v>784</v>
      </c>
    </row>
    <row r="22" spans="1:6" x14ac:dyDescent="0.25">
      <c r="A22" s="277" t="str">
        <f t="shared" si="0"/>
        <v>Braniewo – Urząd Skarbowy w Braniewie</v>
      </c>
      <c r="B22" s="290">
        <v>2803</v>
      </c>
      <c r="C22" s="277" t="s">
        <v>785</v>
      </c>
      <c r="D22" s="277" t="s">
        <v>786</v>
      </c>
      <c r="E22" s="278" t="s">
        <v>787</v>
      </c>
      <c r="F22" s="277" t="s">
        <v>788</v>
      </c>
    </row>
    <row r="23" spans="1:6" x14ac:dyDescent="0.25">
      <c r="A23" s="277" t="str">
        <f t="shared" si="0"/>
        <v>Brodnica – Urząd Skarbowy w Brodnicy</v>
      </c>
      <c r="B23" s="290" t="s">
        <v>2301</v>
      </c>
      <c r="C23" s="277" t="s">
        <v>789</v>
      </c>
      <c r="D23" s="277" t="s">
        <v>790</v>
      </c>
      <c r="E23" s="278" t="s">
        <v>791</v>
      </c>
      <c r="F23" s="277" t="s">
        <v>792</v>
      </c>
    </row>
    <row r="24" spans="1:6" x14ac:dyDescent="0.25">
      <c r="A24" s="277" t="str">
        <f t="shared" si="0"/>
        <v>Brzeg – Urząd Skarbowy w Brzegu</v>
      </c>
      <c r="B24" s="290">
        <v>1602</v>
      </c>
      <c r="C24" s="277" t="s">
        <v>793</v>
      </c>
      <c r="D24" s="277" t="s">
        <v>794</v>
      </c>
      <c r="E24" s="278" t="s">
        <v>795</v>
      </c>
      <c r="F24" s="277" t="s">
        <v>796</v>
      </c>
    </row>
    <row r="25" spans="1:6" x14ac:dyDescent="0.25">
      <c r="A25" s="277" t="str">
        <f t="shared" si="0"/>
        <v>Brzesko – Urząd Skarbowy w Brzesku</v>
      </c>
      <c r="B25" s="290">
        <v>1203</v>
      </c>
      <c r="C25" s="277" t="s">
        <v>797</v>
      </c>
      <c r="D25" s="277" t="s">
        <v>798</v>
      </c>
      <c r="E25" s="278" t="s">
        <v>799</v>
      </c>
      <c r="F25" s="277" t="s">
        <v>800</v>
      </c>
    </row>
    <row r="26" spans="1:6" x14ac:dyDescent="0.25">
      <c r="A26" s="277" t="str">
        <f t="shared" si="0"/>
        <v>Brzeziny – Urząd Skarbowy w Brzezinach</v>
      </c>
      <c r="B26" s="290">
        <v>1003</v>
      </c>
      <c r="C26" s="277" t="s">
        <v>801</v>
      </c>
      <c r="D26" s="277" t="s">
        <v>802</v>
      </c>
      <c r="E26" s="278" t="s">
        <v>803</v>
      </c>
      <c r="F26" s="277" t="s">
        <v>804</v>
      </c>
    </row>
    <row r="27" spans="1:6" x14ac:dyDescent="0.25">
      <c r="A27" s="277" t="str">
        <f t="shared" si="0"/>
        <v>Brzozów – Urząd Skarbowy w Brzozowie</v>
      </c>
      <c r="B27" s="290">
        <v>1802</v>
      </c>
      <c r="C27" s="277" t="s">
        <v>805</v>
      </c>
      <c r="D27" s="277" t="s">
        <v>806</v>
      </c>
      <c r="E27" s="278" t="s">
        <v>807</v>
      </c>
      <c r="F27" s="277" t="s">
        <v>808</v>
      </c>
    </row>
    <row r="28" spans="1:6" x14ac:dyDescent="0.25">
      <c r="A28" s="277" t="str">
        <f t="shared" si="0"/>
        <v>Busko-Zdrój – Urząd Skarbowy w Busko-Zdroju</v>
      </c>
      <c r="B28" s="290">
        <v>2602</v>
      </c>
      <c r="C28" s="277" t="s">
        <v>809</v>
      </c>
      <c r="D28" s="277" t="s">
        <v>810</v>
      </c>
      <c r="E28" s="278" t="s">
        <v>811</v>
      </c>
      <c r="F28" s="277" t="s">
        <v>812</v>
      </c>
    </row>
    <row r="29" spans="1:6" x14ac:dyDescent="0.25">
      <c r="A29" s="277" t="str">
        <f t="shared" si="0"/>
        <v>Bydgoszcz – Drugi Urząd Skarbowy w Bydgoszczy</v>
      </c>
      <c r="B29" s="290" t="s">
        <v>2303</v>
      </c>
      <c r="C29" s="277" t="s">
        <v>820</v>
      </c>
      <c r="D29" s="277" t="s">
        <v>821</v>
      </c>
      <c r="E29" s="278" t="s">
        <v>822</v>
      </c>
      <c r="F29" s="277" t="s">
        <v>816</v>
      </c>
    </row>
    <row r="30" spans="1:6" x14ac:dyDescent="0.25">
      <c r="A30" s="277" t="str">
        <f t="shared" si="0"/>
        <v>Bydgoszcz – Izba Skarbowa w Bydgoszczy</v>
      </c>
      <c r="B30" s="290" t="s">
        <v>2299</v>
      </c>
      <c r="C30" s="277" t="s">
        <v>823</v>
      </c>
      <c r="D30" s="277" t="s">
        <v>824</v>
      </c>
      <c r="E30" s="278" t="s">
        <v>825</v>
      </c>
      <c r="F30" s="277" t="s">
        <v>816</v>
      </c>
    </row>
    <row r="31" spans="1:6" x14ac:dyDescent="0.25">
      <c r="A31" s="277" t="str">
        <f t="shared" si="0"/>
        <v>Bydgoszcz – Kujawsko-Pomorski Urząd Skarbowy w Bydgoszczy</v>
      </c>
      <c r="B31" s="290" t="s">
        <v>2322</v>
      </c>
      <c r="C31" s="277" t="s">
        <v>817</v>
      </c>
      <c r="D31" s="277" t="s">
        <v>818</v>
      </c>
      <c r="E31" s="278" t="s">
        <v>819</v>
      </c>
      <c r="F31" s="277" t="s">
        <v>816</v>
      </c>
    </row>
    <row r="32" spans="1:6" x14ac:dyDescent="0.25">
      <c r="A32" s="277" t="str">
        <f t="shared" si="0"/>
        <v>Bydgoszcz – Pierwszy Urząd Skarbowy w Bydgoszczy</v>
      </c>
      <c r="B32" s="290" t="s">
        <v>2302</v>
      </c>
      <c r="C32" s="277" t="s">
        <v>826</v>
      </c>
      <c r="D32" s="277" t="s">
        <v>827</v>
      </c>
      <c r="E32" s="278" t="s">
        <v>825</v>
      </c>
      <c r="F32" s="277" t="s">
        <v>816</v>
      </c>
    </row>
    <row r="33" spans="1:6" x14ac:dyDescent="0.25">
      <c r="A33" s="277" t="str">
        <f t="shared" si="0"/>
        <v>Bydgoszcz – Trzeci Urząd Skarbowy w Bydgoszczy</v>
      </c>
      <c r="B33" s="290" t="s">
        <v>2304</v>
      </c>
      <c r="C33" s="277" t="s">
        <v>813</v>
      </c>
      <c r="D33" s="277" t="s">
        <v>814</v>
      </c>
      <c r="E33" s="278" t="s">
        <v>815</v>
      </c>
      <c r="F33" s="277" t="s">
        <v>816</v>
      </c>
    </row>
    <row r="34" spans="1:6" x14ac:dyDescent="0.25">
      <c r="A34" s="277" t="str">
        <f t="shared" si="0"/>
        <v>Bystrzyca Kłodzka – Urząd Skarbowy w Bystrzycy Kłodzkiej</v>
      </c>
      <c r="B34" s="290" t="s">
        <v>2266</v>
      </c>
      <c r="C34" s="277" t="s">
        <v>828</v>
      </c>
      <c r="D34" s="277" t="s">
        <v>829</v>
      </c>
      <c r="E34" s="278" t="s">
        <v>830</v>
      </c>
      <c r="F34" s="277" t="s">
        <v>831</v>
      </c>
    </row>
    <row r="35" spans="1:6" x14ac:dyDescent="0.25">
      <c r="A35" s="277" t="str">
        <f t="shared" si="0"/>
        <v>Bytom – Urząd Skarbowy w Bytomiu</v>
      </c>
      <c r="B35" s="290">
        <v>2405</v>
      </c>
      <c r="C35" s="277" t="s">
        <v>832</v>
      </c>
      <c r="D35" s="277" t="s">
        <v>833</v>
      </c>
      <c r="E35" s="278" t="s">
        <v>834</v>
      </c>
      <c r="F35" s="277" t="s">
        <v>835</v>
      </c>
    </row>
    <row r="36" spans="1:6" x14ac:dyDescent="0.25">
      <c r="A36" s="277" t="str">
        <f t="shared" si="0"/>
        <v>Bytów – Urząd Skarbowy w Bytowie</v>
      </c>
      <c r="B36" s="290">
        <v>2202</v>
      </c>
      <c r="C36" s="277" t="s">
        <v>836</v>
      </c>
      <c r="D36" s="277" t="s">
        <v>837</v>
      </c>
      <c r="E36" s="278" t="s">
        <v>838</v>
      </c>
      <c r="F36" s="277" t="s">
        <v>839</v>
      </c>
    </row>
    <row r="37" spans="1:6" x14ac:dyDescent="0.25">
      <c r="A37" s="277" t="str">
        <f t="shared" si="0"/>
        <v>Chełm – Urząd Skarbowy w Chełmie</v>
      </c>
      <c r="B37" s="290" t="s">
        <v>2326</v>
      </c>
      <c r="C37" s="277" t="s">
        <v>840</v>
      </c>
      <c r="D37" s="277" t="s">
        <v>841</v>
      </c>
      <c r="E37" s="278" t="s">
        <v>842</v>
      </c>
      <c r="F37" s="277" t="s">
        <v>843</v>
      </c>
    </row>
    <row r="38" spans="1:6" x14ac:dyDescent="0.25">
      <c r="A38" s="277" t="str">
        <f t="shared" si="0"/>
        <v>Chełmno – Urząd Skarbowy w Chełmnie</v>
      </c>
      <c r="B38" s="290" t="s">
        <v>2305</v>
      </c>
      <c r="C38" s="277" t="s">
        <v>844</v>
      </c>
      <c r="D38" s="277" t="s">
        <v>845</v>
      </c>
      <c r="E38" s="278" t="s">
        <v>846</v>
      </c>
      <c r="F38" s="277" t="s">
        <v>847</v>
      </c>
    </row>
    <row r="39" spans="1:6" x14ac:dyDescent="0.25">
      <c r="A39" s="277" t="str">
        <f t="shared" si="0"/>
        <v>Chodzież – Urząd Skarbowy w Chodzieży</v>
      </c>
      <c r="B39" s="290">
        <v>3037</v>
      </c>
      <c r="C39" s="277" t="s">
        <v>848</v>
      </c>
      <c r="D39" s="277" t="s">
        <v>849</v>
      </c>
      <c r="E39" s="278" t="s">
        <v>850</v>
      </c>
      <c r="F39" s="277" t="s">
        <v>851</v>
      </c>
    </row>
    <row r="40" spans="1:6" x14ac:dyDescent="0.25">
      <c r="A40" s="277" t="str">
        <f t="shared" si="0"/>
        <v>Chojnice – Urząd Skarbowy w Chojnicach</v>
      </c>
      <c r="B40" s="290">
        <v>2203</v>
      </c>
      <c r="C40" s="277" t="s">
        <v>852</v>
      </c>
      <c r="D40" s="277" t="s">
        <v>853</v>
      </c>
      <c r="E40" s="278" t="s">
        <v>854</v>
      </c>
      <c r="F40" s="277" t="s">
        <v>855</v>
      </c>
    </row>
    <row r="41" spans="1:6" x14ac:dyDescent="0.25">
      <c r="A41" s="277" t="str">
        <f t="shared" si="0"/>
        <v>Chorzów – Urząd Skarbowy w Chorzowie</v>
      </c>
      <c r="B41" s="290">
        <v>2406</v>
      </c>
      <c r="C41" s="277" t="s">
        <v>856</v>
      </c>
      <c r="D41" s="277" t="s">
        <v>857</v>
      </c>
      <c r="E41" s="278" t="s">
        <v>858</v>
      </c>
      <c r="F41" s="277" t="s">
        <v>859</v>
      </c>
    </row>
    <row r="42" spans="1:6" x14ac:dyDescent="0.25">
      <c r="A42" s="277" t="str">
        <f t="shared" si="0"/>
        <v>Choszczno – Urząd Skarbowy w Choszcznie</v>
      </c>
      <c r="B42" s="290">
        <v>3203</v>
      </c>
      <c r="C42" s="277" t="s">
        <v>860</v>
      </c>
      <c r="D42" s="277" t="s">
        <v>861</v>
      </c>
      <c r="E42" s="278" t="s">
        <v>862</v>
      </c>
      <c r="F42" s="277" t="s">
        <v>863</v>
      </c>
    </row>
    <row r="43" spans="1:6" x14ac:dyDescent="0.25">
      <c r="A43" s="277" t="str">
        <f t="shared" si="0"/>
        <v>Chrzanów – Urząd Skarbowy w Chrzanowie</v>
      </c>
      <c r="B43" s="290">
        <v>1204</v>
      </c>
      <c r="C43" s="277" t="s">
        <v>864</v>
      </c>
      <c r="D43" s="277" t="s">
        <v>865</v>
      </c>
      <c r="E43" s="278" t="s">
        <v>866</v>
      </c>
      <c r="F43" s="277" t="s">
        <v>867</v>
      </c>
    </row>
    <row r="44" spans="1:6" x14ac:dyDescent="0.25">
      <c r="A44" s="277" t="str">
        <f t="shared" si="0"/>
        <v>Ciechanów – Urząd Skarbowy w Ciechanowie</v>
      </c>
      <c r="B44" s="290">
        <v>1403</v>
      </c>
      <c r="C44" s="277" t="s">
        <v>868</v>
      </c>
      <c r="D44" s="277" t="s">
        <v>869</v>
      </c>
      <c r="E44" s="278" t="s">
        <v>870</v>
      </c>
      <c r="F44" s="277" t="s">
        <v>871</v>
      </c>
    </row>
    <row r="45" spans="1:6" x14ac:dyDescent="0.25">
      <c r="A45" s="277" t="str">
        <f t="shared" si="0"/>
        <v>Cieszyn – Urząd Skarbowy w Cieszynie</v>
      </c>
      <c r="B45" s="290">
        <v>2407</v>
      </c>
      <c r="C45" s="277" t="s">
        <v>872</v>
      </c>
      <c r="D45" s="277" t="s">
        <v>873</v>
      </c>
      <c r="E45" s="278" t="s">
        <v>874</v>
      </c>
      <c r="F45" s="277" t="s">
        <v>875</v>
      </c>
    </row>
    <row r="46" spans="1:6" x14ac:dyDescent="0.25">
      <c r="A46" s="277" t="str">
        <f t="shared" si="0"/>
        <v>Czarnków – Urząd Skarbowy w Czarnkowie</v>
      </c>
      <c r="B46" s="290">
        <v>3002</v>
      </c>
      <c r="C46" s="277" t="s">
        <v>876</v>
      </c>
      <c r="D46" s="277" t="s">
        <v>877</v>
      </c>
      <c r="E46" s="278" t="s">
        <v>878</v>
      </c>
      <c r="F46" s="277" t="s">
        <v>879</v>
      </c>
    </row>
    <row r="47" spans="1:6" x14ac:dyDescent="0.25">
      <c r="A47" s="277" t="str">
        <f t="shared" si="0"/>
        <v>Czechowice-Dziedzice – Urząd Skarbowy w Czechowicach-Dziedzicach</v>
      </c>
      <c r="B47" s="290">
        <v>2408</v>
      </c>
      <c r="C47" s="277" t="s">
        <v>880</v>
      </c>
      <c r="D47" s="277" t="s">
        <v>881</v>
      </c>
      <c r="E47" s="278" t="s">
        <v>882</v>
      </c>
      <c r="F47" s="277" t="s">
        <v>883</v>
      </c>
    </row>
    <row r="48" spans="1:6" x14ac:dyDescent="0.25">
      <c r="A48" s="277" t="str">
        <f t="shared" si="0"/>
        <v>Częstochowa – Drugi Urząd Skarbowy w Częstochowie</v>
      </c>
      <c r="B48" s="290">
        <v>2410</v>
      </c>
      <c r="C48" s="277" t="s">
        <v>884</v>
      </c>
      <c r="D48" s="277" t="s">
        <v>885</v>
      </c>
      <c r="E48" s="278" t="s">
        <v>886</v>
      </c>
      <c r="F48" s="277" t="s">
        <v>887</v>
      </c>
    </row>
    <row r="49" spans="1:6" x14ac:dyDescent="0.25">
      <c r="A49" s="277" t="str">
        <f t="shared" si="0"/>
        <v>Częstochowa – Pierwszy Urząd Skarbowy w Częstochowie</v>
      </c>
      <c r="B49" s="290">
        <v>2409</v>
      </c>
      <c r="C49" s="277" t="s">
        <v>888</v>
      </c>
      <c r="D49" s="277" t="s">
        <v>889</v>
      </c>
      <c r="E49" s="278" t="s">
        <v>886</v>
      </c>
      <c r="F49" s="277" t="s">
        <v>887</v>
      </c>
    </row>
    <row r="50" spans="1:6" x14ac:dyDescent="0.25">
      <c r="A50" s="277" t="str">
        <f t="shared" si="0"/>
        <v>Człuchów – Urząd Skarbowy w Człuchowie</v>
      </c>
      <c r="B50" s="290">
        <v>2204</v>
      </c>
      <c r="C50" s="277" t="s">
        <v>890</v>
      </c>
      <c r="D50" s="277" t="s">
        <v>891</v>
      </c>
      <c r="E50" s="278" t="s">
        <v>892</v>
      </c>
      <c r="F50" s="277" t="s">
        <v>893</v>
      </c>
    </row>
    <row r="51" spans="1:6" x14ac:dyDescent="0.25">
      <c r="A51" s="277" t="str">
        <f t="shared" si="0"/>
        <v>Dąbrowa Górnicza – Urząd Skarbowy w Dąbrowie Górniczej</v>
      </c>
      <c r="B51" s="290">
        <v>2411</v>
      </c>
      <c r="C51" s="277" t="s">
        <v>894</v>
      </c>
      <c r="D51" s="277" t="s">
        <v>895</v>
      </c>
      <c r="E51" s="278" t="s">
        <v>896</v>
      </c>
      <c r="F51" s="277" t="s">
        <v>897</v>
      </c>
    </row>
    <row r="52" spans="1:6" x14ac:dyDescent="0.25">
      <c r="A52" s="277" t="str">
        <f t="shared" si="0"/>
        <v>Dąbrowa Tarnowska – Urząd Skarbowy w Dąbrowie Tarnowskiej</v>
      </c>
      <c r="B52" s="290">
        <v>1205</v>
      </c>
      <c r="C52" s="277" t="s">
        <v>898</v>
      </c>
      <c r="D52" s="277" t="s">
        <v>899</v>
      </c>
      <c r="E52" s="278" t="s">
        <v>900</v>
      </c>
      <c r="F52" s="277" t="s">
        <v>901</v>
      </c>
    </row>
    <row r="53" spans="1:6" x14ac:dyDescent="0.25">
      <c r="A53" s="277" t="str">
        <f t="shared" si="0"/>
        <v>Dębica – Urząd Skarbowy w Dębicy</v>
      </c>
      <c r="B53" s="290">
        <v>1803</v>
      </c>
      <c r="C53" s="277" t="s">
        <v>902</v>
      </c>
      <c r="D53" s="277" t="s">
        <v>903</v>
      </c>
      <c r="E53" s="278" t="s">
        <v>904</v>
      </c>
      <c r="F53" s="277" t="s">
        <v>905</v>
      </c>
    </row>
    <row r="54" spans="1:6" x14ac:dyDescent="0.25">
      <c r="A54" s="277" t="str">
        <f t="shared" si="0"/>
        <v>Drawsko Pomorskie – Urząd Skarbowy w Drawsku Pomorskim</v>
      </c>
      <c r="B54" s="290">
        <v>3204</v>
      </c>
      <c r="C54" s="277" t="s">
        <v>906</v>
      </c>
      <c r="D54" s="277" t="s">
        <v>907</v>
      </c>
      <c r="E54" s="278" t="s">
        <v>908</v>
      </c>
      <c r="F54" s="277" t="s">
        <v>909</v>
      </c>
    </row>
    <row r="55" spans="1:6" x14ac:dyDescent="0.25">
      <c r="A55" s="277" t="str">
        <f t="shared" si="0"/>
        <v>Drezdenko – Urząd Skarbowy w Drezdenku</v>
      </c>
      <c r="B55" s="290" t="s">
        <v>2357</v>
      </c>
      <c r="C55" s="277" t="s">
        <v>910</v>
      </c>
      <c r="D55" s="277" t="s">
        <v>911</v>
      </c>
      <c r="E55" s="278" t="s">
        <v>912</v>
      </c>
      <c r="F55" s="277" t="s">
        <v>913</v>
      </c>
    </row>
    <row r="56" spans="1:6" x14ac:dyDescent="0.25">
      <c r="A56" s="277" t="str">
        <f t="shared" si="0"/>
        <v>Działdowo – Urząd Skarbowy w Działdowie</v>
      </c>
      <c r="B56" s="290">
        <v>2804</v>
      </c>
      <c r="C56" s="277" t="s">
        <v>914</v>
      </c>
      <c r="D56" s="277" t="s">
        <v>915</v>
      </c>
      <c r="E56" s="278" t="s">
        <v>916</v>
      </c>
      <c r="F56" s="277" t="s">
        <v>917</v>
      </c>
    </row>
    <row r="57" spans="1:6" x14ac:dyDescent="0.25">
      <c r="A57" s="277" t="str">
        <f t="shared" si="0"/>
        <v>Dzierżoniów – Urząd Skarbowy w  Dzierżoniowie</v>
      </c>
      <c r="B57" s="290" t="s">
        <v>2267</v>
      </c>
      <c r="C57" s="277" t="s">
        <v>918</v>
      </c>
      <c r="D57" s="277" t="s">
        <v>919</v>
      </c>
      <c r="E57" s="278" t="s">
        <v>920</v>
      </c>
      <c r="F57" s="277" t="s">
        <v>921</v>
      </c>
    </row>
    <row r="58" spans="1:6" x14ac:dyDescent="0.25">
      <c r="A58" s="277" t="str">
        <f t="shared" si="0"/>
        <v>Elbląg – Urząd Skarbowy w Elblągu</v>
      </c>
      <c r="B58" s="290">
        <v>2805</v>
      </c>
      <c r="C58" s="277" t="s">
        <v>922</v>
      </c>
      <c r="D58" s="277" t="s">
        <v>923</v>
      </c>
      <c r="E58" s="278" t="s">
        <v>924</v>
      </c>
      <c r="F58" s="277" t="s">
        <v>925</v>
      </c>
    </row>
    <row r="59" spans="1:6" x14ac:dyDescent="0.25">
      <c r="A59" s="277" t="str">
        <f t="shared" si="0"/>
        <v>Ełk – Urząd Skarbowy w Ełku</v>
      </c>
      <c r="B59" s="290">
        <v>2806</v>
      </c>
      <c r="C59" s="277" t="s">
        <v>926</v>
      </c>
      <c r="D59" s="277" t="s">
        <v>927</v>
      </c>
      <c r="E59" s="278" t="s">
        <v>928</v>
      </c>
      <c r="F59" s="277" t="s">
        <v>929</v>
      </c>
    </row>
    <row r="60" spans="1:6" x14ac:dyDescent="0.25">
      <c r="A60" s="277" t="str">
        <f t="shared" si="0"/>
        <v>Garwolin – Urząd Skarbowy w Garwolinie</v>
      </c>
      <c r="B60" s="290">
        <v>1404</v>
      </c>
      <c r="C60" s="277" t="s">
        <v>930</v>
      </c>
      <c r="D60" s="277" t="s">
        <v>931</v>
      </c>
      <c r="E60" s="278" t="s">
        <v>932</v>
      </c>
      <c r="F60" s="277" t="s">
        <v>933</v>
      </c>
    </row>
    <row r="61" spans="1:6" x14ac:dyDescent="0.25">
      <c r="A61" s="277" t="str">
        <f t="shared" si="0"/>
        <v>Gdańsk – Drugi Urząd Skarbowy w Gdańsku</v>
      </c>
      <c r="B61" s="290">
        <v>2206</v>
      </c>
      <c r="C61" s="277" t="s">
        <v>934</v>
      </c>
      <c r="D61" s="277" t="s">
        <v>935</v>
      </c>
      <c r="E61" s="278" t="s">
        <v>936</v>
      </c>
      <c r="F61" s="277" t="s">
        <v>937</v>
      </c>
    </row>
    <row r="62" spans="1:6" x14ac:dyDescent="0.25">
      <c r="A62" s="277" t="str">
        <f t="shared" si="0"/>
        <v>Gdańsk – Izba Skarbowa w Gdańsku</v>
      </c>
      <c r="B62" s="290">
        <v>2201</v>
      </c>
      <c r="C62" s="277" t="s">
        <v>947</v>
      </c>
      <c r="D62" s="277" t="s">
        <v>948</v>
      </c>
      <c r="E62" s="278" t="s">
        <v>949</v>
      </c>
      <c r="F62" s="277" t="s">
        <v>937</v>
      </c>
    </row>
    <row r="63" spans="1:6" x14ac:dyDescent="0.25">
      <c r="A63" s="277" t="str">
        <f t="shared" si="0"/>
        <v>Gdańsk – Pierwszy Urząd Skarbowy w Gdańsku</v>
      </c>
      <c r="B63" s="290">
        <v>2205</v>
      </c>
      <c r="C63" s="277" t="s">
        <v>944</v>
      </c>
      <c r="D63" s="277" t="s">
        <v>945</v>
      </c>
      <c r="E63" s="278" t="s">
        <v>946</v>
      </c>
      <c r="F63" s="277" t="s">
        <v>937</v>
      </c>
    </row>
    <row r="64" spans="1:6" x14ac:dyDescent="0.25">
      <c r="A64" s="277" t="str">
        <f t="shared" si="0"/>
        <v>Gdańsk – Pomorski Urząd Skarbowy w Gdańsku</v>
      </c>
      <c r="B64" s="290">
        <v>2271</v>
      </c>
      <c r="C64" s="277" t="s">
        <v>941</v>
      </c>
      <c r="D64" s="277" t="s">
        <v>942</v>
      </c>
      <c r="E64" s="278" t="s">
        <v>943</v>
      </c>
      <c r="F64" s="277" t="s">
        <v>937</v>
      </c>
    </row>
    <row r="65" spans="1:6" x14ac:dyDescent="0.25">
      <c r="A65" s="277" t="str">
        <f t="shared" si="0"/>
        <v>Gdańsk – Trzeci Urząd Skarbowy w Gdańsku</v>
      </c>
      <c r="B65" s="290">
        <v>2207</v>
      </c>
      <c r="C65" s="277" t="s">
        <v>938</v>
      </c>
      <c r="D65" s="277" t="s">
        <v>939</v>
      </c>
      <c r="E65" s="278" t="s">
        <v>940</v>
      </c>
      <c r="F65" s="277" t="s">
        <v>937</v>
      </c>
    </row>
    <row r="66" spans="1:6" x14ac:dyDescent="0.25">
      <c r="A66" s="277" t="str">
        <f t="shared" ref="A66:A129" si="1">F66&amp;" – "&amp;C66</f>
        <v>Gdynia – Drugi Urząd Skarbowy w Gdyni</v>
      </c>
      <c r="B66" s="290">
        <v>2209</v>
      </c>
      <c r="C66" s="277" t="s">
        <v>950</v>
      </c>
      <c r="D66" s="277" t="s">
        <v>951</v>
      </c>
      <c r="E66" s="278" t="s">
        <v>952</v>
      </c>
      <c r="F66" s="277" t="s">
        <v>953</v>
      </c>
    </row>
    <row r="67" spans="1:6" x14ac:dyDescent="0.25">
      <c r="A67" s="277" t="str">
        <f t="shared" si="1"/>
        <v>Gdynia – Pierwszy Urząd Skarbowy w Gdyni</v>
      </c>
      <c r="B67" s="290">
        <v>2208</v>
      </c>
      <c r="C67" s="277" t="s">
        <v>954</v>
      </c>
      <c r="D67" s="277" t="s">
        <v>955</v>
      </c>
      <c r="E67" s="278" t="s">
        <v>956</v>
      </c>
      <c r="F67" s="277" t="s">
        <v>953</v>
      </c>
    </row>
    <row r="68" spans="1:6" x14ac:dyDescent="0.25">
      <c r="A68" s="277" t="str">
        <f t="shared" si="1"/>
        <v>Giżycko – Urząd Skarbowy w Giżycku</v>
      </c>
      <c r="B68" s="290">
        <v>2807</v>
      </c>
      <c r="C68" s="277" t="s">
        <v>957</v>
      </c>
      <c r="D68" s="277" t="s">
        <v>958</v>
      </c>
      <c r="E68" s="278" t="s">
        <v>959</v>
      </c>
      <c r="F68" s="277" t="s">
        <v>960</v>
      </c>
    </row>
    <row r="69" spans="1:6" x14ac:dyDescent="0.25">
      <c r="A69" s="277" t="str">
        <f t="shared" si="1"/>
        <v>Gliwice – Drugi Urząd Skarbowy w Gliwicach</v>
      </c>
      <c r="B69" s="290">
        <v>2413</v>
      </c>
      <c r="C69" s="277" t="s">
        <v>961</v>
      </c>
      <c r="D69" s="277" t="s">
        <v>962</v>
      </c>
      <c r="E69" s="278" t="s">
        <v>963</v>
      </c>
      <c r="F69" s="277" t="s">
        <v>964</v>
      </c>
    </row>
    <row r="70" spans="1:6" x14ac:dyDescent="0.25">
      <c r="A70" s="277" t="str">
        <f t="shared" si="1"/>
        <v>Gliwice – Pierwszy Urząd Skarbowy w Gliwicach</v>
      </c>
      <c r="B70" s="290">
        <v>2412</v>
      </c>
      <c r="C70" s="277" t="s">
        <v>965</v>
      </c>
      <c r="D70" s="277" t="s">
        <v>966</v>
      </c>
      <c r="E70" s="278" t="s">
        <v>963</v>
      </c>
      <c r="F70" s="277" t="s">
        <v>964</v>
      </c>
    </row>
    <row r="71" spans="1:6" x14ac:dyDescent="0.25">
      <c r="A71" s="277" t="str">
        <f t="shared" si="1"/>
        <v>Głogów – Urząd Skarbowy w Głogowie</v>
      </c>
      <c r="B71" s="290" t="s">
        <v>2268</v>
      </c>
      <c r="C71" s="277" t="s">
        <v>967</v>
      </c>
      <c r="D71" s="277" t="s">
        <v>968</v>
      </c>
      <c r="E71" s="278" t="s">
        <v>969</v>
      </c>
      <c r="F71" s="277" t="s">
        <v>970</v>
      </c>
    </row>
    <row r="72" spans="1:6" x14ac:dyDescent="0.25">
      <c r="A72" s="277" t="str">
        <f t="shared" si="1"/>
        <v>Głowno – Urząd Skarbowy w Głownie</v>
      </c>
      <c r="B72" s="290">
        <v>1004</v>
      </c>
      <c r="C72" s="277" t="s">
        <v>971</v>
      </c>
      <c r="D72" s="277" t="s">
        <v>972</v>
      </c>
      <c r="E72" s="278" t="s">
        <v>973</v>
      </c>
      <c r="F72" s="277" t="s">
        <v>974</v>
      </c>
    </row>
    <row r="73" spans="1:6" x14ac:dyDescent="0.25">
      <c r="A73" s="277" t="str">
        <f t="shared" si="1"/>
        <v>Głubczyce – Urząd Skarbowy w Głubczycach</v>
      </c>
      <c r="B73" s="290">
        <v>1603</v>
      </c>
      <c r="C73" s="277" t="s">
        <v>975</v>
      </c>
      <c r="D73" s="277" t="s">
        <v>976</v>
      </c>
      <c r="E73" s="278" t="s">
        <v>977</v>
      </c>
      <c r="F73" s="277" t="s">
        <v>978</v>
      </c>
    </row>
    <row r="74" spans="1:6" x14ac:dyDescent="0.25">
      <c r="A74" s="277" t="str">
        <f t="shared" si="1"/>
        <v>Gniezno – Urząd Skarbowy w Gnieźnie</v>
      </c>
      <c r="B74" s="290">
        <v>3003</v>
      </c>
      <c r="C74" s="277" t="s">
        <v>979</v>
      </c>
      <c r="D74" s="277" t="s">
        <v>980</v>
      </c>
      <c r="E74" s="278" t="s">
        <v>981</v>
      </c>
      <c r="F74" s="277" t="s">
        <v>982</v>
      </c>
    </row>
    <row r="75" spans="1:6" x14ac:dyDescent="0.25">
      <c r="A75" s="277" t="str">
        <f t="shared" si="1"/>
        <v>Goleniów – Urząd Skarbowy w Goleniowie</v>
      </c>
      <c r="B75" s="290">
        <v>3205</v>
      </c>
      <c r="C75" s="277" t="s">
        <v>983</v>
      </c>
      <c r="D75" s="277" t="s">
        <v>984</v>
      </c>
      <c r="E75" s="278" t="s">
        <v>985</v>
      </c>
      <c r="F75" s="277" t="s">
        <v>986</v>
      </c>
    </row>
    <row r="76" spans="1:6" x14ac:dyDescent="0.25">
      <c r="A76" s="277" t="str">
        <f t="shared" si="1"/>
        <v>Golub-Dobrzyń – Urząd Skarbowy w Golubiu-Dobrzyniu</v>
      </c>
      <c r="B76" s="290" t="s">
        <v>2320</v>
      </c>
      <c r="C76" s="277" t="s">
        <v>987</v>
      </c>
      <c r="D76" s="277" t="s">
        <v>988</v>
      </c>
      <c r="E76" s="278" t="s">
        <v>989</v>
      </c>
      <c r="F76" s="277" t="s">
        <v>990</v>
      </c>
    </row>
    <row r="77" spans="1:6" x14ac:dyDescent="0.25">
      <c r="A77" s="277" t="str">
        <f t="shared" si="1"/>
        <v>Góra – Urząd skarbowy w Górze</v>
      </c>
      <c r="B77" s="290" t="s">
        <v>2296</v>
      </c>
      <c r="C77" s="277" t="s">
        <v>991</v>
      </c>
      <c r="D77" s="277" t="s">
        <v>992</v>
      </c>
      <c r="E77" s="278" t="s">
        <v>993</v>
      </c>
      <c r="F77" s="277" t="s">
        <v>994</v>
      </c>
    </row>
    <row r="78" spans="1:6" x14ac:dyDescent="0.25">
      <c r="A78" s="277" t="str">
        <f t="shared" si="1"/>
        <v>Gorlice – Urząd Skarbowy w Gorlicach</v>
      </c>
      <c r="B78" s="290">
        <v>1206</v>
      </c>
      <c r="C78" s="277" t="s">
        <v>995</v>
      </c>
      <c r="D78" s="277" t="s">
        <v>996</v>
      </c>
      <c r="E78" s="278" t="s">
        <v>997</v>
      </c>
      <c r="F78" s="277" t="s">
        <v>998</v>
      </c>
    </row>
    <row r="79" spans="1:6" x14ac:dyDescent="0.25">
      <c r="A79" s="277" t="str">
        <f t="shared" si="1"/>
        <v>Gorzów Wlkp. – Urząd Skarbowy w Gorzowie Wlkp.</v>
      </c>
      <c r="B79" s="290" t="s">
        <v>2347</v>
      </c>
      <c r="C79" s="277" t="s">
        <v>999</v>
      </c>
      <c r="D79" s="277" t="s">
        <v>1000</v>
      </c>
      <c r="E79" s="278" t="s">
        <v>1001</v>
      </c>
      <c r="F79" s="277" t="s">
        <v>1002</v>
      </c>
    </row>
    <row r="80" spans="1:6" x14ac:dyDescent="0.25">
      <c r="A80" s="277" t="str">
        <f t="shared" si="1"/>
        <v>Gostyń – Urząd Skarbowy w Gostyniu</v>
      </c>
      <c r="B80" s="290">
        <v>3004</v>
      </c>
      <c r="C80" s="277" t="s">
        <v>1003</v>
      </c>
      <c r="D80" s="277" t="s">
        <v>1004</v>
      </c>
      <c r="E80" s="278" t="s">
        <v>1005</v>
      </c>
      <c r="F80" s="277" t="s">
        <v>1006</v>
      </c>
    </row>
    <row r="81" spans="1:6" x14ac:dyDescent="0.25">
      <c r="A81" s="277" t="str">
        <f t="shared" si="1"/>
        <v>Gostynin – Urząd Skarbowy w Gostyninie</v>
      </c>
      <c r="B81" s="290">
        <v>1405</v>
      </c>
      <c r="C81" s="277" t="s">
        <v>1007</v>
      </c>
      <c r="D81" s="277" t="s">
        <v>1008</v>
      </c>
      <c r="E81" s="278" t="s">
        <v>1009</v>
      </c>
      <c r="F81" s="277" t="s">
        <v>1010</v>
      </c>
    </row>
    <row r="82" spans="1:6" x14ac:dyDescent="0.25">
      <c r="A82" s="277" t="str">
        <f t="shared" si="1"/>
        <v>Grajewo – Urząd Skarbowy w Grajewie</v>
      </c>
      <c r="B82" s="290">
        <v>2006</v>
      </c>
      <c r="C82" s="277" t="s">
        <v>1011</v>
      </c>
      <c r="D82" s="277" t="s">
        <v>1012</v>
      </c>
      <c r="E82" s="278" t="s">
        <v>1013</v>
      </c>
      <c r="F82" s="277" t="s">
        <v>1014</v>
      </c>
    </row>
    <row r="83" spans="1:6" x14ac:dyDescent="0.25">
      <c r="A83" s="277" t="str">
        <f t="shared" si="1"/>
        <v>Grodzisk Mazowiecki – Urząd Skarbowy w Grodzisku Mazowieckim</v>
      </c>
      <c r="B83" s="290">
        <v>1406</v>
      </c>
      <c r="C83" s="277" t="s">
        <v>1015</v>
      </c>
      <c r="D83" s="277" t="s">
        <v>1016</v>
      </c>
      <c r="E83" s="278" t="s">
        <v>1017</v>
      </c>
      <c r="F83" s="277" t="s">
        <v>1018</v>
      </c>
    </row>
    <row r="84" spans="1:6" x14ac:dyDescent="0.25">
      <c r="A84" s="277" t="str">
        <f t="shared" si="1"/>
        <v>Grodzisk Wielkopolski – Urząd Skarbowy w Grodzisku Wielkopolskim</v>
      </c>
      <c r="B84" s="290">
        <v>3005</v>
      </c>
      <c r="C84" s="277" t="s">
        <v>1019</v>
      </c>
      <c r="D84" s="277" t="s">
        <v>1020</v>
      </c>
      <c r="E84" s="278" t="s">
        <v>1021</v>
      </c>
      <c r="F84" s="277" t="s">
        <v>1022</v>
      </c>
    </row>
    <row r="85" spans="1:6" x14ac:dyDescent="0.25">
      <c r="A85" s="277" t="str">
        <f t="shared" si="1"/>
        <v>Grójec – Urząd Skarbowy w Grójcu</v>
      </c>
      <c r="B85" s="290">
        <v>1407</v>
      </c>
      <c r="C85" s="277" t="s">
        <v>1023</v>
      </c>
      <c r="D85" s="277" t="s">
        <v>1024</v>
      </c>
      <c r="E85" s="278" t="s">
        <v>1025</v>
      </c>
      <c r="F85" s="277" t="s">
        <v>1026</v>
      </c>
    </row>
    <row r="86" spans="1:6" x14ac:dyDescent="0.25">
      <c r="A86" s="277" t="str">
        <f t="shared" si="1"/>
        <v>Grudziądz – Urząd Skarbowy w Grudziądzu</v>
      </c>
      <c r="B86" s="290" t="s">
        <v>2306</v>
      </c>
      <c r="C86" s="277" t="s">
        <v>1027</v>
      </c>
      <c r="D86" s="277" t="s">
        <v>1028</v>
      </c>
      <c r="E86" s="278" t="s">
        <v>1029</v>
      </c>
      <c r="F86" s="277" t="s">
        <v>1030</v>
      </c>
    </row>
    <row r="87" spans="1:6" x14ac:dyDescent="0.25">
      <c r="A87" s="277" t="str">
        <f t="shared" si="1"/>
        <v>Gryfice – Urząd Skarbowy w Gryficach</v>
      </c>
      <c r="B87" s="290">
        <v>3206</v>
      </c>
      <c r="C87" s="277" t="s">
        <v>1031</v>
      </c>
      <c r="D87" s="277" t="s">
        <v>1032</v>
      </c>
      <c r="E87" s="278" t="s">
        <v>1033</v>
      </c>
      <c r="F87" s="277" t="s">
        <v>1034</v>
      </c>
    </row>
    <row r="88" spans="1:6" x14ac:dyDescent="0.25">
      <c r="A88" s="277" t="str">
        <f t="shared" si="1"/>
        <v>Gryfino – Urząd Skarbowy w Gryfinie</v>
      </c>
      <c r="B88" s="290">
        <v>3207</v>
      </c>
      <c r="C88" s="277" t="s">
        <v>1035</v>
      </c>
      <c r="D88" s="277" t="s">
        <v>1036</v>
      </c>
      <c r="E88" s="278" t="s">
        <v>1037</v>
      </c>
      <c r="F88" s="277" t="s">
        <v>1038</v>
      </c>
    </row>
    <row r="89" spans="1:6" x14ac:dyDescent="0.25">
      <c r="A89" s="277" t="str">
        <f t="shared" si="1"/>
        <v>Hajnówka – Urząd Skarbowy w Hajnówce</v>
      </c>
      <c r="B89" s="290">
        <v>2015</v>
      </c>
      <c r="C89" s="277" t="s">
        <v>1039</v>
      </c>
      <c r="D89" s="277" t="s">
        <v>1040</v>
      </c>
      <c r="E89" s="278" t="s">
        <v>1041</v>
      </c>
      <c r="F89" s="277" t="s">
        <v>1042</v>
      </c>
    </row>
    <row r="90" spans="1:6" x14ac:dyDescent="0.25">
      <c r="A90" s="277" t="str">
        <f t="shared" si="1"/>
        <v>Hrubieszów – Urząd Skarbowy w Hrubieszowie</v>
      </c>
      <c r="B90" s="290" t="s">
        <v>2327</v>
      </c>
      <c r="C90" s="277" t="s">
        <v>1043</v>
      </c>
      <c r="D90" s="277" t="s">
        <v>1044</v>
      </c>
      <c r="E90" s="278" t="s">
        <v>1045</v>
      </c>
      <c r="F90" s="277" t="s">
        <v>1046</v>
      </c>
    </row>
    <row r="91" spans="1:6" x14ac:dyDescent="0.25">
      <c r="A91" s="277" t="str">
        <f t="shared" si="1"/>
        <v>Iława – Urząd Skarbowy w Iławie</v>
      </c>
      <c r="B91" s="290">
        <v>2808</v>
      </c>
      <c r="C91" s="277" t="s">
        <v>1047</v>
      </c>
      <c r="D91" s="277" t="s">
        <v>1048</v>
      </c>
      <c r="E91" s="278" t="s">
        <v>1049</v>
      </c>
      <c r="F91" s="277" t="s">
        <v>1050</v>
      </c>
    </row>
    <row r="92" spans="1:6" x14ac:dyDescent="0.25">
      <c r="A92" s="277" t="str">
        <f t="shared" si="1"/>
        <v>Inowrocław – Urząd Skarbowy w Inowrocławiu</v>
      </c>
      <c r="B92" s="290" t="s">
        <v>2307</v>
      </c>
      <c r="C92" s="277" t="s">
        <v>1051</v>
      </c>
      <c r="D92" s="277" t="s">
        <v>1052</v>
      </c>
      <c r="E92" s="278" t="s">
        <v>1053</v>
      </c>
      <c r="F92" s="277" t="s">
        <v>1054</v>
      </c>
    </row>
    <row r="93" spans="1:6" x14ac:dyDescent="0.25">
      <c r="A93" s="277" t="str">
        <f t="shared" si="1"/>
        <v>Janów Lubelski – Urząd Skarbowy w Janowie Lubelskim</v>
      </c>
      <c r="B93" s="290" t="s">
        <v>2328</v>
      </c>
      <c r="C93" s="277" t="s">
        <v>1055</v>
      </c>
      <c r="D93" s="277" t="s">
        <v>1056</v>
      </c>
      <c r="E93" s="278" t="s">
        <v>1057</v>
      </c>
      <c r="F93" s="277" t="s">
        <v>1058</v>
      </c>
    </row>
    <row r="94" spans="1:6" x14ac:dyDescent="0.25">
      <c r="A94" s="277" t="str">
        <f t="shared" si="1"/>
        <v>Jarocin – Urząd Skarbowy w Jarocinie</v>
      </c>
      <c r="B94" s="290">
        <v>3006</v>
      </c>
      <c r="C94" s="277" t="s">
        <v>1059</v>
      </c>
      <c r="D94" s="277" t="s">
        <v>1060</v>
      </c>
      <c r="E94" s="278" t="s">
        <v>1061</v>
      </c>
      <c r="F94" s="277" t="s">
        <v>1062</v>
      </c>
    </row>
    <row r="95" spans="1:6" x14ac:dyDescent="0.25">
      <c r="A95" s="277" t="str">
        <f t="shared" si="1"/>
        <v>Jarosław – Urząd Skarbowy w Jarosławiu</v>
      </c>
      <c r="B95" s="290">
        <v>1804</v>
      </c>
      <c r="C95" s="277" t="s">
        <v>1063</v>
      </c>
      <c r="D95" s="277" t="s">
        <v>1064</v>
      </c>
      <c r="E95" s="278" t="s">
        <v>1065</v>
      </c>
      <c r="F95" s="277" t="s">
        <v>1066</v>
      </c>
    </row>
    <row r="96" spans="1:6" x14ac:dyDescent="0.25">
      <c r="A96" s="277" t="str">
        <f t="shared" si="1"/>
        <v>Jasło – Urząd Skarbowy w Jaśle</v>
      </c>
      <c r="B96" s="290">
        <v>1805</v>
      </c>
      <c r="C96" s="277" t="s">
        <v>1067</v>
      </c>
      <c r="D96" s="277" t="s">
        <v>1068</v>
      </c>
      <c r="E96" s="278" t="s">
        <v>1069</v>
      </c>
      <c r="F96" s="277" t="s">
        <v>1070</v>
      </c>
    </row>
    <row r="97" spans="1:6" x14ac:dyDescent="0.25">
      <c r="A97" s="277" t="str">
        <f t="shared" si="1"/>
        <v>Jastrzębie-Zdrój – Urząd Skarbowy w Jastrzębiu-Zdroju</v>
      </c>
      <c r="B97" s="290">
        <v>2414</v>
      </c>
      <c r="C97" s="277" t="s">
        <v>1071</v>
      </c>
      <c r="D97" s="277" t="s">
        <v>1072</v>
      </c>
      <c r="E97" s="278" t="s">
        <v>1073</v>
      </c>
      <c r="F97" s="277" t="s">
        <v>1074</v>
      </c>
    </row>
    <row r="98" spans="1:6" x14ac:dyDescent="0.25">
      <c r="A98" s="277" t="str">
        <f t="shared" si="1"/>
        <v>Jawor – Urząd Skarbowy w Jaworze</v>
      </c>
      <c r="B98" s="290" t="s">
        <v>2269</v>
      </c>
      <c r="C98" s="277" t="s">
        <v>1075</v>
      </c>
      <c r="D98" s="277" t="s">
        <v>1076</v>
      </c>
      <c r="E98" s="278" t="s">
        <v>1077</v>
      </c>
      <c r="F98" s="277" t="s">
        <v>1078</v>
      </c>
    </row>
    <row r="99" spans="1:6" x14ac:dyDescent="0.25">
      <c r="A99" s="277" t="str">
        <f t="shared" si="1"/>
        <v>Jaworzno – Urząd Skarbowy w Jaworznie</v>
      </c>
      <c r="B99" s="290">
        <v>2415</v>
      </c>
      <c r="C99" s="277" t="s">
        <v>1079</v>
      </c>
      <c r="D99" s="277" t="s">
        <v>1080</v>
      </c>
      <c r="E99" s="278" t="s">
        <v>1081</v>
      </c>
      <c r="F99" s="277" t="s">
        <v>1082</v>
      </c>
    </row>
    <row r="100" spans="1:6" x14ac:dyDescent="0.25">
      <c r="A100" s="277" t="str">
        <f t="shared" si="1"/>
        <v>Jędrzejów – Urząd Skarbowy w Jędrzejowie</v>
      </c>
      <c r="B100" s="290">
        <v>2603</v>
      </c>
      <c r="C100" s="277" t="s">
        <v>1083</v>
      </c>
      <c r="D100" s="277" t="s">
        <v>1084</v>
      </c>
      <c r="E100" s="278" t="s">
        <v>1085</v>
      </c>
      <c r="F100" s="277" t="s">
        <v>1086</v>
      </c>
    </row>
    <row r="101" spans="1:6" x14ac:dyDescent="0.25">
      <c r="A101" s="277" t="str">
        <f t="shared" si="1"/>
        <v>Jelenia Góra – Urząd Skarbowy w  Jeleniej Górze</v>
      </c>
      <c r="B101" s="290" t="s">
        <v>2270</v>
      </c>
      <c r="C101" s="277" t="s">
        <v>1087</v>
      </c>
      <c r="D101" s="277" t="s">
        <v>1088</v>
      </c>
      <c r="E101" s="278" t="s">
        <v>1089</v>
      </c>
      <c r="F101" s="277" t="s">
        <v>1090</v>
      </c>
    </row>
    <row r="102" spans="1:6" x14ac:dyDescent="0.25">
      <c r="A102" s="277" t="str">
        <f t="shared" si="1"/>
        <v>Kalisz – Drugi Urząd Skarbowy w Kaliszu</v>
      </c>
      <c r="B102" s="290">
        <v>3008</v>
      </c>
      <c r="C102" s="277" t="s">
        <v>1091</v>
      </c>
      <c r="D102" s="277" t="s">
        <v>1092</v>
      </c>
      <c r="E102" s="278" t="s">
        <v>1093</v>
      </c>
      <c r="F102" s="277" t="s">
        <v>1094</v>
      </c>
    </row>
    <row r="103" spans="1:6" x14ac:dyDescent="0.25">
      <c r="A103" s="277" t="str">
        <f t="shared" si="1"/>
        <v>Kalisz – Drugi Wielkopolski Urząd Skarbowy w Kaliszu</v>
      </c>
      <c r="B103" s="290">
        <v>3072</v>
      </c>
      <c r="C103" s="277" t="s">
        <v>1095</v>
      </c>
      <c r="D103" s="277" t="s">
        <v>1096</v>
      </c>
      <c r="E103" s="278" t="s">
        <v>1093</v>
      </c>
      <c r="F103" s="277" t="s">
        <v>1094</v>
      </c>
    </row>
    <row r="104" spans="1:6" x14ac:dyDescent="0.25">
      <c r="A104" s="277" t="str">
        <f t="shared" si="1"/>
        <v>Kalisz – Pierwszy Urząd Skarbowy w Kaliszu</v>
      </c>
      <c r="B104" s="290">
        <v>3007</v>
      </c>
      <c r="C104" s="277" t="s">
        <v>1097</v>
      </c>
      <c r="D104" s="277" t="s">
        <v>1098</v>
      </c>
      <c r="E104" s="278" t="s">
        <v>1093</v>
      </c>
      <c r="F104" s="277" t="s">
        <v>1094</v>
      </c>
    </row>
    <row r="105" spans="1:6" x14ac:dyDescent="0.25">
      <c r="A105" s="277" t="str">
        <f t="shared" si="1"/>
        <v>Kamień Pomorski – Urząd Skarbowy w Kamieniu Pomorskim</v>
      </c>
      <c r="B105" s="290">
        <v>3208</v>
      </c>
      <c r="C105" s="277" t="s">
        <v>1099</v>
      </c>
      <c r="D105" s="277" t="s">
        <v>1100</v>
      </c>
      <c r="E105" s="278" t="s">
        <v>1101</v>
      </c>
      <c r="F105" s="277" t="s">
        <v>1102</v>
      </c>
    </row>
    <row r="106" spans="1:6" x14ac:dyDescent="0.25">
      <c r="A106" s="277" t="str">
        <f t="shared" si="1"/>
        <v>Kamienna Góra – Urząd Skarbowy w Kamiennej Górze</v>
      </c>
      <c r="B106" s="290" t="s">
        <v>2271</v>
      </c>
      <c r="C106" s="277" t="s">
        <v>1103</v>
      </c>
      <c r="D106" s="277" t="s">
        <v>1104</v>
      </c>
      <c r="E106" s="278" t="s">
        <v>1105</v>
      </c>
      <c r="F106" s="277" t="s">
        <v>1106</v>
      </c>
    </row>
    <row r="107" spans="1:6" x14ac:dyDescent="0.25">
      <c r="A107" s="277" t="str">
        <f t="shared" si="1"/>
        <v>Kartuzy – Urząd Skarbowy w Kartuzach</v>
      </c>
      <c r="B107" s="290">
        <v>2210</v>
      </c>
      <c r="C107" s="277" t="s">
        <v>1107</v>
      </c>
      <c r="D107" s="277" t="s">
        <v>1108</v>
      </c>
      <c r="E107" s="278" t="s">
        <v>1109</v>
      </c>
      <c r="F107" s="277" t="s">
        <v>1110</v>
      </c>
    </row>
    <row r="108" spans="1:6" x14ac:dyDescent="0.25">
      <c r="A108" s="277" t="str">
        <f t="shared" si="1"/>
        <v>Katowice – Drugi Urząd Skarbowy w Katowicach</v>
      </c>
      <c r="B108" s="290">
        <v>2417</v>
      </c>
      <c r="C108" s="277" t="s">
        <v>1118</v>
      </c>
      <c r="D108" s="277" t="s">
        <v>1119</v>
      </c>
      <c r="E108" s="278" t="s">
        <v>1120</v>
      </c>
      <c r="F108" s="277" t="s">
        <v>1114</v>
      </c>
    </row>
    <row r="109" spans="1:6" x14ac:dyDescent="0.25">
      <c r="A109" s="277" t="str">
        <f t="shared" si="1"/>
        <v>Katowice – Izba Skarbowa w Katowicach</v>
      </c>
      <c r="B109" s="290">
        <v>2401</v>
      </c>
      <c r="C109" s="277" t="s">
        <v>1111</v>
      </c>
      <c r="D109" s="277" t="s">
        <v>1112</v>
      </c>
      <c r="E109" s="278" t="s">
        <v>1113</v>
      </c>
      <c r="F109" s="277" t="s">
        <v>1114</v>
      </c>
    </row>
    <row r="110" spans="1:6" x14ac:dyDescent="0.25">
      <c r="A110" s="277" t="str">
        <f t="shared" si="1"/>
        <v>Katowice – Pierwszy Urząd Skarbowy w Katowicach</v>
      </c>
      <c r="B110" s="290">
        <v>2416</v>
      </c>
      <c r="C110" s="277" t="s">
        <v>1115</v>
      </c>
      <c r="D110" s="277" t="s">
        <v>1116</v>
      </c>
      <c r="E110" s="278" t="s">
        <v>1117</v>
      </c>
      <c r="F110" s="277" t="s">
        <v>1114</v>
      </c>
    </row>
    <row r="111" spans="1:6" x14ac:dyDescent="0.25">
      <c r="A111" s="277" t="str">
        <f t="shared" si="1"/>
        <v>Kazimierza Wielka – Urząd Skarbowy w Kazimierzy Wielkiej</v>
      </c>
      <c r="B111" s="290">
        <v>2614</v>
      </c>
      <c r="C111" s="277" t="s">
        <v>1121</v>
      </c>
      <c r="D111" s="277" t="s">
        <v>1122</v>
      </c>
      <c r="E111" s="278" t="s">
        <v>1123</v>
      </c>
      <c r="F111" s="277" t="s">
        <v>1124</v>
      </c>
    </row>
    <row r="112" spans="1:6" x14ac:dyDescent="0.25">
      <c r="A112" s="277" t="str">
        <f t="shared" si="1"/>
        <v>Kędzierzyn-Koźle – Urząd Skarbowy w Kędzierzynie-Koźlu</v>
      </c>
      <c r="B112" s="290">
        <v>1604</v>
      </c>
      <c r="C112" s="277" t="s">
        <v>1125</v>
      </c>
      <c r="D112" s="277" t="s">
        <v>1126</v>
      </c>
      <c r="E112" s="278" t="s">
        <v>1127</v>
      </c>
      <c r="F112" s="277" t="s">
        <v>1128</v>
      </c>
    </row>
    <row r="113" spans="1:6" x14ac:dyDescent="0.25">
      <c r="A113" s="277" t="str">
        <f t="shared" si="1"/>
        <v>Kępno – Urząd Skarbowy w Kępnie</v>
      </c>
      <c r="B113" s="290">
        <v>3009</v>
      </c>
      <c r="C113" s="277" t="s">
        <v>1129</v>
      </c>
      <c r="D113" s="277" t="s">
        <v>1130</v>
      </c>
      <c r="E113" s="278" t="s">
        <v>1131</v>
      </c>
      <c r="F113" s="277" t="s">
        <v>1132</v>
      </c>
    </row>
    <row r="114" spans="1:6" x14ac:dyDescent="0.25">
      <c r="A114" s="277" t="str">
        <f t="shared" si="1"/>
        <v>Kętrzyn – Urząd Skarbowy w Kętrzynie</v>
      </c>
      <c r="B114" s="290">
        <v>2809</v>
      </c>
      <c r="C114" s="277" t="s">
        <v>1133</v>
      </c>
      <c r="D114" s="277" t="s">
        <v>1134</v>
      </c>
      <c r="E114" s="278" t="s">
        <v>1135</v>
      </c>
      <c r="F114" s="277" t="s">
        <v>1136</v>
      </c>
    </row>
    <row r="115" spans="1:6" x14ac:dyDescent="0.25">
      <c r="A115" s="277" t="str">
        <f t="shared" si="1"/>
        <v>Kielce – Drugi Urząd Skarbowy w Kielcach</v>
      </c>
      <c r="B115" s="290">
        <v>2605</v>
      </c>
      <c r="C115" s="277" t="s">
        <v>1141</v>
      </c>
      <c r="D115" s="277" t="s">
        <v>1142</v>
      </c>
      <c r="E115" s="278" t="s">
        <v>1143</v>
      </c>
      <c r="F115" s="277" t="s">
        <v>1140</v>
      </c>
    </row>
    <row r="116" spans="1:6" x14ac:dyDescent="0.25">
      <c r="A116" s="277" t="str">
        <f t="shared" si="1"/>
        <v>Kielce – Izba Skarbowa w Kielcach</v>
      </c>
      <c r="B116" s="290">
        <v>2601</v>
      </c>
      <c r="C116" s="277" t="s">
        <v>1137</v>
      </c>
      <c r="D116" s="277" t="s">
        <v>1138</v>
      </c>
      <c r="E116" s="278" t="s">
        <v>1139</v>
      </c>
      <c r="F116" s="277" t="s">
        <v>1140</v>
      </c>
    </row>
    <row r="117" spans="1:6" x14ac:dyDescent="0.25">
      <c r="A117" s="277" t="str">
        <f t="shared" si="1"/>
        <v>Kielce – Pierwszy Urząd Skarbowy w Kielcach</v>
      </c>
      <c r="B117" s="290">
        <v>2604</v>
      </c>
      <c r="C117" s="277" t="s">
        <v>1145</v>
      </c>
      <c r="D117" s="277" t="s">
        <v>1146</v>
      </c>
      <c r="E117" s="278" t="s">
        <v>1147</v>
      </c>
      <c r="F117" s="277" t="s">
        <v>1140</v>
      </c>
    </row>
    <row r="118" spans="1:6" x14ac:dyDescent="0.25">
      <c r="A118" s="277" t="str">
        <f t="shared" si="1"/>
        <v>Kielce – Świętokrzyski Urząd Skarbowy w Kielcach</v>
      </c>
      <c r="B118" s="290">
        <v>2671</v>
      </c>
      <c r="C118" s="277" t="s">
        <v>1144</v>
      </c>
      <c r="D118" s="277" t="s">
        <v>1142</v>
      </c>
      <c r="E118" s="278" t="s">
        <v>1143</v>
      </c>
      <c r="F118" s="277" t="s">
        <v>1140</v>
      </c>
    </row>
    <row r="119" spans="1:6" x14ac:dyDescent="0.25">
      <c r="A119" s="277" t="str">
        <f t="shared" si="1"/>
        <v>Kłobuck – Urząd Skarbowy w Kłobucku</v>
      </c>
      <c r="B119" s="290">
        <v>2418</v>
      </c>
      <c r="C119" s="277" t="s">
        <v>1148</v>
      </c>
      <c r="D119" s="277" t="s">
        <v>1149</v>
      </c>
      <c r="E119" s="278" t="s">
        <v>1150</v>
      </c>
      <c r="F119" s="277" t="s">
        <v>1151</v>
      </c>
    </row>
    <row r="120" spans="1:6" x14ac:dyDescent="0.25">
      <c r="A120" s="277" t="str">
        <f t="shared" si="1"/>
        <v>Kłodzko – Urząd Skarbowy w  Kłodzku</v>
      </c>
      <c r="B120" s="290" t="s">
        <v>2272</v>
      </c>
      <c r="C120" s="277" t="s">
        <v>1152</v>
      </c>
      <c r="D120" s="277" t="s">
        <v>1153</v>
      </c>
      <c r="E120" s="278" t="s">
        <v>1154</v>
      </c>
      <c r="F120" s="277" t="s">
        <v>1155</v>
      </c>
    </row>
    <row r="121" spans="1:6" x14ac:dyDescent="0.25">
      <c r="A121" s="277" t="str">
        <f t="shared" si="1"/>
        <v>Kluczbork – Urząd Skarbowy w Kluczborku</v>
      </c>
      <c r="B121" s="290">
        <v>1605</v>
      </c>
      <c r="C121" s="277" t="s">
        <v>1156</v>
      </c>
      <c r="D121" s="277" t="s">
        <v>1157</v>
      </c>
      <c r="E121" s="278" t="s">
        <v>1158</v>
      </c>
      <c r="F121" s="277" t="s">
        <v>1159</v>
      </c>
    </row>
    <row r="122" spans="1:6" x14ac:dyDescent="0.25">
      <c r="A122" s="277" t="str">
        <f t="shared" si="1"/>
        <v>Kolbuszowa – Urząd Skarbowy w Kolbuszowej</v>
      </c>
      <c r="B122" s="290">
        <v>1806</v>
      </c>
      <c r="C122" s="277" t="s">
        <v>1160</v>
      </c>
      <c r="D122" s="277" t="s">
        <v>1161</v>
      </c>
      <c r="E122" s="278" t="s">
        <v>1162</v>
      </c>
      <c r="F122" s="277" t="s">
        <v>1163</v>
      </c>
    </row>
    <row r="123" spans="1:6" x14ac:dyDescent="0.25">
      <c r="A123" s="277" t="str">
        <f t="shared" si="1"/>
        <v>Kolno – Urząd Skarbowy w Kolnie</v>
      </c>
      <c r="B123" s="290">
        <v>2007</v>
      </c>
      <c r="C123" s="277" t="s">
        <v>1164</v>
      </c>
      <c r="D123" s="277" t="s">
        <v>1165</v>
      </c>
      <c r="E123" s="278" t="s">
        <v>1166</v>
      </c>
      <c r="F123" s="277" t="s">
        <v>1167</v>
      </c>
    </row>
    <row r="124" spans="1:6" x14ac:dyDescent="0.25">
      <c r="A124" s="277" t="str">
        <f t="shared" si="1"/>
        <v>Koło – Urząd Skarbowy w Kole</v>
      </c>
      <c r="B124" s="290">
        <v>3010</v>
      </c>
      <c r="C124" s="277" t="s">
        <v>1168</v>
      </c>
      <c r="D124" s="277" t="s">
        <v>1169</v>
      </c>
      <c r="E124" s="278" t="s">
        <v>1170</v>
      </c>
      <c r="F124" s="277" t="s">
        <v>1171</v>
      </c>
    </row>
    <row r="125" spans="1:6" x14ac:dyDescent="0.25">
      <c r="A125" s="277" t="str">
        <f t="shared" si="1"/>
        <v>Kołobrzeg – Urząd Skarbowy w Kołobrzegu</v>
      </c>
      <c r="B125" s="290">
        <v>3209</v>
      </c>
      <c r="C125" s="277" t="s">
        <v>1172</v>
      </c>
      <c r="D125" s="277" t="s">
        <v>1173</v>
      </c>
      <c r="E125" s="278" t="s">
        <v>1174</v>
      </c>
      <c r="F125" s="277" t="s">
        <v>1175</v>
      </c>
    </row>
    <row r="126" spans="1:6" x14ac:dyDescent="0.25">
      <c r="A126" s="277" t="str">
        <f t="shared" si="1"/>
        <v>Konin – Urząd Skarbowy w Koninie</v>
      </c>
      <c r="B126" s="290">
        <v>3011</v>
      </c>
      <c r="C126" s="277" t="s">
        <v>1176</v>
      </c>
      <c r="D126" s="277" t="s">
        <v>1177</v>
      </c>
      <c r="E126" s="278" t="s">
        <v>1178</v>
      </c>
      <c r="F126" s="277" t="s">
        <v>1179</v>
      </c>
    </row>
    <row r="127" spans="1:6" x14ac:dyDescent="0.25">
      <c r="A127" s="277" t="str">
        <f t="shared" si="1"/>
        <v>Końskie – Urząd Skarbowy w Końskich</v>
      </c>
      <c r="B127" s="290">
        <v>2606</v>
      </c>
      <c r="C127" s="277" t="s">
        <v>1180</v>
      </c>
      <c r="D127" s="277" t="s">
        <v>1181</v>
      </c>
      <c r="E127" s="278" t="s">
        <v>1182</v>
      </c>
      <c r="F127" s="277" t="s">
        <v>1183</v>
      </c>
    </row>
    <row r="128" spans="1:6" x14ac:dyDescent="0.25">
      <c r="A128" s="277" t="str">
        <f t="shared" si="1"/>
        <v>Kościan – Urząd Skarbowy w Kościanie</v>
      </c>
      <c r="B128" s="290">
        <v>3012</v>
      </c>
      <c r="C128" s="277" t="s">
        <v>1184</v>
      </c>
      <c r="D128" s="277" t="s">
        <v>1185</v>
      </c>
      <c r="E128" s="278" t="s">
        <v>1186</v>
      </c>
      <c r="F128" s="277" t="s">
        <v>1187</v>
      </c>
    </row>
    <row r="129" spans="1:6" x14ac:dyDescent="0.25">
      <c r="A129" s="277" t="str">
        <f t="shared" si="1"/>
        <v>Kościerzyna – Urząd Skarbowy w Kościerzynie</v>
      </c>
      <c r="B129" s="290">
        <v>2211</v>
      </c>
      <c r="C129" s="277" t="s">
        <v>1188</v>
      </c>
      <c r="D129" s="277" t="s">
        <v>1189</v>
      </c>
      <c r="E129" s="278" t="s">
        <v>1190</v>
      </c>
      <c r="F129" s="277" t="s">
        <v>1191</v>
      </c>
    </row>
    <row r="130" spans="1:6" x14ac:dyDescent="0.25">
      <c r="A130" s="277" t="str">
        <f t="shared" ref="A130:A193" si="2">F130&amp;" – "&amp;C130</f>
        <v>Koszalin – Drugi Urząd Skarbowy w Koszalinie</v>
      </c>
      <c r="B130" s="290">
        <v>3211</v>
      </c>
      <c r="C130" s="277" t="s">
        <v>1196</v>
      </c>
      <c r="D130" s="277" t="s">
        <v>1197</v>
      </c>
      <c r="E130" s="278" t="s">
        <v>1198</v>
      </c>
      <c r="F130" s="277" t="s">
        <v>1195</v>
      </c>
    </row>
    <row r="131" spans="1:6" x14ac:dyDescent="0.25">
      <c r="A131" s="277" t="str">
        <f t="shared" si="2"/>
        <v>Koszalin – Pierwszy Urząd Skarbowy w Koszalinie</v>
      </c>
      <c r="B131" s="290">
        <v>3210</v>
      </c>
      <c r="C131" s="277" t="s">
        <v>1192</v>
      </c>
      <c r="D131" s="277" t="s">
        <v>1193</v>
      </c>
      <c r="E131" s="278" t="s">
        <v>1194</v>
      </c>
      <c r="F131" s="277" t="s">
        <v>1195</v>
      </c>
    </row>
    <row r="132" spans="1:6" x14ac:dyDescent="0.25">
      <c r="A132" s="277" t="str">
        <f t="shared" si="2"/>
        <v>Kozienice – Urząd Skarbowy w Kozienicach</v>
      </c>
      <c r="B132" s="290">
        <v>1408</v>
      </c>
      <c r="C132" s="277" t="s">
        <v>1199</v>
      </c>
      <c r="D132" s="277" t="s">
        <v>1200</v>
      </c>
      <c r="E132" s="278" t="s">
        <v>1201</v>
      </c>
      <c r="F132" s="277" t="s">
        <v>1202</v>
      </c>
    </row>
    <row r="133" spans="1:6" x14ac:dyDescent="0.25">
      <c r="A133" s="277" t="str">
        <f t="shared" si="2"/>
        <v>Kraków – Drugi Urząd Skarbowy Kraków</v>
      </c>
      <c r="B133" s="290">
        <v>1228</v>
      </c>
      <c r="C133" s="277" t="s">
        <v>1214</v>
      </c>
      <c r="D133" s="277" t="s">
        <v>1215</v>
      </c>
      <c r="E133" s="278" t="s">
        <v>1216</v>
      </c>
      <c r="F133" s="277" t="s">
        <v>551</v>
      </c>
    </row>
    <row r="134" spans="1:6" x14ac:dyDescent="0.25">
      <c r="A134" s="277" t="str">
        <f t="shared" si="2"/>
        <v>Kraków – Izba Skarbowa w Krakowie</v>
      </c>
      <c r="B134" s="290">
        <v>1201</v>
      </c>
      <c r="C134" s="277" t="s">
        <v>1212</v>
      </c>
      <c r="D134" s="277" t="s">
        <v>1213</v>
      </c>
      <c r="E134" s="278" t="s">
        <v>1211</v>
      </c>
      <c r="F134" s="277" t="s">
        <v>551</v>
      </c>
    </row>
    <row r="135" spans="1:6" x14ac:dyDescent="0.25">
      <c r="A135" s="277" t="str">
        <f t="shared" si="2"/>
        <v>Kraków – Małopolski Urząd Skarbowy</v>
      </c>
      <c r="B135" s="290">
        <v>1271</v>
      </c>
      <c r="C135" s="277" t="s">
        <v>1220</v>
      </c>
      <c r="D135" s="277" t="s">
        <v>1221</v>
      </c>
      <c r="E135" s="278" t="s">
        <v>1222</v>
      </c>
      <c r="F135" s="277" t="s">
        <v>551</v>
      </c>
    </row>
    <row r="136" spans="1:6" x14ac:dyDescent="0.25">
      <c r="A136" s="277" t="str">
        <f t="shared" si="2"/>
        <v>Kraków – Pierwszy Urząd Skarbowy Kraków</v>
      </c>
      <c r="B136" s="290">
        <v>1207</v>
      </c>
      <c r="C136" s="277" t="s">
        <v>1203</v>
      </c>
      <c r="D136" s="277" t="s">
        <v>1204</v>
      </c>
      <c r="E136" s="278" t="s">
        <v>1205</v>
      </c>
      <c r="F136" s="277" t="s">
        <v>551</v>
      </c>
    </row>
    <row r="137" spans="1:6" x14ac:dyDescent="0.25">
      <c r="A137" s="277" t="str">
        <f t="shared" si="2"/>
        <v>Kraków – Urząd Skarbowy Kraków - Krowodrza</v>
      </c>
      <c r="B137" s="290">
        <v>1208</v>
      </c>
      <c r="C137" s="277" t="s">
        <v>1217</v>
      </c>
      <c r="D137" s="277" t="s">
        <v>1215</v>
      </c>
      <c r="E137" s="278" t="s">
        <v>1216</v>
      </c>
      <c r="F137" s="277" t="s">
        <v>551</v>
      </c>
    </row>
    <row r="138" spans="1:6" x14ac:dyDescent="0.25">
      <c r="A138" s="277" t="str">
        <f t="shared" si="2"/>
        <v>Kraków – Urząd Skarbowy Kraków - Nowa Huta</v>
      </c>
      <c r="B138" s="290">
        <v>1209</v>
      </c>
      <c r="C138" s="277" t="s">
        <v>1223</v>
      </c>
      <c r="D138" s="277" t="s">
        <v>1221</v>
      </c>
      <c r="E138" s="278" t="s">
        <v>1222</v>
      </c>
      <c r="F138" s="277" t="s">
        <v>551</v>
      </c>
    </row>
    <row r="139" spans="1:6" x14ac:dyDescent="0.25">
      <c r="A139" s="277" t="str">
        <f t="shared" si="2"/>
        <v>Kraków – Urząd Skarbowy Kraków - Podgórze</v>
      </c>
      <c r="B139" s="290">
        <v>1210</v>
      </c>
      <c r="C139" s="277" t="s">
        <v>1206</v>
      </c>
      <c r="D139" s="277" t="s">
        <v>1207</v>
      </c>
      <c r="E139" s="278" t="s">
        <v>1208</v>
      </c>
      <c r="F139" s="277" t="s">
        <v>551</v>
      </c>
    </row>
    <row r="140" spans="1:6" x14ac:dyDescent="0.25">
      <c r="A140" s="277" t="str">
        <f t="shared" si="2"/>
        <v>Kraków – Urząd Skarbowy Kraków - Prądnik</v>
      </c>
      <c r="B140" s="290">
        <v>1211</v>
      </c>
      <c r="C140" s="277" t="s">
        <v>1218</v>
      </c>
      <c r="D140" s="277" t="s">
        <v>1215</v>
      </c>
      <c r="E140" s="278" t="s">
        <v>1216</v>
      </c>
      <c r="F140" s="277" t="s">
        <v>551</v>
      </c>
    </row>
    <row r="141" spans="1:6" x14ac:dyDescent="0.25">
      <c r="A141" s="277" t="str">
        <f t="shared" si="2"/>
        <v>Kraków – Urząd Skarbowy Kraków - Śródmieście</v>
      </c>
      <c r="B141" s="290">
        <v>1213</v>
      </c>
      <c r="C141" s="277" t="s">
        <v>1219</v>
      </c>
      <c r="D141" s="277" t="s">
        <v>1215</v>
      </c>
      <c r="E141" s="278" t="s">
        <v>1216</v>
      </c>
      <c r="F141" s="277" t="s">
        <v>551</v>
      </c>
    </row>
    <row r="142" spans="1:6" x14ac:dyDescent="0.25">
      <c r="A142" s="277" t="str">
        <f t="shared" si="2"/>
        <v>Kraków – Urząd Skarbowy Kraków - Stare Miasto</v>
      </c>
      <c r="B142" s="290">
        <v>1212</v>
      </c>
      <c r="C142" s="277" t="s">
        <v>1209</v>
      </c>
      <c r="D142" s="277" t="s">
        <v>1210</v>
      </c>
      <c r="E142" s="278" t="s">
        <v>1211</v>
      </c>
      <c r="F142" s="277" t="s">
        <v>551</v>
      </c>
    </row>
    <row r="143" spans="1:6" x14ac:dyDescent="0.25">
      <c r="A143" s="277" t="str">
        <f t="shared" si="2"/>
        <v>Krapkowice – Urząd Skarbowy w Krapkowicach</v>
      </c>
      <c r="B143" s="290">
        <v>1613</v>
      </c>
      <c r="C143" s="277" t="s">
        <v>1224</v>
      </c>
      <c r="D143" s="277" t="s">
        <v>1225</v>
      </c>
      <c r="E143" s="278" t="s">
        <v>1226</v>
      </c>
      <c r="F143" s="277" t="s">
        <v>1227</v>
      </c>
    </row>
    <row r="144" spans="1:6" x14ac:dyDescent="0.25">
      <c r="A144" s="277" t="str">
        <f t="shared" si="2"/>
        <v>Kraśnik – Urząd Skarbowy w Kraśniku</v>
      </c>
      <c r="B144" s="290" t="s">
        <v>2330</v>
      </c>
      <c r="C144" s="277" t="s">
        <v>1228</v>
      </c>
      <c r="D144" s="277" t="s">
        <v>1229</v>
      </c>
      <c r="E144" s="278" t="s">
        <v>1230</v>
      </c>
      <c r="F144" s="277" t="s">
        <v>1231</v>
      </c>
    </row>
    <row r="145" spans="1:6" x14ac:dyDescent="0.25">
      <c r="A145" s="277" t="str">
        <f t="shared" si="2"/>
        <v>Krasnystaw – Urząd Skarbowy w Krasnymstawie</v>
      </c>
      <c r="B145" s="290" t="s">
        <v>2329</v>
      </c>
      <c r="C145" s="277" t="s">
        <v>1232</v>
      </c>
      <c r="D145" s="277" t="s">
        <v>1233</v>
      </c>
      <c r="E145" s="278" t="s">
        <v>1234</v>
      </c>
      <c r="F145" s="277" t="s">
        <v>1235</v>
      </c>
    </row>
    <row r="146" spans="1:6" x14ac:dyDescent="0.25">
      <c r="A146" s="277" t="str">
        <f t="shared" si="2"/>
        <v>Krosno – Urząd Skarbowy w Krośnie</v>
      </c>
      <c r="B146" s="290">
        <v>1807</v>
      </c>
      <c r="C146" s="277" t="s">
        <v>1236</v>
      </c>
      <c r="D146" s="277" t="s">
        <v>1237</v>
      </c>
      <c r="E146" s="278" t="s">
        <v>1238</v>
      </c>
      <c r="F146" s="277" t="s">
        <v>1239</v>
      </c>
    </row>
    <row r="147" spans="1:6" x14ac:dyDescent="0.25">
      <c r="A147" s="277" t="str">
        <f t="shared" si="2"/>
        <v>Krosno Odrzańskie – Urząd Skarbowy w Krośnie Odrz.</v>
      </c>
      <c r="B147" s="290" t="s">
        <v>2348</v>
      </c>
      <c r="C147" s="277" t="s">
        <v>1240</v>
      </c>
      <c r="D147" s="277" t="s">
        <v>1241</v>
      </c>
      <c r="E147" s="278" t="s">
        <v>1242</v>
      </c>
      <c r="F147" s="277" t="s">
        <v>1243</v>
      </c>
    </row>
    <row r="148" spans="1:6" x14ac:dyDescent="0.25">
      <c r="A148" s="277" t="str">
        <f t="shared" si="2"/>
        <v>Krotoszyn – Urząd Skarbowy w Krotoszynie</v>
      </c>
      <c r="B148" s="290">
        <v>3013</v>
      </c>
      <c r="C148" s="277" t="s">
        <v>1244</v>
      </c>
      <c r="D148" s="277" t="s">
        <v>1245</v>
      </c>
      <c r="E148" s="278" t="s">
        <v>1246</v>
      </c>
      <c r="F148" s="277" t="s">
        <v>1247</v>
      </c>
    </row>
    <row r="149" spans="1:6" x14ac:dyDescent="0.25">
      <c r="A149" s="277" t="str">
        <f t="shared" si="2"/>
        <v>Kutno – Urząd Skarbowy w Kutnie</v>
      </c>
      <c r="B149" s="290">
        <v>1005</v>
      </c>
      <c r="C149" s="277" t="s">
        <v>1248</v>
      </c>
      <c r="D149" s="277" t="s">
        <v>1249</v>
      </c>
      <c r="E149" s="278" t="s">
        <v>1250</v>
      </c>
      <c r="F149" s="277" t="s">
        <v>1251</v>
      </c>
    </row>
    <row r="150" spans="1:6" x14ac:dyDescent="0.25">
      <c r="A150" s="277" t="str">
        <f t="shared" si="2"/>
        <v>Kwidzyn – Urząd Skarbowy w Kwidzynie</v>
      </c>
      <c r="B150" s="290">
        <v>2212</v>
      </c>
      <c r="C150" s="277" t="s">
        <v>1252</v>
      </c>
      <c r="D150" s="277" t="s">
        <v>1253</v>
      </c>
      <c r="E150" s="278" t="s">
        <v>1254</v>
      </c>
      <c r="F150" s="277" t="s">
        <v>1255</v>
      </c>
    </row>
    <row r="151" spans="1:6" x14ac:dyDescent="0.25">
      <c r="A151" s="277" t="str">
        <f t="shared" si="2"/>
        <v>Łańcut – Urząd Skarbowy w Łańcucie</v>
      </c>
      <c r="B151" s="290">
        <v>1811</v>
      </c>
      <c r="C151" s="277" t="s">
        <v>1256</v>
      </c>
      <c r="D151" s="277" t="s">
        <v>1257</v>
      </c>
      <c r="E151" s="278" t="s">
        <v>1258</v>
      </c>
      <c r="F151" s="277" t="s">
        <v>1259</v>
      </c>
    </row>
    <row r="152" spans="1:6" x14ac:dyDescent="0.25">
      <c r="A152" s="277" t="str">
        <f t="shared" si="2"/>
        <v>Łask – Urząd Skarbowy w Łasku</v>
      </c>
      <c r="B152" s="290">
        <v>1006</v>
      </c>
      <c r="C152" s="277" t="s">
        <v>1260</v>
      </c>
      <c r="D152" s="277" t="s">
        <v>1261</v>
      </c>
      <c r="E152" s="278" t="s">
        <v>1262</v>
      </c>
      <c r="F152" s="277" t="s">
        <v>1263</v>
      </c>
    </row>
    <row r="153" spans="1:6" x14ac:dyDescent="0.25">
      <c r="A153" s="277" t="str">
        <f t="shared" si="2"/>
        <v>Lębork – Urząd Skarbowy w Lęborku</v>
      </c>
      <c r="B153" s="290">
        <v>2213</v>
      </c>
      <c r="C153" s="277" t="s">
        <v>1264</v>
      </c>
      <c r="D153" s="277" t="s">
        <v>1265</v>
      </c>
      <c r="E153" s="278" t="s">
        <v>1266</v>
      </c>
      <c r="F153" s="277" t="s">
        <v>1267</v>
      </c>
    </row>
    <row r="154" spans="1:6" x14ac:dyDescent="0.25">
      <c r="A154" s="277" t="str">
        <f t="shared" si="2"/>
        <v>Łęczna – Urząd Skarbowy w Łęcznej</v>
      </c>
      <c r="B154" s="290" t="s">
        <v>2343</v>
      </c>
      <c r="C154" s="277" t="s">
        <v>1268</v>
      </c>
      <c r="D154" s="277" t="s">
        <v>1269</v>
      </c>
      <c r="E154" s="278" t="s">
        <v>1270</v>
      </c>
      <c r="F154" s="277" t="s">
        <v>1271</v>
      </c>
    </row>
    <row r="155" spans="1:6" x14ac:dyDescent="0.25">
      <c r="A155" s="277" t="str">
        <f t="shared" si="2"/>
        <v>Łęczyca – Urząd Skarbowy w Łęczycy</v>
      </c>
      <c r="B155" s="290">
        <v>1028</v>
      </c>
      <c r="C155" s="277" t="s">
        <v>1272</v>
      </c>
      <c r="D155" s="277" t="s">
        <v>1273</v>
      </c>
      <c r="E155" s="278" t="s">
        <v>1274</v>
      </c>
      <c r="F155" s="277" t="s">
        <v>1275</v>
      </c>
    </row>
    <row r="156" spans="1:6" x14ac:dyDescent="0.25">
      <c r="A156" s="277" t="str">
        <f t="shared" si="2"/>
        <v>Legionowo – Urząd Skarbowy w Legionowie</v>
      </c>
      <c r="B156" s="290">
        <v>1409</v>
      </c>
      <c r="C156" s="277" t="s">
        <v>1276</v>
      </c>
      <c r="D156" s="277" t="s">
        <v>1277</v>
      </c>
      <c r="E156" s="278" t="s">
        <v>1278</v>
      </c>
      <c r="F156" s="277" t="s">
        <v>1279</v>
      </c>
    </row>
    <row r="157" spans="1:6" x14ac:dyDescent="0.25">
      <c r="A157" s="277" t="str">
        <f t="shared" si="2"/>
        <v>Legnica – Urząd Skarbowy w Legnicy</v>
      </c>
      <c r="B157" s="290" t="s">
        <v>2273</v>
      </c>
      <c r="C157" s="277" t="s">
        <v>1280</v>
      </c>
      <c r="D157" s="277" t="s">
        <v>1281</v>
      </c>
      <c r="E157" s="278" t="s">
        <v>1282</v>
      </c>
      <c r="F157" s="277" t="s">
        <v>1283</v>
      </c>
    </row>
    <row r="158" spans="1:6" x14ac:dyDescent="0.25">
      <c r="A158" s="277" t="str">
        <f t="shared" si="2"/>
        <v>Lesko – Urząd Skarbowy w Lesku</v>
      </c>
      <c r="B158" s="290">
        <v>1808</v>
      </c>
      <c r="C158" s="277" t="s">
        <v>1284</v>
      </c>
      <c r="D158" s="277" t="s">
        <v>1285</v>
      </c>
      <c r="E158" s="278" t="s">
        <v>1286</v>
      </c>
      <c r="F158" s="277" t="s">
        <v>1287</v>
      </c>
    </row>
    <row r="159" spans="1:6" x14ac:dyDescent="0.25">
      <c r="A159" s="277" t="str">
        <f t="shared" si="2"/>
        <v>Leszno – Urząd Skarbowy w Lesznie</v>
      </c>
      <c r="B159" s="290">
        <v>3014</v>
      </c>
      <c r="C159" s="277" t="s">
        <v>1288</v>
      </c>
      <c r="D159" s="277" t="s">
        <v>1289</v>
      </c>
      <c r="E159" s="278" t="s">
        <v>1290</v>
      </c>
      <c r="F159" s="277" t="s">
        <v>1291</v>
      </c>
    </row>
    <row r="160" spans="1:6" x14ac:dyDescent="0.25">
      <c r="A160" s="277" t="str">
        <f t="shared" si="2"/>
        <v>Leżajsk – Urząd Skarbowy w Leżajsku</v>
      </c>
      <c r="B160" s="290">
        <v>1809</v>
      </c>
      <c r="C160" s="277" t="s">
        <v>1292</v>
      </c>
      <c r="D160" s="277" t="s">
        <v>1293</v>
      </c>
      <c r="E160" s="278" t="s">
        <v>1294</v>
      </c>
      <c r="F160" s="277" t="s">
        <v>1295</v>
      </c>
    </row>
    <row r="161" spans="1:6" x14ac:dyDescent="0.25">
      <c r="A161" s="277" t="str">
        <f t="shared" si="2"/>
        <v>Limanowa – Urząd Skarbowy w Limanowej</v>
      </c>
      <c r="B161" s="290">
        <v>1214</v>
      </c>
      <c r="C161" s="277" t="s">
        <v>1296</v>
      </c>
      <c r="D161" s="277" t="s">
        <v>1297</v>
      </c>
      <c r="E161" s="278" t="s">
        <v>1298</v>
      </c>
      <c r="F161" s="277" t="s">
        <v>1299</v>
      </c>
    </row>
    <row r="162" spans="1:6" x14ac:dyDescent="0.25">
      <c r="A162" s="277" t="str">
        <f t="shared" si="2"/>
        <v>Lipno – Urząd Skarbowy w Lipnie</v>
      </c>
      <c r="B162" s="290" t="s">
        <v>2308</v>
      </c>
      <c r="C162" s="277" t="s">
        <v>1300</v>
      </c>
      <c r="D162" s="277" t="s">
        <v>1301</v>
      </c>
      <c r="E162" s="278" t="s">
        <v>1302</v>
      </c>
      <c r="F162" s="277" t="s">
        <v>1303</v>
      </c>
    </row>
    <row r="163" spans="1:6" x14ac:dyDescent="0.25">
      <c r="A163" s="277" t="str">
        <f t="shared" si="2"/>
        <v>Lipsko – Urząd Skarbowy w Lipsku</v>
      </c>
      <c r="B163" s="290">
        <v>1447</v>
      </c>
      <c r="C163" s="277" t="s">
        <v>1304</v>
      </c>
      <c r="D163" s="277" t="s">
        <v>1305</v>
      </c>
      <c r="E163" s="278" t="s">
        <v>1306</v>
      </c>
      <c r="F163" s="277" t="s">
        <v>1307</v>
      </c>
    </row>
    <row r="164" spans="1:6" x14ac:dyDescent="0.25">
      <c r="A164" s="277" t="str">
        <f t="shared" si="2"/>
        <v>Łódź – Drugi Urząd Skarbowy Łódź - Bałuty</v>
      </c>
      <c r="B164" s="290">
        <v>1009</v>
      </c>
      <c r="C164" s="277" t="s">
        <v>1323</v>
      </c>
      <c r="D164" s="277" t="s">
        <v>1324</v>
      </c>
      <c r="E164" s="278" t="s">
        <v>1325</v>
      </c>
      <c r="F164" s="277" t="s">
        <v>1311</v>
      </c>
    </row>
    <row r="165" spans="1:6" x14ac:dyDescent="0.25">
      <c r="A165" s="277" t="str">
        <f t="shared" si="2"/>
        <v>Łódź – Drugi Urząd Skarbowy Łódź - Górna</v>
      </c>
      <c r="B165" s="290">
        <v>1011</v>
      </c>
      <c r="C165" s="277" t="s">
        <v>1329</v>
      </c>
      <c r="D165" s="277" t="s">
        <v>1330</v>
      </c>
      <c r="E165" s="278" t="s">
        <v>1331</v>
      </c>
      <c r="F165" s="277" t="s">
        <v>1311</v>
      </c>
    </row>
    <row r="166" spans="1:6" x14ac:dyDescent="0.25">
      <c r="A166" s="277" t="str">
        <f t="shared" si="2"/>
        <v>Łódź – Izba Skarbowa w Łodzi</v>
      </c>
      <c r="B166" s="290">
        <v>1001</v>
      </c>
      <c r="C166" s="277" t="s">
        <v>1312</v>
      </c>
      <c r="D166" s="277" t="s">
        <v>1313</v>
      </c>
      <c r="E166" s="278" t="s">
        <v>1314</v>
      </c>
      <c r="F166" s="277" t="s">
        <v>1311</v>
      </c>
    </row>
    <row r="167" spans="1:6" x14ac:dyDescent="0.25">
      <c r="A167" s="277" t="str">
        <f t="shared" si="2"/>
        <v>Łódź – Łódzki Urząd Skarbowy</v>
      </c>
      <c r="B167" s="290">
        <v>1071</v>
      </c>
      <c r="C167" s="277" t="s">
        <v>1315</v>
      </c>
      <c r="D167" s="277" t="s">
        <v>1316</v>
      </c>
      <c r="E167" s="278" t="s">
        <v>1314</v>
      </c>
      <c r="F167" s="277" t="s">
        <v>1311</v>
      </c>
    </row>
    <row r="168" spans="1:6" x14ac:dyDescent="0.25">
      <c r="A168" s="277" t="str">
        <f t="shared" si="2"/>
        <v>Łódź – Pierwszy Urząd Skarbowy Łódź - Bałuty</v>
      </c>
      <c r="B168" s="290">
        <v>1008</v>
      </c>
      <c r="C168" s="277" t="s">
        <v>1320</v>
      </c>
      <c r="D168" s="277" t="s">
        <v>1321</v>
      </c>
      <c r="E168" s="278" t="s">
        <v>1322</v>
      </c>
      <c r="F168" s="277" t="s">
        <v>1311</v>
      </c>
    </row>
    <row r="169" spans="1:6" x14ac:dyDescent="0.25">
      <c r="A169" s="277" t="str">
        <f t="shared" si="2"/>
        <v>Łódź – Pierwszy Urząd Skarbowy Łódź - Górna</v>
      </c>
      <c r="B169" s="290">
        <v>1010</v>
      </c>
      <c r="C169" s="277" t="s">
        <v>1332</v>
      </c>
      <c r="D169" s="277" t="s">
        <v>1330</v>
      </c>
      <c r="E169" s="278" t="s">
        <v>1331</v>
      </c>
      <c r="F169" s="277" t="s">
        <v>1311</v>
      </c>
    </row>
    <row r="170" spans="1:6" x14ac:dyDescent="0.25">
      <c r="A170" s="277" t="str">
        <f t="shared" si="2"/>
        <v>Łódź – Urząd Skarbowy Łódź - Polesie</v>
      </c>
      <c r="B170" s="290">
        <v>1012</v>
      </c>
      <c r="C170" s="277" t="s">
        <v>1317</v>
      </c>
      <c r="D170" s="277" t="s">
        <v>1318</v>
      </c>
      <c r="E170" s="278" t="s">
        <v>1319</v>
      </c>
      <c r="F170" s="277" t="s">
        <v>1311</v>
      </c>
    </row>
    <row r="171" spans="1:6" x14ac:dyDescent="0.25">
      <c r="A171" s="277" t="str">
        <f t="shared" si="2"/>
        <v>Łódź – Urząd Skarbowy Łódź - Śródmieście</v>
      </c>
      <c r="B171" s="290">
        <v>1013</v>
      </c>
      <c r="C171" s="277" t="s">
        <v>1308</v>
      </c>
      <c r="D171" s="277" t="s">
        <v>1309</v>
      </c>
      <c r="E171" s="278" t="s">
        <v>1310</v>
      </c>
      <c r="F171" s="277" t="s">
        <v>1311</v>
      </c>
    </row>
    <row r="172" spans="1:6" x14ac:dyDescent="0.25">
      <c r="A172" s="277" t="str">
        <f t="shared" si="2"/>
        <v>Łódź – Urząd Skarbowy Łódź - Widzew</v>
      </c>
      <c r="B172" s="290">
        <v>1014</v>
      </c>
      <c r="C172" s="277" t="s">
        <v>1326</v>
      </c>
      <c r="D172" s="277" t="s">
        <v>1327</v>
      </c>
      <c r="E172" s="278" t="s">
        <v>1328</v>
      </c>
      <c r="F172" s="277" t="s">
        <v>1311</v>
      </c>
    </row>
    <row r="173" spans="1:6" x14ac:dyDescent="0.25">
      <c r="A173" s="277" t="str">
        <f t="shared" si="2"/>
        <v>Łomża – Urząd Skarbowy w Łomży</v>
      </c>
      <c r="B173" s="290">
        <v>2008</v>
      </c>
      <c r="C173" s="277" t="s">
        <v>1333</v>
      </c>
      <c r="D173" s="277" t="s">
        <v>1334</v>
      </c>
      <c r="E173" s="278" t="s">
        <v>1335</v>
      </c>
      <c r="F173" s="277" t="s">
        <v>1336</v>
      </c>
    </row>
    <row r="174" spans="1:6" x14ac:dyDescent="0.25">
      <c r="A174" s="277" t="str">
        <f t="shared" si="2"/>
        <v>Łosice – Urząd Skarbowy w Łosicach</v>
      </c>
      <c r="B174" s="290">
        <v>1410</v>
      </c>
      <c r="C174" s="277" t="s">
        <v>1337</v>
      </c>
      <c r="D174" s="277" t="s">
        <v>1338</v>
      </c>
      <c r="E174" s="278" t="s">
        <v>1339</v>
      </c>
      <c r="F174" s="277" t="s">
        <v>1340</v>
      </c>
    </row>
    <row r="175" spans="1:6" x14ac:dyDescent="0.25">
      <c r="A175" s="277" t="str">
        <f t="shared" si="2"/>
        <v>Łowicz – Urząd Skarbowy w Łowiczu</v>
      </c>
      <c r="B175" s="290">
        <v>1007</v>
      </c>
      <c r="C175" s="277" t="s">
        <v>1341</v>
      </c>
      <c r="D175" s="277" t="s">
        <v>1342</v>
      </c>
      <c r="E175" s="278" t="s">
        <v>1343</v>
      </c>
      <c r="F175" s="277" t="s">
        <v>1344</v>
      </c>
    </row>
    <row r="176" spans="1:6" x14ac:dyDescent="0.25">
      <c r="A176" s="277" t="str">
        <f t="shared" si="2"/>
        <v>Lubaczów – Urząd Skarbowy w Lubaczowie</v>
      </c>
      <c r="B176" s="290">
        <v>1810</v>
      </c>
      <c r="C176" s="277" t="s">
        <v>1345</v>
      </c>
      <c r="D176" s="277" t="s">
        <v>1346</v>
      </c>
      <c r="E176" s="278" t="s">
        <v>1347</v>
      </c>
      <c r="F176" s="277" t="s">
        <v>1348</v>
      </c>
    </row>
    <row r="177" spans="1:6" x14ac:dyDescent="0.25">
      <c r="A177" s="277" t="str">
        <f t="shared" si="2"/>
        <v>Lubań – Urząd Skarbowy w Lubaniu</v>
      </c>
      <c r="B177" s="290" t="s">
        <v>2274</v>
      </c>
      <c r="C177" s="277" t="s">
        <v>1349</v>
      </c>
      <c r="D177" s="277" t="s">
        <v>1350</v>
      </c>
      <c r="E177" s="278" t="s">
        <v>1351</v>
      </c>
      <c r="F177" s="277" t="s">
        <v>1352</v>
      </c>
    </row>
    <row r="178" spans="1:6" x14ac:dyDescent="0.25">
      <c r="A178" s="277" t="str">
        <f t="shared" si="2"/>
        <v>Lubartów – Urząd Skarbowy w Lubartowie</v>
      </c>
      <c r="B178" s="290" t="s">
        <v>2331</v>
      </c>
      <c r="C178" s="277" t="s">
        <v>1353</v>
      </c>
      <c r="D178" s="277" t="s">
        <v>1354</v>
      </c>
      <c r="E178" s="278" t="s">
        <v>1355</v>
      </c>
      <c r="F178" s="277" t="s">
        <v>1356</v>
      </c>
    </row>
    <row r="179" spans="1:6" x14ac:dyDescent="0.25">
      <c r="A179" s="277" t="str">
        <f t="shared" si="2"/>
        <v>Lubin – Urząd Skarbowy w Lubinie</v>
      </c>
      <c r="B179" s="290" t="s">
        <v>2275</v>
      </c>
      <c r="C179" s="277" t="s">
        <v>1357</v>
      </c>
      <c r="D179" s="277" t="s">
        <v>1358</v>
      </c>
      <c r="E179" s="278" t="s">
        <v>1359</v>
      </c>
      <c r="F179" s="277" t="s">
        <v>1360</v>
      </c>
    </row>
    <row r="180" spans="1:6" x14ac:dyDescent="0.25">
      <c r="A180" s="277" t="str">
        <f t="shared" si="2"/>
        <v>Lublin – Drugi Urząd Skarbowy w Lublinie</v>
      </c>
      <c r="B180" s="290" t="s">
        <v>2333</v>
      </c>
      <c r="C180" s="277" t="s">
        <v>1368</v>
      </c>
      <c r="D180" s="277" t="s">
        <v>1369</v>
      </c>
      <c r="E180" s="278" t="s">
        <v>1370</v>
      </c>
      <c r="F180" s="277" t="s">
        <v>1364</v>
      </c>
    </row>
    <row r="181" spans="1:6" x14ac:dyDescent="0.25">
      <c r="A181" s="277" t="str">
        <f t="shared" si="2"/>
        <v>Lublin – Izba Skarbowa w Lublinie</v>
      </c>
      <c r="B181" s="290" t="s">
        <v>2323</v>
      </c>
      <c r="C181" s="277" t="s">
        <v>1371</v>
      </c>
      <c r="D181" s="277" t="s">
        <v>1369</v>
      </c>
      <c r="E181" s="278" t="s">
        <v>1370</v>
      </c>
      <c r="F181" s="277" t="s">
        <v>1364</v>
      </c>
    </row>
    <row r="182" spans="1:6" x14ac:dyDescent="0.25">
      <c r="A182" s="277" t="str">
        <f t="shared" si="2"/>
        <v>Lublin – Lubelski Urząd Skarbowy w Lublinie</v>
      </c>
      <c r="B182" s="290" t="s">
        <v>2345</v>
      </c>
      <c r="C182" s="277" t="s">
        <v>1372</v>
      </c>
      <c r="D182" s="277" t="s">
        <v>1369</v>
      </c>
      <c r="E182" s="278" t="s">
        <v>1370</v>
      </c>
      <c r="F182" s="277" t="s">
        <v>1364</v>
      </c>
    </row>
    <row r="183" spans="1:6" x14ac:dyDescent="0.25">
      <c r="A183" s="277" t="str">
        <f t="shared" si="2"/>
        <v>Lublin – Pierwszy Urząd Skarbowy w Lublinie</v>
      </c>
      <c r="B183" s="290" t="s">
        <v>2332</v>
      </c>
      <c r="C183" s="277" t="s">
        <v>1365</v>
      </c>
      <c r="D183" s="277" t="s">
        <v>1366</v>
      </c>
      <c r="E183" s="278" t="s">
        <v>1367</v>
      </c>
      <c r="F183" s="277" t="s">
        <v>1364</v>
      </c>
    </row>
    <row r="184" spans="1:6" x14ac:dyDescent="0.25">
      <c r="A184" s="277" t="str">
        <f t="shared" si="2"/>
        <v>Lublin – Trzeci Urząd Skarbowy w Lublinie</v>
      </c>
      <c r="B184" s="290" t="s">
        <v>2334</v>
      </c>
      <c r="C184" s="277" t="s">
        <v>1361</v>
      </c>
      <c r="D184" s="277" t="s">
        <v>1362</v>
      </c>
      <c r="E184" s="278" t="s">
        <v>1363</v>
      </c>
      <c r="F184" s="277" t="s">
        <v>1364</v>
      </c>
    </row>
    <row r="185" spans="1:6" x14ac:dyDescent="0.25">
      <c r="A185" s="277" t="str">
        <f t="shared" si="2"/>
        <v>Lubliniec – Urząd Skarbowy w Lublińcu</v>
      </c>
      <c r="B185" s="290">
        <v>2419</v>
      </c>
      <c r="C185" s="277" t="s">
        <v>1373</v>
      </c>
      <c r="D185" s="277" t="s">
        <v>1374</v>
      </c>
      <c r="E185" s="278" t="s">
        <v>1375</v>
      </c>
      <c r="F185" s="277" t="s">
        <v>1376</v>
      </c>
    </row>
    <row r="186" spans="1:6" x14ac:dyDescent="0.25">
      <c r="A186" s="277" t="str">
        <f t="shared" si="2"/>
        <v>Łuków – Urząd Skarbowy w Łukowie</v>
      </c>
      <c r="B186" s="290" t="s">
        <v>2335</v>
      </c>
      <c r="C186" s="277" t="s">
        <v>1377</v>
      </c>
      <c r="D186" s="277" t="s">
        <v>1378</v>
      </c>
      <c r="E186" s="278" t="s">
        <v>1379</v>
      </c>
      <c r="F186" s="277" t="s">
        <v>1380</v>
      </c>
    </row>
    <row r="187" spans="1:6" x14ac:dyDescent="0.25">
      <c r="A187" s="277" t="str">
        <f t="shared" si="2"/>
        <v>Lwówek Śląski – Urząd Skarbowy w Lwówku Śląskim</v>
      </c>
      <c r="B187" s="290" t="s">
        <v>2276</v>
      </c>
      <c r="C187" s="277" t="s">
        <v>1381</v>
      </c>
      <c r="D187" s="277" t="s">
        <v>1382</v>
      </c>
      <c r="E187" s="278" t="s">
        <v>1383</v>
      </c>
      <c r="F187" s="277" t="s">
        <v>1384</v>
      </c>
    </row>
    <row r="188" spans="1:6" x14ac:dyDescent="0.25">
      <c r="A188" s="277" t="str">
        <f t="shared" si="2"/>
        <v>Maków Mazowiecki – Urząd Skarbowy w Makowie Mazowieckim</v>
      </c>
      <c r="B188" s="290">
        <v>1411</v>
      </c>
      <c r="C188" s="277" t="s">
        <v>1385</v>
      </c>
      <c r="D188" s="277" t="s">
        <v>1386</v>
      </c>
      <c r="E188" s="278" t="s">
        <v>1387</v>
      </c>
      <c r="F188" s="277" t="s">
        <v>1388</v>
      </c>
    </row>
    <row r="189" spans="1:6" x14ac:dyDescent="0.25">
      <c r="A189" s="277" t="str">
        <f t="shared" si="2"/>
        <v>Malbork – Urząd Skarbowy w Malborku</v>
      </c>
      <c r="B189" s="290">
        <v>2214</v>
      </c>
      <c r="C189" s="277" t="s">
        <v>1389</v>
      </c>
      <c r="D189" s="277" t="s">
        <v>1390</v>
      </c>
      <c r="E189" s="278" t="s">
        <v>1391</v>
      </c>
      <c r="F189" s="277" t="s">
        <v>1392</v>
      </c>
    </row>
    <row r="190" spans="1:6" x14ac:dyDescent="0.25">
      <c r="A190" s="277" t="str">
        <f t="shared" si="2"/>
        <v>Miechów – Urząd Skarbowy w Miechowie</v>
      </c>
      <c r="B190" s="290">
        <v>1215</v>
      </c>
      <c r="C190" s="277" t="s">
        <v>1393</v>
      </c>
      <c r="D190" s="277" t="s">
        <v>1394</v>
      </c>
      <c r="E190" s="278" t="s">
        <v>1395</v>
      </c>
      <c r="F190" s="277" t="s">
        <v>1396</v>
      </c>
    </row>
    <row r="191" spans="1:6" x14ac:dyDescent="0.25">
      <c r="A191" s="277" t="str">
        <f t="shared" si="2"/>
        <v>Międzychód – Urząd Skarbowy w Międzychodzie</v>
      </c>
      <c r="B191" s="290">
        <v>3015</v>
      </c>
      <c r="C191" s="277" t="s">
        <v>1397</v>
      </c>
      <c r="D191" s="277" t="s">
        <v>1398</v>
      </c>
      <c r="E191" s="278" t="s">
        <v>1399</v>
      </c>
      <c r="F191" s="277" t="s">
        <v>1400</v>
      </c>
    </row>
    <row r="192" spans="1:6" x14ac:dyDescent="0.25">
      <c r="A192" s="277" t="str">
        <f t="shared" si="2"/>
        <v>Międzyrzecz – Urząd Skarbowy w Międzyrzeczu</v>
      </c>
      <c r="B192" s="290" t="s">
        <v>2349</v>
      </c>
      <c r="C192" s="277" t="s">
        <v>1401</v>
      </c>
      <c r="D192" s="277" t="s">
        <v>1402</v>
      </c>
      <c r="E192" s="278" t="s">
        <v>1403</v>
      </c>
      <c r="F192" s="277" t="s">
        <v>1404</v>
      </c>
    </row>
    <row r="193" spans="1:6" x14ac:dyDescent="0.25">
      <c r="A193" s="277" t="str">
        <f t="shared" si="2"/>
        <v>Mielec – Urząd Skarbowy w Mielcu</v>
      </c>
      <c r="B193" s="290">
        <v>1812</v>
      </c>
      <c r="C193" s="277" t="s">
        <v>1405</v>
      </c>
      <c r="D193" s="277" t="s">
        <v>1406</v>
      </c>
      <c r="E193" s="278" t="s">
        <v>1407</v>
      </c>
      <c r="F193" s="277" t="s">
        <v>1408</v>
      </c>
    </row>
    <row r="194" spans="1:6" x14ac:dyDescent="0.25">
      <c r="A194" s="277" t="str">
        <f t="shared" ref="A194:A257" si="3">F194&amp;" – "&amp;C194</f>
        <v>Mikołów – Urząd Skarbowy w Mikołowie</v>
      </c>
      <c r="B194" s="290">
        <v>2420</v>
      </c>
      <c r="C194" s="277" t="s">
        <v>1409</v>
      </c>
      <c r="D194" s="277" t="s">
        <v>1410</v>
      </c>
      <c r="E194" s="278" t="s">
        <v>1411</v>
      </c>
      <c r="F194" s="277" t="s">
        <v>1412</v>
      </c>
    </row>
    <row r="195" spans="1:6" x14ac:dyDescent="0.25">
      <c r="A195" s="277" t="str">
        <f t="shared" si="3"/>
        <v>Milicz – Urząd Skarbowy w Miliczu</v>
      </c>
      <c r="B195" s="290" t="s">
        <v>2277</v>
      </c>
      <c r="C195" s="277" t="s">
        <v>1413</v>
      </c>
      <c r="D195" s="277" t="s">
        <v>794</v>
      </c>
      <c r="E195" s="278" t="s">
        <v>1414</v>
      </c>
      <c r="F195" s="277" t="s">
        <v>1415</v>
      </c>
    </row>
    <row r="196" spans="1:6" x14ac:dyDescent="0.25">
      <c r="A196" s="277" t="str">
        <f t="shared" si="3"/>
        <v>Mińsk Mazowiecki – Urząd Skarbowy w Mińsku Mazowieckim</v>
      </c>
      <c r="B196" s="290">
        <v>1412</v>
      </c>
      <c r="C196" s="277" t="s">
        <v>1416</v>
      </c>
      <c r="D196" s="277" t="s">
        <v>1417</v>
      </c>
      <c r="E196" s="278" t="s">
        <v>1418</v>
      </c>
      <c r="F196" s="277" t="s">
        <v>1419</v>
      </c>
    </row>
    <row r="197" spans="1:6" x14ac:dyDescent="0.25">
      <c r="A197" s="277" t="str">
        <f t="shared" si="3"/>
        <v>Mława – Urząd Skarbowy w Mławie</v>
      </c>
      <c r="B197" s="290">
        <v>1413</v>
      </c>
      <c r="C197" s="277" t="s">
        <v>1420</v>
      </c>
      <c r="D197" s="277" t="s">
        <v>1421</v>
      </c>
      <c r="E197" s="278" t="s">
        <v>1422</v>
      </c>
      <c r="F197" s="277" t="s">
        <v>1423</v>
      </c>
    </row>
    <row r="198" spans="1:6" x14ac:dyDescent="0.25">
      <c r="A198" s="277" t="str">
        <f t="shared" si="3"/>
        <v>Mogilno – Urząd Skarbowy w Mogilnie</v>
      </c>
      <c r="B198" s="290" t="s">
        <v>2309</v>
      </c>
      <c r="C198" s="277" t="s">
        <v>1424</v>
      </c>
      <c r="D198" s="277" t="s">
        <v>1425</v>
      </c>
      <c r="E198" s="278" t="s">
        <v>1426</v>
      </c>
      <c r="F198" s="277" t="s">
        <v>1427</v>
      </c>
    </row>
    <row r="199" spans="1:6" x14ac:dyDescent="0.25">
      <c r="A199" s="277" t="str">
        <f t="shared" si="3"/>
        <v>Mońki – Urząd Skarbowy w Mońkach</v>
      </c>
      <c r="B199" s="290">
        <v>2009</v>
      </c>
      <c r="C199" s="277" t="s">
        <v>1428</v>
      </c>
      <c r="D199" s="277" t="s">
        <v>1429</v>
      </c>
      <c r="E199" s="278" t="s">
        <v>1430</v>
      </c>
      <c r="F199" s="277" t="s">
        <v>1431</v>
      </c>
    </row>
    <row r="200" spans="1:6" x14ac:dyDescent="0.25">
      <c r="A200" s="277" t="str">
        <f t="shared" si="3"/>
        <v>Myślenice – Urząd Skarbowy w Myślenicach</v>
      </c>
      <c r="B200" s="290">
        <v>1216</v>
      </c>
      <c r="C200" s="277" t="s">
        <v>1432</v>
      </c>
      <c r="D200" s="277" t="s">
        <v>1433</v>
      </c>
      <c r="E200" s="278" t="s">
        <v>1434</v>
      </c>
      <c r="F200" s="277" t="s">
        <v>1435</v>
      </c>
    </row>
    <row r="201" spans="1:6" x14ac:dyDescent="0.25">
      <c r="A201" s="277" t="str">
        <f t="shared" si="3"/>
        <v>Myślibórz – Urząd Skarbowy w Myśliborzu</v>
      </c>
      <c r="B201" s="290">
        <v>3212</v>
      </c>
      <c r="C201" s="277" t="s">
        <v>1436</v>
      </c>
      <c r="D201" s="277" t="s">
        <v>1437</v>
      </c>
      <c r="E201" s="278" t="s">
        <v>1438</v>
      </c>
      <c r="F201" s="277" t="s">
        <v>1439</v>
      </c>
    </row>
    <row r="202" spans="1:6" x14ac:dyDescent="0.25">
      <c r="A202" s="277" t="str">
        <f t="shared" si="3"/>
        <v>Mysłowice – Urząd Skarbowy w Mysłowicach</v>
      </c>
      <c r="B202" s="290">
        <v>2421</v>
      </c>
      <c r="C202" s="277" t="s">
        <v>1440</v>
      </c>
      <c r="D202" s="277" t="s">
        <v>1441</v>
      </c>
      <c r="E202" s="278" t="s">
        <v>1442</v>
      </c>
      <c r="F202" s="277" t="s">
        <v>1443</v>
      </c>
    </row>
    <row r="203" spans="1:6" x14ac:dyDescent="0.25">
      <c r="A203" s="277" t="str">
        <f t="shared" si="3"/>
        <v>Myszków – Urząd Skarbowy w Myszkowie</v>
      </c>
      <c r="B203" s="290">
        <v>2422</v>
      </c>
      <c r="C203" s="277" t="s">
        <v>1444</v>
      </c>
      <c r="D203" s="277" t="s">
        <v>1445</v>
      </c>
      <c r="E203" s="278" t="s">
        <v>1446</v>
      </c>
      <c r="F203" s="277" t="s">
        <v>1447</v>
      </c>
    </row>
    <row r="204" spans="1:6" x14ac:dyDescent="0.25">
      <c r="A204" s="277" t="str">
        <f t="shared" si="3"/>
        <v>Nakło n. Notecią – Urząd Skarbowy w Nakle nad Notecią</v>
      </c>
      <c r="B204" s="290" t="s">
        <v>2310</v>
      </c>
      <c r="C204" s="277" t="s">
        <v>1448</v>
      </c>
      <c r="D204" s="277" t="s">
        <v>1449</v>
      </c>
      <c r="E204" s="278" t="s">
        <v>1450</v>
      </c>
      <c r="F204" s="277" t="s">
        <v>1451</v>
      </c>
    </row>
    <row r="205" spans="1:6" x14ac:dyDescent="0.25">
      <c r="A205" s="277" t="str">
        <f t="shared" si="3"/>
        <v>Namysłów – Urząd Skarbowy w Namysłowie</v>
      </c>
      <c r="B205" s="290">
        <v>1606</v>
      </c>
      <c r="C205" s="277" t="s">
        <v>1452</v>
      </c>
      <c r="D205" s="277" t="s">
        <v>1453</v>
      </c>
      <c r="E205" s="278" t="s">
        <v>1454</v>
      </c>
      <c r="F205" s="277" t="s">
        <v>1455</v>
      </c>
    </row>
    <row r="206" spans="1:6" x14ac:dyDescent="0.25">
      <c r="A206" s="277" t="str">
        <f t="shared" si="3"/>
        <v>Nidzica – Urząd Skarbowy w Nidzicy</v>
      </c>
      <c r="B206" s="290">
        <v>2810</v>
      </c>
      <c r="C206" s="277" t="s">
        <v>1456</v>
      </c>
      <c r="D206" s="277" t="s">
        <v>1457</v>
      </c>
      <c r="E206" s="278" t="s">
        <v>1458</v>
      </c>
      <c r="F206" s="277" t="s">
        <v>1459</v>
      </c>
    </row>
    <row r="207" spans="1:6" x14ac:dyDescent="0.25">
      <c r="A207" s="277" t="str">
        <f t="shared" si="3"/>
        <v>Nisko – Urząd Skarbowy w Nisku</v>
      </c>
      <c r="B207" s="290">
        <v>1823</v>
      </c>
      <c r="C207" s="277" t="s">
        <v>1460</v>
      </c>
      <c r="D207" s="277" t="s">
        <v>1461</v>
      </c>
      <c r="E207" s="278" t="s">
        <v>1462</v>
      </c>
      <c r="F207" s="277" t="s">
        <v>1463</v>
      </c>
    </row>
    <row r="208" spans="1:6" x14ac:dyDescent="0.25">
      <c r="A208" s="277" t="str">
        <f t="shared" si="3"/>
        <v>Nowa Ruda – Urząd Skarbowy w  Nowej Rudzie</v>
      </c>
      <c r="B208" s="290" t="s">
        <v>2278</v>
      </c>
      <c r="C208" s="277" t="s">
        <v>1464</v>
      </c>
      <c r="D208" s="277" t="s">
        <v>1465</v>
      </c>
      <c r="E208" s="278" t="s">
        <v>1466</v>
      </c>
      <c r="F208" s="277" t="s">
        <v>1467</v>
      </c>
    </row>
    <row r="209" spans="1:6" x14ac:dyDescent="0.25">
      <c r="A209" s="277" t="str">
        <f t="shared" si="3"/>
        <v>Nowa Sól – Urząd Skarbowy w Nowej Soli</v>
      </c>
      <c r="B209" s="290" t="s">
        <v>2350</v>
      </c>
      <c r="C209" s="277" t="s">
        <v>1468</v>
      </c>
      <c r="D209" s="277" t="s">
        <v>1469</v>
      </c>
      <c r="E209" s="278" t="s">
        <v>1470</v>
      </c>
      <c r="F209" s="277" t="s">
        <v>1471</v>
      </c>
    </row>
    <row r="210" spans="1:6" x14ac:dyDescent="0.25">
      <c r="A210" s="277" t="str">
        <f t="shared" si="3"/>
        <v>Nowe Miasto Lubawskie – Urząd Skarbowy w Nowym Mieście Lubawskim</v>
      </c>
      <c r="B210" s="290">
        <v>2811</v>
      </c>
      <c r="C210" s="277" t="s">
        <v>1472</v>
      </c>
      <c r="D210" s="277" t="s">
        <v>1473</v>
      </c>
      <c r="E210" s="278" t="s">
        <v>1474</v>
      </c>
      <c r="F210" s="277" t="s">
        <v>1475</v>
      </c>
    </row>
    <row r="211" spans="1:6" x14ac:dyDescent="0.25">
      <c r="A211" s="277" t="str">
        <f t="shared" si="3"/>
        <v>Nowy Dwór Mazowiecki – Urząd Skarbowy w Nowym Dworze Mazowieckim</v>
      </c>
      <c r="B211" s="290">
        <v>1414</v>
      </c>
      <c r="C211" s="277" t="s">
        <v>1476</v>
      </c>
      <c r="D211" s="277" t="s">
        <v>1477</v>
      </c>
      <c r="E211" s="278" t="s">
        <v>1478</v>
      </c>
      <c r="F211" s="277" t="s">
        <v>1479</v>
      </c>
    </row>
    <row r="212" spans="1:6" x14ac:dyDescent="0.25">
      <c r="A212" s="277" t="str">
        <f t="shared" si="3"/>
        <v>Nowy Sącz – Urząd Skarbowy w Nowym Sączu</v>
      </c>
      <c r="B212" s="290">
        <v>1217</v>
      </c>
      <c r="C212" s="277" t="s">
        <v>1480</v>
      </c>
      <c r="D212" s="277" t="s">
        <v>1481</v>
      </c>
      <c r="E212" s="278" t="s">
        <v>1482</v>
      </c>
      <c r="F212" s="277" t="s">
        <v>1483</v>
      </c>
    </row>
    <row r="213" spans="1:6" x14ac:dyDescent="0.25">
      <c r="A213" s="277" t="str">
        <f t="shared" si="3"/>
        <v>Nowy Targ – Urząd Skarbowy w Nowym Targu</v>
      </c>
      <c r="B213" s="290">
        <v>1218</v>
      </c>
      <c r="C213" s="277" t="s">
        <v>1484</v>
      </c>
      <c r="D213" s="277" t="s">
        <v>1485</v>
      </c>
      <c r="E213" s="278" t="s">
        <v>1486</v>
      </c>
      <c r="F213" s="277" t="s">
        <v>1487</v>
      </c>
    </row>
    <row r="214" spans="1:6" x14ac:dyDescent="0.25">
      <c r="A214" s="277" t="str">
        <f t="shared" si="3"/>
        <v>Nowy Tomyśl – Urząd Skarbowy w Nowym Tomyślu</v>
      </c>
      <c r="B214" s="290">
        <v>3016</v>
      </c>
      <c r="C214" s="277" t="s">
        <v>1488</v>
      </c>
      <c r="D214" s="277" t="s">
        <v>1489</v>
      </c>
      <c r="E214" s="278" t="s">
        <v>1490</v>
      </c>
      <c r="F214" s="277" t="s">
        <v>1491</v>
      </c>
    </row>
    <row r="215" spans="1:6" x14ac:dyDescent="0.25">
      <c r="A215" s="277" t="str">
        <f t="shared" si="3"/>
        <v>Nysa – Urząd Skarbowy w Nysie</v>
      </c>
      <c r="B215" s="290">
        <v>1607</v>
      </c>
      <c r="C215" s="277" t="s">
        <v>1492</v>
      </c>
      <c r="D215" s="277" t="s">
        <v>1493</v>
      </c>
      <c r="E215" s="278" t="s">
        <v>1494</v>
      </c>
      <c r="F215" s="277" t="s">
        <v>1495</v>
      </c>
    </row>
    <row r="216" spans="1:6" x14ac:dyDescent="0.25">
      <c r="A216" s="277" t="str">
        <f t="shared" si="3"/>
        <v>Oborniki – Urząd Skarbowy w Obornikach</v>
      </c>
      <c r="B216" s="290">
        <v>3038</v>
      </c>
      <c r="C216" s="277" t="s">
        <v>1496</v>
      </c>
      <c r="D216" s="277" t="s">
        <v>1130</v>
      </c>
      <c r="E216" s="278" t="s">
        <v>1497</v>
      </c>
      <c r="F216" s="277" t="s">
        <v>1498</v>
      </c>
    </row>
    <row r="217" spans="1:6" x14ac:dyDescent="0.25">
      <c r="A217" s="277" t="str">
        <f t="shared" si="3"/>
        <v>Oława – Urząd Skarbowy w Oławie</v>
      </c>
      <c r="B217" s="290" t="s">
        <v>2280</v>
      </c>
      <c r="C217" s="277" t="s">
        <v>1499</v>
      </c>
      <c r="D217" s="277" t="s">
        <v>1500</v>
      </c>
      <c r="E217" s="278" t="s">
        <v>1501</v>
      </c>
      <c r="F217" s="277" t="s">
        <v>1502</v>
      </c>
    </row>
    <row r="218" spans="1:6" x14ac:dyDescent="0.25">
      <c r="A218" s="277" t="str">
        <f t="shared" si="3"/>
        <v>Olecko – Urząd Skarbowy w Olecku</v>
      </c>
      <c r="B218" s="290">
        <v>2812</v>
      </c>
      <c r="C218" s="277" t="s">
        <v>1503</v>
      </c>
      <c r="D218" s="277" t="s">
        <v>1504</v>
      </c>
      <c r="E218" s="278" t="s">
        <v>1505</v>
      </c>
      <c r="F218" s="277" t="s">
        <v>1506</v>
      </c>
    </row>
    <row r="219" spans="1:6" x14ac:dyDescent="0.25">
      <c r="A219" s="277" t="str">
        <f t="shared" si="3"/>
        <v>Oleśnica – Urząd Skarbowy w Oleśnicy</v>
      </c>
      <c r="B219" s="290" t="s">
        <v>2279</v>
      </c>
      <c r="C219" s="277" t="s">
        <v>1507</v>
      </c>
      <c r="D219" s="277" t="s">
        <v>1508</v>
      </c>
      <c r="E219" s="278" t="s">
        <v>1509</v>
      </c>
      <c r="F219" s="277" t="s">
        <v>1510</v>
      </c>
    </row>
    <row r="220" spans="1:6" x14ac:dyDescent="0.25">
      <c r="A220" s="277" t="str">
        <f t="shared" si="3"/>
        <v>Olesno – Urząd Skarbowy w Oleśnie</v>
      </c>
      <c r="B220" s="290">
        <v>1608</v>
      </c>
      <c r="C220" s="277" t="s">
        <v>1511</v>
      </c>
      <c r="D220" s="277" t="s">
        <v>1512</v>
      </c>
      <c r="E220" s="278" t="s">
        <v>1513</v>
      </c>
      <c r="F220" s="277" t="s">
        <v>1514</v>
      </c>
    </row>
    <row r="221" spans="1:6" x14ac:dyDescent="0.25">
      <c r="A221" s="277" t="str">
        <f t="shared" si="3"/>
        <v>Olkusz – Urząd Skarbowy w Olkuszu</v>
      </c>
      <c r="B221" s="290">
        <v>1219</v>
      </c>
      <c r="C221" s="277" t="s">
        <v>1515</v>
      </c>
      <c r="D221" s="277" t="s">
        <v>1516</v>
      </c>
      <c r="E221" s="278" t="s">
        <v>1517</v>
      </c>
      <c r="F221" s="277" t="s">
        <v>1518</v>
      </c>
    </row>
    <row r="222" spans="1:6" x14ac:dyDescent="0.25">
      <c r="A222" s="277" t="str">
        <f t="shared" si="3"/>
        <v>Olsztyn – Izba Skarbowa w Olsztynie</v>
      </c>
      <c r="B222" s="290">
        <v>2801</v>
      </c>
      <c r="C222" s="277" t="s">
        <v>1523</v>
      </c>
      <c r="D222" s="277" t="s">
        <v>1524</v>
      </c>
      <c r="E222" s="278" t="s">
        <v>1525</v>
      </c>
      <c r="F222" s="277" t="s">
        <v>1522</v>
      </c>
    </row>
    <row r="223" spans="1:6" x14ac:dyDescent="0.25">
      <c r="A223" s="277" t="str">
        <f t="shared" si="3"/>
        <v>Olsztyn – Urząd Skarbowy w Olsztynie</v>
      </c>
      <c r="B223" s="290">
        <v>2813</v>
      </c>
      <c r="C223" s="277" t="s">
        <v>1526</v>
      </c>
      <c r="D223" s="277" t="s">
        <v>1527</v>
      </c>
      <c r="E223" s="278" t="s">
        <v>1525</v>
      </c>
      <c r="F223" s="277" t="s">
        <v>1522</v>
      </c>
    </row>
    <row r="224" spans="1:6" x14ac:dyDescent="0.25">
      <c r="A224" s="277" t="str">
        <f t="shared" si="3"/>
        <v>Olsztyn – Warmińsko Mazurski Urząd Skarbowy w Olsztynie</v>
      </c>
      <c r="B224" s="290">
        <v>2871</v>
      </c>
      <c r="C224" s="277" t="s">
        <v>1519</v>
      </c>
      <c r="D224" s="277" t="s">
        <v>1520</v>
      </c>
      <c r="E224" s="278" t="s">
        <v>1521</v>
      </c>
      <c r="F224" s="277" t="s">
        <v>1522</v>
      </c>
    </row>
    <row r="225" spans="1:6" x14ac:dyDescent="0.25">
      <c r="A225" s="277" t="str">
        <f t="shared" si="3"/>
        <v>Opatów – Urząd Skarbowy w Opatowie</v>
      </c>
      <c r="B225" s="290">
        <v>2607</v>
      </c>
      <c r="C225" s="277" t="s">
        <v>1528</v>
      </c>
      <c r="D225" s="277" t="s">
        <v>1529</v>
      </c>
      <c r="E225" s="278" t="s">
        <v>1530</v>
      </c>
      <c r="F225" s="277" t="s">
        <v>1531</v>
      </c>
    </row>
    <row r="226" spans="1:6" x14ac:dyDescent="0.25">
      <c r="A226" s="277" t="str">
        <f t="shared" si="3"/>
        <v>Opoczno – Urząd Skarbowy w Opocznie</v>
      </c>
      <c r="B226" s="290">
        <v>1015</v>
      </c>
      <c r="C226" s="277" t="s">
        <v>1532</v>
      </c>
      <c r="D226" s="277" t="s">
        <v>1533</v>
      </c>
      <c r="E226" s="278" t="s">
        <v>1534</v>
      </c>
      <c r="F226" s="277" t="s">
        <v>1535</v>
      </c>
    </row>
    <row r="227" spans="1:6" x14ac:dyDescent="0.25">
      <c r="A227" s="277" t="str">
        <f t="shared" si="3"/>
        <v>Opole – Drugi Urząd Skarbowy w Opolu</v>
      </c>
      <c r="B227" s="290">
        <v>1610</v>
      </c>
      <c r="C227" s="277" t="s">
        <v>1545</v>
      </c>
      <c r="D227" s="277" t="s">
        <v>1546</v>
      </c>
      <c r="E227" s="278" t="s">
        <v>1547</v>
      </c>
      <c r="F227" s="277" t="s">
        <v>1539</v>
      </c>
    </row>
    <row r="228" spans="1:6" x14ac:dyDescent="0.25">
      <c r="A228" s="277" t="str">
        <f t="shared" si="3"/>
        <v>Opole – Izba Skarbowa w Opolu</v>
      </c>
      <c r="B228" s="290">
        <v>1601</v>
      </c>
      <c r="C228" s="277" t="s">
        <v>1536</v>
      </c>
      <c r="D228" s="277" t="s">
        <v>1537</v>
      </c>
      <c r="E228" s="278" t="s">
        <v>1538</v>
      </c>
      <c r="F228" s="277" t="s">
        <v>1539</v>
      </c>
    </row>
    <row r="229" spans="1:6" x14ac:dyDescent="0.25">
      <c r="A229" s="277" t="str">
        <f t="shared" si="3"/>
        <v>Opole – Opolski Urząd Skarbowy w Opolu</v>
      </c>
      <c r="B229" s="290">
        <v>1671</v>
      </c>
      <c r="C229" s="277" t="s">
        <v>1540</v>
      </c>
      <c r="D229" s="277" t="s">
        <v>1541</v>
      </c>
      <c r="E229" s="278" t="s">
        <v>1542</v>
      </c>
      <c r="F229" s="277" t="s">
        <v>1539</v>
      </c>
    </row>
    <row r="230" spans="1:6" x14ac:dyDescent="0.25">
      <c r="A230" s="277" t="str">
        <f t="shared" si="3"/>
        <v>Opole – Pierwszy Urząd Skarbowy w Opolu</v>
      </c>
      <c r="B230" s="290">
        <v>1609</v>
      </c>
      <c r="C230" s="277" t="s">
        <v>1543</v>
      </c>
      <c r="D230" s="277" t="s">
        <v>1544</v>
      </c>
      <c r="E230" s="278" t="s">
        <v>1542</v>
      </c>
      <c r="F230" s="277" t="s">
        <v>1539</v>
      </c>
    </row>
    <row r="231" spans="1:6" x14ac:dyDescent="0.25">
      <c r="A231" s="277" t="str">
        <f t="shared" si="3"/>
        <v>Opole Lubelskie – Urząd Skarbowy w Opolu Lubelskim</v>
      </c>
      <c r="B231" s="290" t="s">
        <v>2336</v>
      </c>
      <c r="C231" s="277" t="s">
        <v>1548</v>
      </c>
      <c r="D231" s="277" t="s">
        <v>1549</v>
      </c>
      <c r="E231" s="278" t="s">
        <v>1550</v>
      </c>
      <c r="F231" s="277" t="s">
        <v>1551</v>
      </c>
    </row>
    <row r="232" spans="1:6" x14ac:dyDescent="0.25">
      <c r="A232" s="277" t="str">
        <f t="shared" si="3"/>
        <v>Ostróda – Urząd Skarbowy w Ostródzie</v>
      </c>
      <c r="B232" s="290">
        <v>2814</v>
      </c>
      <c r="C232" s="277" t="s">
        <v>1552</v>
      </c>
      <c r="D232" s="277" t="s">
        <v>1553</v>
      </c>
      <c r="E232" s="278" t="s">
        <v>1554</v>
      </c>
      <c r="F232" s="277" t="s">
        <v>1555</v>
      </c>
    </row>
    <row r="233" spans="1:6" x14ac:dyDescent="0.25">
      <c r="A233" s="277" t="str">
        <f t="shared" si="3"/>
        <v>Ostrołęka – Urząd Skarbowy w Ostrołęce</v>
      </c>
      <c r="B233" s="290">
        <v>1415</v>
      </c>
      <c r="C233" s="277" t="s">
        <v>1556</v>
      </c>
      <c r="D233" s="277" t="s">
        <v>1557</v>
      </c>
      <c r="E233" s="278" t="s">
        <v>1558</v>
      </c>
      <c r="F233" s="277" t="s">
        <v>1559</v>
      </c>
    </row>
    <row r="234" spans="1:6" x14ac:dyDescent="0.25">
      <c r="A234" s="277" t="str">
        <f t="shared" si="3"/>
        <v>Ostrów Mazowiecka – Urząd Skarbowy w Ostrowi Mazowieckiej</v>
      </c>
      <c r="B234" s="290">
        <v>1416</v>
      </c>
      <c r="C234" s="277" t="s">
        <v>1560</v>
      </c>
      <c r="D234" s="277" t="s">
        <v>1561</v>
      </c>
      <c r="E234" s="278" t="s">
        <v>1562</v>
      </c>
      <c r="F234" s="277" t="s">
        <v>1563</v>
      </c>
    </row>
    <row r="235" spans="1:6" x14ac:dyDescent="0.25">
      <c r="A235" s="277" t="str">
        <f t="shared" si="3"/>
        <v>Ostrów Wielkopolski – Urząd Skarbowy w Ostrowie Wielkopolskim</v>
      </c>
      <c r="B235" s="290">
        <v>3017</v>
      </c>
      <c r="C235" s="277" t="s">
        <v>1564</v>
      </c>
      <c r="D235" s="277" t="s">
        <v>1565</v>
      </c>
      <c r="E235" s="278" t="s">
        <v>1566</v>
      </c>
      <c r="F235" s="277" t="s">
        <v>1567</v>
      </c>
    </row>
    <row r="236" spans="1:6" x14ac:dyDescent="0.25">
      <c r="A236" s="277" t="str">
        <f t="shared" si="3"/>
        <v>Ostrowiec Świętokrzyski – Urząd Skarbowy w Ostrowcu Świętokrzyskim</v>
      </c>
      <c r="B236" s="290">
        <v>2608</v>
      </c>
      <c r="C236" s="277" t="s">
        <v>1568</v>
      </c>
      <c r="D236" s="277" t="s">
        <v>1569</v>
      </c>
      <c r="E236" s="278" t="s">
        <v>1570</v>
      </c>
      <c r="F236" s="277" t="s">
        <v>1571</v>
      </c>
    </row>
    <row r="237" spans="1:6" x14ac:dyDescent="0.25">
      <c r="A237" s="277" t="str">
        <f t="shared" si="3"/>
        <v>Ostrzeszów – Urząd Skarbowy w Ostrzeszowie</v>
      </c>
      <c r="B237" s="290">
        <v>3018</v>
      </c>
      <c r="C237" s="277" t="s">
        <v>1572</v>
      </c>
      <c r="D237" s="277" t="s">
        <v>1573</v>
      </c>
      <c r="E237" s="278" t="s">
        <v>1574</v>
      </c>
      <c r="F237" s="277" t="s">
        <v>1575</v>
      </c>
    </row>
    <row r="238" spans="1:6" x14ac:dyDescent="0.25">
      <c r="A238" s="277" t="str">
        <f t="shared" si="3"/>
        <v>Oświęcim – Urząd Skarbowy w Oświęcimiu</v>
      </c>
      <c r="B238" s="290">
        <v>1220</v>
      </c>
      <c r="C238" s="277" t="s">
        <v>1576</v>
      </c>
      <c r="D238" s="277" t="s">
        <v>1577</v>
      </c>
      <c r="E238" s="278" t="s">
        <v>1578</v>
      </c>
      <c r="F238" s="277" t="s">
        <v>1579</v>
      </c>
    </row>
    <row r="239" spans="1:6" x14ac:dyDescent="0.25">
      <c r="A239" s="277" t="str">
        <f t="shared" si="3"/>
        <v>Otwock – Urząd Skarbowy w Otwocku</v>
      </c>
      <c r="B239" s="290">
        <v>1417</v>
      </c>
      <c r="C239" s="277" t="s">
        <v>1580</v>
      </c>
      <c r="D239" s="277" t="s">
        <v>1581</v>
      </c>
      <c r="E239" s="278" t="s">
        <v>1582</v>
      </c>
      <c r="F239" s="277" t="s">
        <v>1583</v>
      </c>
    </row>
    <row r="240" spans="1:6" x14ac:dyDescent="0.25">
      <c r="A240" s="277" t="str">
        <f t="shared" si="3"/>
        <v>Pabianice – Urząd Skarbowy w Pabianicach</v>
      </c>
      <c r="B240" s="290">
        <v>1016</v>
      </c>
      <c r="C240" s="277" t="s">
        <v>1584</v>
      </c>
      <c r="D240" s="277" t="s">
        <v>1585</v>
      </c>
      <c r="E240" s="278" t="s">
        <v>1586</v>
      </c>
      <c r="F240" s="277" t="s">
        <v>1587</v>
      </c>
    </row>
    <row r="241" spans="1:6" x14ac:dyDescent="0.25">
      <c r="A241" s="277" t="str">
        <f t="shared" si="3"/>
        <v>Pajęczno – Urząd Skarbowy w Pajęcznie</v>
      </c>
      <c r="B241" s="290">
        <v>1029</v>
      </c>
      <c r="C241" s="277" t="s">
        <v>1588</v>
      </c>
      <c r="D241" s="277" t="s">
        <v>1589</v>
      </c>
      <c r="E241" s="278" t="s">
        <v>1590</v>
      </c>
      <c r="F241" s="277" t="s">
        <v>1591</v>
      </c>
    </row>
    <row r="242" spans="1:6" x14ac:dyDescent="0.25">
      <c r="A242" s="277" t="str">
        <f t="shared" si="3"/>
        <v>Parczew – Urząd Skarbowy w Parczewie</v>
      </c>
      <c r="B242" s="290" t="s">
        <v>2337</v>
      </c>
      <c r="C242" s="277" t="s">
        <v>1592</v>
      </c>
      <c r="D242" s="277" t="s">
        <v>1593</v>
      </c>
      <c r="E242" s="278" t="s">
        <v>1594</v>
      </c>
      <c r="F242" s="277" t="s">
        <v>1595</v>
      </c>
    </row>
    <row r="243" spans="1:6" x14ac:dyDescent="0.25">
      <c r="A243" s="277" t="str">
        <f t="shared" si="3"/>
        <v>Piaseczno – Urząd Skarbowy w Piasecznie</v>
      </c>
      <c r="B243" s="290">
        <v>1418</v>
      </c>
      <c r="C243" s="277" t="s">
        <v>1596</v>
      </c>
      <c r="D243" s="277" t="s">
        <v>1597</v>
      </c>
      <c r="E243" s="278" t="s">
        <v>1598</v>
      </c>
      <c r="F243" s="277" t="s">
        <v>1599</v>
      </c>
    </row>
    <row r="244" spans="1:6" x14ac:dyDescent="0.25">
      <c r="A244" s="277" t="str">
        <f t="shared" si="3"/>
        <v>Piekary Śląskie – Urząd Skarbowy w Piekarach Śląskich</v>
      </c>
      <c r="B244" s="290">
        <v>2423</v>
      </c>
      <c r="C244" s="277" t="s">
        <v>1600</v>
      </c>
      <c r="D244" s="277" t="s">
        <v>1601</v>
      </c>
      <c r="E244" s="278" t="s">
        <v>1602</v>
      </c>
      <c r="F244" s="277" t="s">
        <v>1603</v>
      </c>
    </row>
    <row r="245" spans="1:6" x14ac:dyDescent="0.25">
      <c r="A245" s="277" t="str">
        <f t="shared" si="3"/>
        <v>Piła – Urząd Skarbowy w Pile</v>
      </c>
      <c r="B245" s="290">
        <v>3019</v>
      </c>
      <c r="C245" s="277" t="s">
        <v>1604</v>
      </c>
      <c r="D245" s="277" t="s">
        <v>1605</v>
      </c>
      <c r="E245" s="278" t="s">
        <v>1606</v>
      </c>
      <c r="F245" s="277" t="s">
        <v>1607</v>
      </c>
    </row>
    <row r="246" spans="1:6" x14ac:dyDescent="0.25">
      <c r="A246" s="277" t="str">
        <f t="shared" si="3"/>
        <v>Pińczów – Urząd Skarbowy w Pińczowie</v>
      </c>
      <c r="B246" s="290">
        <v>2609</v>
      </c>
      <c r="C246" s="277" t="s">
        <v>1608</v>
      </c>
      <c r="D246" s="277" t="s">
        <v>1609</v>
      </c>
      <c r="E246" s="278" t="s">
        <v>1610</v>
      </c>
      <c r="F246" s="277" t="s">
        <v>1611</v>
      </c>
    </row>
    <row r="247" spans="1:6" x14ac:dyDescent="0.25">
      <c r="A247" s="277" t="str">
        <f t="shared" si="3"/>
        <v>Piotrków Tybunalski – Urząd Skarbowy w Piotrkowie Trybunalskim</v>
      </c>
      <c r="B247" s="290">
        <v>1017</v>
      </c>
      <c r="C247" s="277" t="s">
        <v>1612</v>
      </c>
      <c r="D247" s="277" t="s">
        <v>1613</v>
      </c>
      <c r="E247" s="278" t="s">
        <v>1614</v>
      </c>
      <c r="F247" s="277" t="s">
        <v>1615</v>
      </c>
    </row>
    <row r="248" spans="1:6" x14ac:dyDescent="0.25">
      <c r="A248" s="277" t="str">
        <f t="shared" si="3"/>
        <v>Pisz – Urząd Skarbowy w Piszu</v>
      </c>
      <c r="B248" s="290">
        <v>2815</v>
      </c>
      <c r="C248" s="277" t="s">
        <v>1616</v>
      </c>
      <c r="D248" s="277" t="s">
        <v>1617</v>
      </c>
      <c r="E248" s="278" t="s">
        <v>1618</v>
      </c>
      <c r="F248" s="277" t="s">
        <v>1619</v>
      </c>
    </row>
    <row r="249" spans="1:6" x14ac:dyDescent="0.25">
      <c r="A249" s="277" t="str">
        <f t="shared" si="3"/>
        <v>Pleszew – Urząd Skarbowy w Pleszewie</v>
      </c>
      <c r="B249" s="290">
        <v>3039</v>
      </c>
      <c r="C249" s="277" t="s">
        <v>1620</v>
      </c>
      <c r="D249" s="277" t="s">
        <v>1621</v>
      </c>
      <c r="E249" s="278" t="s">
        <v>1622</v>
      </c>
      <c r="F249" s="277" t="s">
        <v>1623</v>
      </c>
    </row>
    <row r="250" spans="1:6" x14ac:dyDescent="0.25">
      <c r="A250" s="277" t="str">
        <f t="shared" si="3"/>
        <v>Płock – Urząd Skarbowy w Płocku</v>
      </c>
      <c r="B250" s="290">
        <v>1419</v>
      </c>
      <c r="C250" s="277" t="s">
        <v>1624</v>
      </c>
      <c r="D250" s="277" t="s">
        <v>1625</v>
      </c>
      <c r="E250" s="278" t="s">
        <v>1626</v>
      </c>
      <c r="F250" s="277" t="s">
        <v>1627</v>
      </c>
    </row>
    <row r="251" spans="1:6" x14ac:dyDescent="0.25">
      <c r="A251" s="277" t="str">
        <f t="shared" si="3"/>
        <v>Płońsk – Urząd Skarbowy w Płońsku</v>
      </c>
      <c r="B251" s="290">
        <v>1420</v>
      </c>
      <c r="C251" s="277" t="s">
        <v>1628</v>
      </c>
      <c r="D251" s="277" t="s">
        <v>1629</v>
      </c>
      <c r="E251" s="278" t="s">
        <v>1630</v>
      </c>
      <c r="F251" s="277" t="s">
        <v>1631</v>
      </c>
    </row>
    <row r="252" spans="1:6" x14ac:dyDescent="0.25">
      <c r="A252" s="277" t="str">
        <f t="shared" si="3"/>
        <v>Poddębice – Urząd Skarbowy w Poddębicach</v>
      </c>
      <c r="B252" s="290">
        <v>1018</v>
      </c>
      <c r="C252" s="277" t="s">
        <v>1632</v>
      </c>
      <c r="D252" s="277" t="s">
        <v>1633</v>
      </c>
      <c r="E252" s="278" t="s">
        <v>1634</v>
      </c>
      <c r="F252" s="277" t="s">
        <v>1635</v>
      </c>
    </row>
    <row r="253" spans="1:6" x14ac:dyDescent="0.25">
      <c r="A253" s="277" t="str">
        <f t="shared" si="3"/>
        <v>Polkowice – Urząd Skarbowy w Polkowicach</v>
      </c>
      <c r="B253" s="290" t="s">
        <v>2297</v>
      </c>
      <c r="C253" s="277" t="s">
        <v>1636</v>
      </c>
      <c r="D253" s="277" t="s">
        <v>1637</v>
      </c>
      <c r="E253" s="278" t="s">
        <v>1638</v>
      </c>
      <c r="F253" s="277" t="s">
        <v>1639</v>
      </c>
    </row>
    <row r="254" spans="1:6" x14ac:dyDescent="0.25">
      <c r="A254" s="277" t="str">
        <f t="shared" si="3"/>
        <v>Poznań – Izba Skarbowa w Poznaniu</v>
      </c>
      <c r="B254" s="290">
        <v>3001</v>
      </c>
      <c r="C254" s="277" t="s">
        <v>1662</v>
      </c>
      <c r="D254" s="277" t="s">
        <v>1663</v>
      </c>
      <c r="E254" s="278" t="s">
        <v>1664</v>
      </c>
      <c r="F254" s="277" t="s">
        <v>1643</v>
      </c>
    </row>
    <row r="255" spans="1:6" x14ac:dyDescent="0.25">
      <c r="A255" s="277" t="str">
        <f t="shared" si="3"/>
        <v>Poznań – Pierwszy Urząd Skarbowy w Poznaniu</v>
      </c>
      <c r="B255" s="290">
        <v>3023</v>
      </c>
      <c r="C255" s="277" t="s">
        <v>1653</v>
      </c>
      <c r="D255" s="277" t="s">
        <v>1654</v>
      </c>
      <c r="E255" s="278" t="s">
        <v>1655</v>
      </c>
      <c r="F255" s="277" t="s">
        <v>1643</v>
      </c>
    </row>
    <row r="256" spans="1:6" x14ac:dyDescent="0.25">
      <c r="A256" s="277" t="str">
        <f t="shared" si="3"/>
        <v>Poznań – Pierwszy Wielkopolski Urząd Skarbowy w Poznaniu</v>
      </c>
      <c r="B256" s="290">
        <v>3071</v>
      </c>
      <c r="C256" s="277" t="s">
        <v>1647</v>
      </c>
      <c r="D256" s="277" t="s">
        <v>1648</v>
      </c>
      <c r="E256" s="278" t="s">
        <v>1649</v>
      </c>
      <c r="F256" s="277" t="s">
        <v>1643</v>
      </c>
    </row>
    <row r="257" spans="1:6" x14ac:dyDescent="0.25">
      <c r="A257" s="277" t="str">
        <f t="shared" si="3"/>
        <v>Poznań – Urząd Skarbowy Poznań - Grunwald</v>
      </c>
      <c r="B257" s="290">
        <v>3020</v>
      </c>
      <c r="C257" s="277" t="s">
        <v>1640</v>
      </c>
      <c r="D257" s="277" t="s">
        <v>1641</v>
      </c>
      <c r="E257" s="278" t="s">
        <v>1642</v>
      </c>
      <c r="F257" s="277" t="s">
        <v>1643</v>
      </c>
    </row>
    <row r="258" spans="1:6" x14ac:dyDescent="0.25">
      <c r="A258" s="277" t="str">
        <f t="shared" ref="A258:A321" si="4">F258&amp;" – "&amp;C258</f>
        <v>Poznań – Urząd Skarbowy Poznań - Jeżyce</v>
      </c>
      <c r="B258" s="290">
        <v>3021</v>
      </c>
      <c r="C258" s="277" t="s">
        <v>1650</v>
      </c>
      <c r="D258" s="277" t="s">
        <v>1651</v>
      </c>
      <c r="E258" s="278" t="s">
        <v>1652</v>
      </c>
      <c r="F258" s="277" t="s">
        <v>1643</v>
      </c>
    </row>
    <row r="259" spans="1:6" x14ac:dyDescent="0.25">
      <c r="A259" s="277" t="str">
        <f t="shared" si="4"/>
        <v>Poznań – Urząd Skarbowy Poznań - Nowe Miasto</v>
      </c>
      <c r="B259" s="290">
        <v>3022</v>
      </c>
      <c r="C259" s="277" t="s">
        <v>1656</v>
      </c>
      <c r="D259" s="277" t="s">
        <v>1657</v>
      </c>
      <c r="E259" s="278" t="s">
        <v>1658</v>
      </c>
      <c r="F259" s="277" t="s">
        <v>1643</v>
      </c>
    </row>
    <row r="260" spans="1:6" x14ac:dyDescent="0.25">
      <c r="A260" s="277" t="str">
        <f t="shared" si="4"/>
        <v>Poznań – Urząd Skarbowy Poznań - Wilda</v>
      </c>
      <c r="B260" s="290">
        <v>3026</v>
      </c>
      <c r="C260" s="277" t="s">
        <v>1659</v>
      </c>
      <c r="D260" s="277" t="s">
        <v>1660</v>
      </c>
      <c r="E260" s="278" t="s">
        <v>1661</v>
      </c>
      <c r="F260" s="277" t="s">
        <v>1643</v>
      </c>
    </row>
    <row r="261" spans="1:6" x14ac:dyDescent="0.25">
      <c r="A261" s="277" t="str">
        <f t="shared" si="4"/>
        <v>Poznań – Urząd Skarbowy Poznań - Winogrady</v>
      </c>
      <c r="B261" s="290">
        <v>3025</v>
      </c>
      <c r="C261" s="277" t="s">
        <v>1644</v>
      </c>
      <c r="D261" s="277" t="s">
        <v>1645</v>
      </c>
      <c r="E261" s="278" t="s">
        <v>1646</v>
      </c>
      <c r="F261" s="277" t="s">
        <v>1643</v>
      </c>
    </row>
    <row r="262" spans="1:6" x14ac:dyDescent="0.25">
      <c r="A262" s="277" t="str">
        <f t="shared" si="4"/>
        <v>Proszowice – Urząd Skarbowy w Proszowicach</v>
      </c>
      <c r="B262" s="290">
        <v>1221</v>
      </c>
      <c r="C262" s="277" t="s">
        <v>1665</v>
      </c>
      <c r="D262" s="277" t="s">
        <v>1666</v>
      </c>
      <c r="E262" s="278" t="s">
        <v>1667</v>
      </c>
      <c r="F262" s="277" t="s">
        <v>1668</v>
      </c>
    </row>
    <row r="263" spans="1:6" x14ac:dyDescent="0.25">
      <c r="A263" s="277" t="str">
        <f t="shared" si="4"/>
        <v>Prudnik – Urząd Skarbowy w Prudniku</v>
      </c>
      <c r="B263" s="290">
        <v>1611</v>
      </c>
      <c r="C263" s="277" t="s">
        <v>1669</v>
      </c>
      <c r="D263" s="277" t="s">
        <v>1670</v>
      </c>
      <c r="E263" s="278" t="s">
        <v>1671</v>
      </c>
      <c r="F263" s="277" t="s">
        <v>1672</v>
      </c>
    </row>
    <row r="264" spans="1:6" x14ac:dyDescent="0.25">
      <c r="A264" s="277" t="str">
        <f t="shared" si="4"/>
        <v>Pruszcz Gdański – Urząd Skarbowy w Pruszczu Gdańskim</v>
      </c>
      <c r="B264" s="290">
        <v>2221</v>
      </c>
      <c r="C264" s="277" t="s">
        <v>1673</v>
      </c>
      <c r="D264" s="277" t="s">
        <v>1674</v>
      </c>
      <c r="E264" s="278" t="s">
        <v>1675</v>
      </c>
      <c r="F264" s="277" t="s">
        <v>1676</v>
      </c>
    </row>
    <row r="265" spans="1:6" x14ac:dyDescent="0.25">
      <c r="A265" s="277" t="str">
        <f t="shared" si="4"/>
        <v>Pruszków – Urząd Skarbowy w Pruszkowie</v>
      </c>
      <c r="B265" s="290">
        <v>1421</v>
      </c>
      <c r="C265" s="277" t="s">
        <v>1677</v>
      </c>
      <c r="D265" s="277" t="s">
        <v>1469</v>
      </c>
      <c r="E265" s="278" t="s">
        <v>1678</v>
      </c>
      <c r="F265" s="277" t="s">
        <v>1679</v>
      </c>
    </row>
    <row r="266" spans="1:6" x14ac:dyDescent="0.25">
      <c r="A266" s="277" t="str">
        <f t="shared" si="4"/>
        <v>Przasnysz – Urząd Skarbowy w Przasnyszu</v>
      </c>
      <c r="B266" s="290">
        <v>1422</v>
      </c>
      <c r="C266" s="277" t="s">
        <v>1680</v>
      </c>
      <c r="D266" s="277" t="s">
        <v>1681</v>
      </c>
      <c r="E266" s="278" t="s">
        <v>1682</v>
      </c>
      <c r="F266" s="277" t="s">
        <v>1683</v>
      </c>
    </row>
    <row r="267" spans="1:6" x14ac:dyDescent="0.25">
      <c r="A267" s="277" t="str">
        <f t="shared" si="4"/>
        <v>Przemyśl – Urząd Skarbowy w Przemyślu</v>
      </c>
      <c r="B267" s="290">
        <v>1813</v>
      </c>
      <c r="C267" s="277" t="s">
        <v>1684</v>
      </c>
      <c r="D267" s="277" t="s">
        <v>1685</v>
      </c>
      <c r="E267" s="278" t="s">
        <v>1686</v>
      </c>
      <c r="F267" s="277" t="s">
        <v>1687</v>
      </c>
    </row>
    <row r="268" spans="1:6" x14ac:dyDescent="0.25">
      <c r="A268" s="277" t="str">
        <f t="shared" si="4"/>
        <v>Przeworsk – Urząd Skarbowy w Przeworsku</v>
      </c>
      <c r="B268" s="290">
        <v>1814</v>
      </c>
      <c r="C268" s="277" t="s">
        <v>1688</v>
      </c>
      <c r="D268" s="277" t="s">
        <v>1689</v>
      </c>
      <c r="E268" s="278" t="s">
        <v>1690</v>
      </c>
      <c r="F268" s="277" t="s">
        <v>1691</v>
      </c>
    </row>
    <row r="269" spans="1:6" x14ac:dyDescent="0.25">
      <c r="A269" s="277" t="str">
        <f t="shared" si="4"/>
        <v>Przysucha – Urząd Skarbowy w Przysusze</v>
      </c>
      <c r="B269" s="290">
        <v>1448</v>
      </c>
      <c r="C269" s="277" t="s">
        <v>1692</v>
      </c>
      <c r="D269" s="277" t="s">
        <v>1693</v>
      </c>
      <c r="E269" s="278" t="s">
        <v>1694</v>
      </c>
      <c r="F269" s="277" t="s">
        <v>1695</v>
      </c>
    </row>
    <row r="270" spans="1:6" x14ac:dyDescent="0.25">
      <c r="A270" s="277" t="str">
        <f t="shared" si="4"/>
        <v>Pszczyna – Urząd Skarbowy w Pszczynie</v>
      </c>
      <c r="B270" s="290">
        <v>2424</v>
      </c>
      <c r="C270" s="277" t="s">
        <v>1696</v>
      </c>
      <c r="D270" s="277" t="s">
        <v>1697</v>
      </c>
      <c r="E270" s="278" t="s">
        <v>1698</v>
      </c>
      <c r="F270" s="277" t="s">
        <v>1699</v>
      </c>
    </row>
    <row r="271" spans="1:6" x14ac:dyDescent="0.25">
      <c r="A271" s="277" t="str">
        <f t="shared" si="4"/>
        <v>Puck – Urząd Skarbowy w Pucku</v>
      </c>
      <c r="B271" s="290">
        <v>2215</v>
      </c>
      <c r="C271" s="277" t="s">
        <v>1700</v>
      </c>
      <c r="D271" s="277" t="s">
        <v>1701</v>
      </c>
      <c r="E271" s="278" t="s">
        <v>1702</v>
      </c>
      <c r="F271" s="277" t="s">
        <v>1703</v>
      </c>
    </row>
    <row r="272" spans="1:6" x14ac:dyDescent="0.25">
      <c r="A272" s="277" t="str">
        <f t="shared" si="4"/>
        <v>Puławy – Urząd Skarbowy w Puławach</v>
      </c>
      <c r="B272" s="290" t="s">
        <v>2338</v>
      </c>
      <c r="C272" s="277" t="s">
        <v>1704</v>
      </c>
      <c r="D272" s="277" t="s">
        <v>1705</v>
      </c>
      <c r="E272" s="278" t="s">
        <v>1706</v>
      </c>
      <c r="F272" s="277" t="s">
        <v>1707</v>
      </c>
    </row>
    <row r="273" spans="1:6" x14ac:dyDescent="0.25">
      <c r="A273" s="277" t="str">
        <f t="shared" si="4"/>
        <v>Pułtusk – Urząd Skarbowy w Pułtusku</v>
      </c>
      <c r="B273" s="290">
        <v>1423</v>
      </c>
      <c r="C273" s="277" t="s">
        <v>1708</v>
      </c>
      <c r="D273" s="277" t="s">
        <v>1709</v>
      </c>
      <c r="E273" s="278" t="s">
        <v>1710</v>
      </c>
      <c r="F273" s="277" t="s">
        <v>1711</v>
      </c>
    </row>
    <row r="274" spans="1:6" x14ac:dyDescent="0.25">
      <c r="A274" s="277" t="str">
        <f t="shared" si="4"/>
        <v>Pyrzyce – Urząd Skarbowy w Pyrzycach</v>
      </c>
      <c r="B274" s="290">
        <v>3213</v>
      </c>
      <c r="C274" s="277" t="s">
        <v>1712</v>
      </c>
      <c r="D274" s="277" t="s">
        <v>837</v>
      </c>
      <c r="E274" s="278" t="s">
        <v>1713</v>
      </c>
      <c r="F274" s="277" t="s">
        <v>1714</v>
      </c>
    </row>
    <row r="275" spans="1:6" x14ac:dyDescent="0.25">
      <c r="A275" s="277" t="str">
        <f t="shared" si="4"/>
        <v>Racibórz – Urząd Skarbowy w Raciborzu</v>
      </c>
      <c r="B275" s="290">
        <v>2425</v>
      </c>
      <c r="C275" s="277" t="s">
        <v>1715</v>
      </c>
      <c r="D275" s="277" t="s">
        <v>1716</v>
      </c>
      <c r="E275" s="278" t="s">
        <v>1717</v>
      </c>
      <c r="F275" s="277" t="s">
        <v>1718</v>
      </c>
    </row>
    <row r="276" spans="1:6" x14ac:dyDescent="0.25">
      <c r="A276" s="277" t="str">
        <f t="shared" si="4"/>
        <v>Radom – Drugi Urząd Skarbowy w Radomiu</v>
      </c>
      <c r="B276" s="290">
        <v>1425</v>
      </c>
      <c r="C276" s="277" t="s">
        <v>1719</v>
      </c>
      <c r="D276" s="277" t="s">
        <v>1720</v>
      </c>
      <c r="E276" s="278" t="s">
        <v>1721</v>
      </c>
      <c r="F276" s="277" t="s">
        <v>1722</v>
      </c>
    </row>
    <row r="277" spans="1:6" x14ac:dyDescent="0.25">
      <c r="A277" s="277" t="str">
        <f t="shared" si="4"/>
        <v>Radom – Pierwszy Urząd Skarbowy w Radomiu</v>
      </c>
      <c r="B277" s="290">
        <v>1424</v>
      </c>
      <c r="C277" s="277" t="s">
        <v>1726</v>
      </c>
      <c r="D277" s="277" t="s">
        <v>1727</v>
      </c>
      <c r="E277" s="278" t="s">
        <v>1725</v>
      </c>
      <c r="F277" s="277" t="s">
        <v>1722</v>
      </c>
    </row>
    <row r="278" spans="1:6" x14ac:dyDescent="0.25">
      <c r="A278" s="277" t="str">
        <f t="shared" si="4"/>
        <v>Radom – Trzeci Mazowiecki Urząd Skarbowy</v>
      </c>
      <c r="B278" s="290">
        <v>1473</v>
      </c>
      <c r="C278" s="277" t="s">
        <v>1723</v>
      </c>
      <c r="D278" s="277" t="s">
        <v>1724</v>
      </c>
      <c r="E278" s="278" t="s">
        <v>1725</v>
      </c>
      <c r="F278" s="277" t="s">
        <v>1722</v>
      </c>
    </row>
    <row r="279" spans="1:6" x14ac:dyDescent="0.25">
      <c r="A279" s="277" t="str">
        <f t="shared" si="4"/>
        <v>Radomsko – Urząd Skarbowy w Radomsku</v>
      </c>
      <c r="B279" s="290">
        <v>1019</v>
      </c>
      <c r="C279" s="277" t="s">
        <v>1728</v>
      </c>
      <c r="D279" s="277" t="s">
        <v>1441</v>
      </c>
      <c r="E279" s="278" t="s">
        <v>1729</v>
      </c>
      <c r="F279" s="277" t="s">
        <v>1730</v>
      </c>
    </row>
    <row r="280" spans="1:6" x14ac:dyDescent="0.25">
      <c r="A280" s="277" t="str">
        <f t="shared" si="4"/>
        <v>Radziejów – Urząd Skarbowy w Radziejowie</v>
      </c>
      <c r="B280" s="290" t="s">
        <v>2311</v>
      </c>
      <c r="C280" s="277" t="s">
        <v>1731</v>
      </c>
      <c r="D280" s="277" t="s">
        <v>1732</v>
      </c>
      <c r="E280" s="278" t="s">
        <v>1733</v>
      </c>
      <c r="F280" s="277" t="s">
        <v>1734</v>
      </c>
    </row>
    <row r="281" spans="1:6" x14ac:dyDescent="0.25">
      <c r="A281" s="277" t="str">
        <f t="shared" si="4"/>
        <v>Radzyń Podlaski – Urząd Skarbowy w Radzyniu Podlaskim</v>
      </c>
      <c r="B281" s="290" t="s">
        <v>2339</v>
      </c>
      <c r="C281" s="277" t="s">
        <v>1735</v>
      </c>
      <c r="D281" s="277" t="s">
        <v>1736</v>
      </c>
      <c r="E281" s="278" t="s">
        <v>1737</v>
      </c>
      <c r="F281" s="277" t="s">
        <v>1738</v>
      </c>
    </row>
    <row r="282" spans="1:6" x14ac:dyDescent="0.25">
      <c r="A282" s="277" t="str">
        <f t="shared" si="4"/>
        <v>Rawa Mazowiecka – Urząd Skarbowy w Rawie Mazowieckiej</v>
      </c>
      <c r="B282" s="290">
        <v>1020</v>
      </c>
      <c r="C282" s="277" t="s">
        <v>1739</v>
      </c>
      <c r="D282" s="277" t="s">
        <v>1740</v>
      </c>
      <c r="E282" s="278" t="s">
        <v>1741</v>
      </c>
      <c r="F282" s="277" t="s">
        <v>1742</v>
      </c>
    </row>
    <row r="283" spans="1:6" x14ac:dyDescent="0.25">
      <c r="A283" s="277" t="str">
        <f t="shared" si="4"/>
        <v>Rawicz – Urząd Skarbowy w Rawiczu</v>
      </c>
      <c r="B283" s="290">
        <v>3027</v>
      </c>
      <c r="C283" s="277" t="s">
        <v>1743</v>
      </c>
      <c r="D283" s="277" t="s">
        <v>1301</v>
      </c>
      <c r="E283" s="278" t="s">
        <v>1744</v>
      </c>
      <c r="F283" s="277" t="s">
        <v>1745</v>
      </c>
    </row>
    <row r="284" spans="1:6" x14ac:dyDescent="0.25">
      <c r="A284" s="277" t="str">
        <f t="shared" si="4"/>
        <v>Ropczyce – Urząd Skarbowy w Ropczycach</v>
      </c>
      <c r="B284" s="290">
        <v>1815</v>
      </c>
      <c r="C284" s="277" t="s">
        <v>1746</v>
      </c>
      <c r="D284" s="277" t="s">
        <v>1747</v>
      </c>
      <c r="E284" s="278" t="s">
        <v>1748</v>
      </c>
      <c r="F284" s="277" t="s">
        <v>1749</v>
      </c>
    </row>
    <row r="285" spans="1:6" x14ac:dyDescent="0.25">
      <c r="A285" s="277" t="str">
        <f t="shared" si="4"/>
        <v>Ruda Śląska – Urząd Skarbowy w Rudzie Śląskiej</v>
      </c>
      <c r="B285" s="290">
        <v>2426</v>
      </c>
      <c r="C285" s="277" t="s">
        <v>1750</v>
      </c>
      <c r="D285" s="277" t="s">
        <v>1751</v>
      </c>
      <c r="E285" s="278" t="s">
        <v>1752</v>
      </c>
      <c r="F285" s="277" t="s">
        <v>1753</v>
      </c>
    </row>
    <row r="286" spans="1:6" x14ac:dyDescent="0.25">
      <c r="A286" s="277" t="str">
        <f t="shared" si="4"/>
        <v>Rybnik – Urząd Skarbowy w Rybniku</v>
      </c>
      <c r="B286" s="290">
        <v>2427</v>
      </c>
      <c r="C286" s="277" t="s">
        <v>1754</v>
      </c>
      <c r="D286" s="277" t="s">
        <v>1755</v>
      </c>
      <c r="E286" s="278" t="s">
        <v>1756</v>
      </c>
      <c r="F286" s="277" t="s">
        <v>1757</v>
      </c>
    </row>
    <row r="287" spans="1:6" x14ac:dyDescent="0.25">
      <c r="A287" s="277" t="str">
        <f t="shared" si="4"/>
        <v>Ryki – Urząd Skarbowy w Rykach</v>
      </c>
      <c r="B287" s="290" t="s">
        <v>2344</v>
      </c>
      <c r="C287" s="277" t="s">
        <v>1758</v>
      </c>
      <c r="D287" s="277" t="s">
        <v>1759</v>
      </c>
      <c r="E287" s="278" t="s">
        <v>1760</v>
      </c>
      <c r="F287" s="277" t="s">
        <v>1761</v>
      </c>
    </row>
    <row r="288" spans="1:6" x14ac:dyDescent="0.25">
      <c r="A288" s="277" t="str">
        <f t="shared" si="4"/>
        <v>Rypin – Urząd Skarbowy w Rypinie</v>
      </c>
      <c r="B288" s="290" t="s">
        <v>2312</v>
      </c>
      <c r="C288" s="277" t="s">
        <v>1762</v>
      </c>
      <c r="D288" s="277" t="s">
        <v>1763</v>
      </c>
      <c r="E288" s="278" t="s">
        <v>1764</v>
      </c>
      <c r="F288" s="277" t="s">
        <v>1765</v>
      </c>
    </row>
    <row r="289" spans="1:6" x14ac:dyDescent="0.25">
      <c r="A289" s="277" t="str">
        <f t="shared" si="4"/>
        <v>Rzeszów – Drugi Urząd Skarbowy w Rzeszowie</v>
      </c>
      <c r="B289" s="290">
        <v>1822</v>
      </c>
      <c r="C289" s="277" t="s">
        <v>1766</v>
      </c>
      <c r="D289" s="277" t="s">
        <v>1767</v>
      </c>
      <c r="E289" s="278" t="s">
        <v>1768</v>
      </c>
      <c r="F289" s="277" t="s">
        <v>1769</v>
      </c>
    </row>
    <row r="290" spans="1:6" x14ac:dyDescent="0.25">
      <c r="A290" s="277" t="str">
        <f t="shared" si="4"/>
        <v>Rzeszów – Izba Skarbowa w Rzeszowie</v>
      </c>
      <c r="B290" s="290">
        <v>1801</v>
      </c>
      <c r="C290" s="277" t="s">
        <v>1773</v>
      </c>
      <c r="D290" s="277" t="s">
        <v>1774</v>
      </c>
      <c r="E290" s="278" t="s">
        <v>1775</v>
      </c>
      <c r="F290" s="277" t="s">
        <v>1769</v>
      </c>
    </row>
    <row r="291" spans="1:6" x14ac:dyDescent="0.25">
      <c r="A291" s="277" t="str">
        <f t="shared" si="4"/>
        <v>Rzeszów – Pierwszy Urząd Skarbowy w Rzeszowie</v>
      </c>
      <c r="B291" s="290">
        <v>1816</v>
      </c>
      <c r="C291" s="277" t="s">
        <v>1770</v>
      </c>
      <c r="D291" s="277" t="s">
        <v>1771</v>
      </c>
      <c r="E291" s="278" t="s">
        <v>1772</v>
      </c>
      <c r="F291" s="277" t="s">
        <v>1769</v>
      </c>
    </row>
    <row r="292" spans="1:6" x14ac:dyDescent="0.25">
      <c r="A292" s="277" t="str">
        <f t="shared" si="4"/>
        <v>Rzeszów – Podkarpacki Urząd Skarbowy w Rzeszowie</v>
      </c>
      <c r="B292" s="290">
        <v>1871</v>
      </c>
      <c r="C292" s="277" t="s">
        <v>1776</v>
      </c>
      <c r="D292" s="277" t="s">
        <v>1774</v>
      </c>
      <c r="E292" s="278" t="s">
        <v>1775</v>
      </c>
      <c r="F292" s="277" t="s">
        <v>1769</v>
      </c>
    </row>
    <row r="293" spans="1:6" x14ac:dyDescent="0.25">
      <c r="A293" s="277" t="str">
        <f t="shared" si="4"/>
        <v>Sandomierz – Urząd Skarbowy w Sandomierzu</v>
      </c>
      <c r="B293" s="290">
        <v>2610</v>
      </c>
      <c r="C293" s="277" t="s">
        <v>1777</v>
      </c>
      <c r="D293" s="277" t="s">
        <v>1778</v>
      </c>
      <c r="E293" s="278" t="s">
        <v>1779</v>
      </c>
      <c r="F293" s="277" t="s">
        <v>1780</v>
      </c>
    </row>
    <row r="294" spans="1:6" x14ac:dyDescent="0.25">
      <c r="A294" s="277" t="str">
        <f t="shared" si="4"/>
        <v>Sanok – Urząd Skarbowy w Sanoku</v>
      </c>
      <c r="B294" s="290">
        <v>1817</v>
      </c>
      <c r="C294" s="277" t="s">
        <v>1781</v>
      </c>
      <c r="D294" s="277" t="s">
        <v>1782</v>
      </c>
      <c r="E294" s="278" t="s">
        <v>1783</v>
      </c>
      <c r="F294" s="277" t="s">
        <v>1784</v>
      </c>
    </row>
    <row r="295" spans="1:6" x14ac:dyDescent="0.25">
      <c r="A295" s="277" t="str">
        <f t="shared" si="4"/>
        <v>Sępólno Krajeńskie – Urząd Skarbowy w Sępólnie Krajeńskim</v>
      </c>
      <c r="B295" s="290" t="s">
        <v>2321</v>
      </c>
      <c r="C295" s="277" t="s">
        <v>1785</v>
      </c>
      <c r="D295" s="277" t="s">
        <v>1786</v>
      </c>
      <c r="E295" s="278" t="s">
        <v>1787</v>
      </c>
      <c r="F295" s="277" t="s">
        <v>1788</v>
      </c>
    </row>
    <row r="296" spans="1:6" x14ac:dyDescent="0.25">
      <c r="A296" s="277" t="str">
        <f t="shared" si="4"/>
        <v>Siedlce – Urząd Skarbowy w Siedlcach</v>
      </c>
      <c r="B296" s="290">
        <v>1426</v>
      </c>
      <c r="C296" s="277" t="s">
        <v>1789</v>
      </c>
      <c r="D296" s="277" t="s">
        <v>1790</v>
      </c>
      <c r="E296" s="278" t="s">
        <v>1791</v>
      </c>
      <c r="F296" s="277" t="s">
        <v>1792</v>
      </c>
    </row>
    <row r="297" spans="1:6" x14ac:dyDescent="0.25">
      <c r="A297" s="277" t="str">
        <f t="shared" si="4"/>
        <v>Siemianowice Śląskie – Urząd Skarbowy w Siemianowicach Śląskich</v>
      </c>
      <c r="B297" s="290">
        <v>2428</v>
      </c>
      <c r="C297" s="277" t="s">
        <v>1793</v>
      </c>
      <c r="D297" s="277" t="s">
        <v>1794</v>
      </c>
      <c r="E297" s="278" t="s">
        <v>1795</v>
      </c>
      <c r="F297" s="277" t="s">
        <v>1796</v>
      </c>
    </row>
    <row r="298" spans="1:6" x14ac:dyDescent="0.25">
      <c r="A298" s="277" t="str">
        <f t="shared" si="4"/>
        <v>Siemiatycze – Urząd Skarbowy w Siemiatyczach</v>
      </c>
      <c r="B298" s="290">
        <v>2010</v>
      </c>
      <c r="C298" s="277" t="s">
        <v>1797</v>
      </c>
      <c r="D298" s="277" t="s">
        <v>1798</v>
      </c>
      <c r="E298" s="278" t="s">
        <v>1799</v>
      </c>
      <c r="F298" s="277" t="s">
        <v>1800</v>
      </c>
    </row>
    <row r="299" spans="1:6" x14ac:dyDescent="0.25">
      <c r="A299" s="277" t="str">
        <f t="shared" si="4"/>
        <v>Sieradz – Urząd Skarbowy w Sieradzu</v>
      </c>
      <c r="B299" s="290">
        <v>1021</v>
      </c>
      <c r="C299" s="277" t="s">
        <v>1801</v>
      </c>
      <c r="D299" s="277" t="s">
        <v>1802</v>
      </c>
      <c r="E299" s="278" t="s">
        <v>1803</v>
      </c>
      <c r="F299" s="277" t="s">
        <v>1804</v>
      </c>
    </row>
    <row r="300" spans="1:6" x14ac:dyDescent="0.25">
      <c r="A300" s="277" t="str">
        <f t="shared" si="4"/>
        <v>Sierpc – Urząd Skarbowy w Sierpcu</v>
      </c>
      <c r="B300" s="290">
        <v>1427</v>
      </c>
      <c r="C300" s="277" t="s">
        <v>1805</v>
      </c>
      <c r="D300" s="277" t="s">
        <v>1806</v>
      </c>
      <c r="E300" s="278" t="s">
        <v>1807</v>
      </c>
      <c r="F300" s="277" t="s">
        <v>1808</v>
      </c>
    </row>
    <row r="301" spans="1:6" x14ac:dyDescent="0.25">
      <c r="A301" s="277" t="str">
        <f t="shared" si="4"/>
        <v>Skarżysko-Kamienna – Urząd Skarbowy w Skarżysku-Kamiennej</v>
      </c>
      <c r="B301" s="290">
        <v>2611</v>
      </c>
      <c r="C301" s="277" t="s">
        <v>1809</v>
      </c>
      <c r="D301" s="277" t="s">
        <v>1810</v>
      </c>
      <c r="E301" s="278" t="s">
        <v>1811</v>
      </c>
      <c r="F301" s="277" t="s">
        <v>1812</v>
      </c>
    </row>
    <row r="302" spans="1:6" x14ac:dyDescent="0.25">
      <c r="A302" s="277" t="str">
        <f t="shared" si="4"/>
        <v>Skierniewice – Urząd Skarbowy w Skierniewicach</v>
      </c>
      <c r="B302" s="290">
        <v>1022</v>
      </c>
      <c r="C302" s="277" t="s">
        <v>1813</v>
      </c>
      <c r="D302" s="277" t="s">
        <v>1814</v>
      </c>
      <c r="E302" s="278" t="s">
        <v>1815</v>
      </c>
      <c r="F302" s="277" t="s">
        <v>1816</v>
      </c>
    </row>
    <row r="303" spans="1:6" x14ac:dyDescent="0.25">
      <c r="A303" s="277" t="str">
        <f t="shared" si="4"/>
        <v>Słubice – Urząd Skarbowy w Słubicach</v>
      </c>
      <c r="B303" s="290" t="s">
        <v>2351</v>
      </c>
      <c r="C303" s="277" t="s">
        <v>1817</v>
      </c>
      <c r="D303" s="277" t="s">
        <v>1818</v>
      </c>
      <c r="E303" s="278" t="s">
        <v>1819</v>
      </c>
      <c r="F303" s="277" t="s">
        <v>1820</v>
      </c>
    </row>
    <row r="304" spans="1:6" x14ac:dyDescent="0.25">
      <c r="A304" s="277" t="str">
        <f t="shared" si="4"/>
        <v>Słupca – Urząd Skarbowy w Słupcy</v>
      </c>
      <c r="B304" s="290">
        <v>3028</v>
      </c>
      <c r="C304" s="277" t="s">
        <v>1821</v>
      </c>
      <c r="D304" s="277" t="s">
        <v>1822</v>
      </c>
      <c r="E304" s="278" t="s">
        <v>1823</v>
      </c>
      <c r="F304" s="277" t="s">
        <v>1824</v>
      </c>
    </row>
    <row r="305" spans="1:6" x14ac:dyDescent="0.25">
      <c r="A305" s="277" t="str">
        <f t="shared" si="4"/>
        <v>Słupsk – Urząd Skarbowy w Słupsku</v>
      </c>
      <c r="B305" s="290">
        <v>2216</v>
      </c>
      <c r="C305" s="277" t="s">
        <v>1825</v>
      </c>
      <c r="D305" s="277" t="s">
        <v>1826</v>
      </c>
      <c r="E305" s="278" t="s">
        <v>1827</v>
      </c>
      <c r="F305" s="277" t="s">
        <v>1828</v>
      </c>
    </row>
    <row r="306" spans="1:6" x14ac:dyDescent="0.25">
      <c r="A306" s="277" t="str">
        <f t="shared" si="4"/>
        <v>Sochaczew – Urząd Skarbowy w Sochaczewie</v>
      </c>
      <c r="B306" s="290">
        <v>1428</v>
      </c>
      <c r="C306" s="277" t="s">
        <v>1829</v>
      </c>
      <c r="D306" s="277" t="s">
        <v>1830</v>
      </c>
      <c r="E306" s="278" t="s">
        <v>1831</v>
      </c>
      <c r="F306" s="277" t="s">
        <v>1832</v>
      </c>
    </row>
    <row r="307" spans="1:6" x14ac:dyDescent="0.25">
      <c r="A307" s="277" t="str">
        <f t="shared" si="4"/>
        <v>Sokółka – Urząd Skarbowy w Sokółce</v>
      </c>
      <c r="B307" s="290">
        <v>2011</v>
      </c>
      <c r="C307" s="277" t="s">
        <v>1833</v>
      </c>
      <c r="D307" s="277" t="s">
        <v>1834</v>
      </c>
      <c r="E307" s="278" t="s">
        <v>1835</v>
      </c>
      <c r="F307" s="277" t="s">
        <v>1836</v>
      </c>
    </row>
    <row r="308" spans="1:6" x14ac:dyDescent="0.25">
      <c r="A308" s="277" t="str">
        <f t="shared" si="4"/>
        <v>Sokołów Podlaski – Urząd Skarbowy w Sokołowie Podlaskim</v>
      </c>
      <c r="B308" s="290">
        <v>1429</v>
      </c>
      <c r="C308" s="277" t="s">
        <v>1837</v>
      </c>
      <c r="D308" s="277" t="s">
        <v>1838</v>
      </c>
      <c r="E308" s="278" t="s">
        <v>1839</v>
      </c>
      <c r="F308" s="277" t="s">
        <v>1840</v>
      </c>
    </row>
    <row r="309" spans="1:6" x14ac:dyDescent="0.25">
      <c r="A309" s="277" t="str">
        <f t="shared" si="4"/>
        <v>Sopot – Urząd Skarbowy w Sopocie</v>
      </c>
      <c r="B309" s="290">
        <v>2217</v>
      </c>
      <c r="C309" s="277" t="s">
        <v>1841</v>
      </c>
      <c r="D309" s="277" t="s">
        <v>1842</v>
      </c>
      <c r="E309" s="278" t="s">
        <v>1843</v>
      </c>
      <c r="F309" s="277" t="s">
        <v>1844</v>
      </c>
    </row>
    <row r="310" spans="1:6" x14ac:dyDescent="0.25">
      <c r="A310" s="277" t="str">
        <f t="shared" si="4"/>
        <v>Sosnowiec – Pierwszy Śląski Urząd Skarbowy w Sosnowcu</v>
      </c>
      <c r="B310" s="290">
        <v>2471</v>
      </c>
      <c r="C310" s="277" t="s">
        <v>1849</v>
      </c>
      <c r="D310" s="277" t="s">
        <v>1850</v>
      </c>
      <c r="E310" s="278" t="s">
        <v>1851</v>
      </c>
      <c r="F310" s="277" t="s">
        <v>1848</v>
      </c>
    </row>
    <row r="311" spans="1:6" x14ac:dyDescent="0.25">
      <c r="A311" s="277" t="str">
        <f t="shared" si="4"/>
        <v>Sosnowiec – Urząd Skarbowy w Sosnowcu</v>
      </c>
      <c r="B311" s="290">
        <v>2429</v>
      </c>
      <c r="C311" s="277" t="s">
        <v>1845</v>
      </c>
      <c r="D311" s="277" t="s">
        <v>1846</v>
      </c>
      <c r="E311" s="278" t="s">
        <v>1847</v>
      </c>
      <c r="F311" s="277" t="s">
        <v>1848</v>
      </c>
    </row>
    <row r="312" spans="1:6" x14ac:dyDescent="0.25">
      <c r="A312" s="277" t="str">
        <f t="shared" si="4"/>
        <v>Śrem – Urząd Skarbowy w Śremie</v>
      </c>
      <c r="B312" s="290">
        <v>3030</v>
      </c>
      <c r="C312" s="277" t="s">
        <v>1852</v>
      </c>
      <c r="D312" s="277" t="s">
        <v>1853</v>
      </c>
      <c r="E312" s="278" t="s">
        <v>1854</v>
      </c>
      <c r="F312" s="277" t="s">
        <v>1855</v>
      </c>
    </row>
    <row r="313" spans="1:6" x14ac:dyDescent="0.25">
      <c r="A313" s="277" t="str">
        <f t="shared" si="4"/>
        <v>Środa Śląska – Urząd Skarbowy w Środzie Śląskiej</v>
      </c>
      <c r="B313" s="290" t="s">
        <v>2282</v>
      </c>
      <c r="C313" s="277" t="s">
        <v>1856</v>
      </c>
      <c r="D313" s="277" t="s">
        <v>1857</v>
      </c>
      <c r="E313" s="278" t="s">
        <v>1858</v>
      </c>
      <c r="F313" s="277" t="s">
        <v>1859</v>
      </c>
    </row>
    <row r="314" spans="1:6" x14ac:dyDescent="0.25">
      <c r="A314" s="277" t="str">
        <f t="shared" si="4"/>
        <v>Środa Wielkoplska – Urząd Skarbowy w Środzie Wielkoposkiej</v>
      </c>
      <c r="B314" s="290">
        <v>3031</v>
      </c>
      <c r="C314" s="277" t="s">
        <v>1860</v>
      </c>
      <c r="D314" s="277" t="s">
        <v>1861</v>
      </c>
      <c r="E314" s="278" t="s">
        <v>1862</v>
      </c>
      <c r="F314" s="277" t="s">
        <v>1863</v>
      </c>
    </row>
    <row r="315" spans="1:6" x14ac:dyDescent="0.25">
      <c r="A315" s="277" t="str">
        <f t="shared" si="4"/>
        <v>Stalowa Wola – Urząd Skarbowy w Stalowej Woli</v>
      </c>
      <c r="B315" s="290">
        <v>1818</v>
      </c>
      <c r="C315" s="277" t="s">
        <v>1864</v>
      </c>
      <c r="D315" s="277" t="s">
        <v>1865</v>
      </c>
      <c r="E315" s="278" t="s">
        <v>1866</v>
      </c>
      <c r="F315" s="277" t="s">
        <v>1867</v>
      </c>
    </row>
    <row r="316" spans="1:6" x14ac:dyDescent="0.25">
      <c r="A316" s="277" t="str">
        <f t="shared" si="4"/>
        <v>Starachowice – Urząd Skarbowy w Starachowicach</v>
      </c>
      <c r="B316" s="290">
        <v>2612</v>
      </c>
      <c r="C316" s="277" t="s">
        <v>1868</v>
      </c>
      <c r="D316" s="277" t="s">
        <v>1869</v>
      </c>
      <c r="E316" s="278" t="s">
        <v>1870</v>
      </c>
      <c r="F316" s="277" t="s">
        <v>1871</v>
      </c>
    </row>
    <row r="317" spans="1:6" x14ac:dyDescent="0.25">
      <c r="A317" s="277" t="str">
        <f t="shared" si="4"/>
        <v>Stargard Szczeciński – Urząd Skarbowy w Stargardzie Szczecińskim</v>
      </c>
      <c r="B317" s="290">
        <v>3214</v>
      </c>
      <c r="C317" s="277" t="s">
        <v>1872</v>
      </c>
      <c r="D317" s="277" t="s">
        <v>1873</v>
      </c>
      <c r="E317" s="278" t="s">
        <v>1874</v>
      </c>
      <c r="F317" s="277" t="s">
        <v>1875</v>
      </c>
    </row>
    <row r="318" spans="1:6" x14ac:dyDescent="0.25">
      <c r="A318" s="277" t="str">
        <f t="shared" si="4"/>
        <v>Starogard Gdański – Urząd Skarbowy w Starogardzie Gdańskim</v>
      </c>
      <c r="B318" s="290">
        <v>2218</v>
      </c>
      <c r="C318" s="277" t="s">
        <v>1876</v>
      </c>
      <c r="D318" s="277" t="s">
        <v>1877</v>
      </c>
      <c r="E318" s="278" t="s">
        <v>1878</v>
      </c>
      <c r="F318" s="277" t="s">
        <v>1879</v>
      </c>
    </row>
    <row r="319" spans="1:6" x14ac:dyDescent="0.25">
      <c r="A319" s="277" t="str">
        <f t="shared" si="4"/>
        <v>Staszów – Urząd Skarbowy w Staszowie</v>
      </c>
      <c r="B319" s="290">
        <v>2613</v>
      </c>
      <c r="C319" s="277" t="s">
        <v>1880</v>
      </c>
      <c r="D319" s="277" t="s">
        <v>1881</v>
      </c>
      <c r="E319" s="278" t="s">
        <v>1882</v>
      </c>
      <c r="F319" s="277" t="s">
        <v>1883</v>
      </c>
    </row>
    <row r="320" spans="1:6" x14ac:dyDescent="0.25">
      <c r="A320" s="277" t="str">
        <f t="shared" si="4"/>
        <v>Strzelce Opolskie – Urząd Skarbowy w Strzelcach Opolskich</v>
      </c>
      <c r="B320" s="290">
        <v>1612</v>
      </c>
      <c r="C320" s="277" t="s">
        <v>1884</v>
      </c>
      <c r="D320" s="277" t="s">
        <v>1885</v>
      </c>
      <c r="E320" s="278" t="s">
        <v>1886</v>
      </c>
      <c r="F320" s="277" t="s">
        <v>1887</v>
      </c>
    </row>
    <row r="321" spans="1:6" x14ac:dyDescent="0.25">
      <c r="A321" s="277" t="str">
        <f t="shared" si="4"/>
        <v>Strzelin – Urząd Skarbowy w Strzelinie</v>
      </c>
      <c r="B321" s="290" t="s">
        <v>2281</v>
      </c>
      <c r="C321" s="277" t="s">
        <v>1888</v>
      </c>
      <c r="D321" s="277" t="s">
        <v>1889</v>
      </c>
      <c r="E321" s="278" t="s">
        <v>1890</v>
      </c>
      <c r="F321" s="277" t="s">
        <v>1891</v>
      </c>
    </row>
    <row r="322" spans="1:6" x14ac:dyDescent="0.25">
      <c r="A322" s="277" t="str">
        <f t="shared" ref="A322:A385" si="5">F322&amp;" – "&amp;C322</f>
        <v>Strzyżów – Urząd Skarbowy w Strzyżowie</v>
      </c>
      <c r="B322" s="290">
        <v>1819</v>
      </c>
      <c r="C322" s="277" t="s">
        <v>1892</v>
      </c>
      <c r="D322" s="277" t="s">
        <v>1893</v>
      </c>
      <c r="E322" s="278" t="s">
        <v>1894</v>
      </c>
      <c r="F322" s="277" t="s">
        <v>1895</v>
      </c>
    </row>
    <row r="323" spans="1:6" x14ac:dyDescent="0.25">
      <c r="A323" s="277" t="str">
        <f t="shared" si="5"/>
        <v>Sucha Beskidzka – Urząd Skarbowy w Suchej Beskidzkiej</v>
      </c>
      <c r="B323" s="290">
        <v>1222</v>
      </c>
      <c r="C323" s="277" t="s">
        <v>1896</v>
      </c>
      <c r="D323" s="277" t="s">
        <v>1897</v>
      </c>
      <c r="E323" s="278" t="s">
        <v>1898</v>
      </c>
      <c r="F323" s="277" t="s">
        <v>1899</v>
      </c>
    </row>
    <row r="324" spans="1:6" x14ac:dyDescent="0.25">
      <c r="A324" s="277" t="str">
        <f t="shared" si="5"/>
        <v>Sulęcin – Urząd Skarbowy w Sulęcinie</v>
      </c>
      <c r="B324" s="290" t="s">
        <v>2358</v>
      </c>
      <c r="C324" s="277" t="s">
        <v>1900</v>
      </c>
      <c r="D324" s="277" t="s">
        <v>1901</v>
      </c>
      <c r="E324" s="278" t="s">
        <v>1902</v>
      </c>
      <c r="F324" s="277" t="s">
        <v>1903</v>
      </c>
    </row>
    <row r="325" spans="1:6" x14ac:dyDescent="0.25">
      <c r="A325" s="277" t="str">
        <f t="shared" si="5"/>
        <v>Suwałki – Urząd Skarbowy w Suwałkach</v>
      </c>
      <c r="B325" s="290">
        <v>2012</v>
      </c>
      <c r="C325" s="277" t="s">
        <v>1904</v>
      </c>
      <c r="D325" s="277" t="s">
        <v>1905</v>
      </c>
      <c r="E325" s="278" t="s">
        <v>1906</v>
      </c>
      <c r="F325" s="277" t="s">
        <v>1907</v>
      </c>
    </row>
    <row r="326" spans="1:6" x14ac:dyDescent="0.25">
      <c r="A326" s="277" t="str">
        <f t="shared" si="5"/>
        <v>Świdnica – Urząd Skarbowy w Świdnicy</v>
      </c>
      <c r="B326" s="290" t="s">
        <v>2283</v>
      </c>
      <c r="C326" s="277" t="s">
        <v>1908</v>
      </c>
      <c r="D326" s="277" t="s">
        <v>1909</v>
      </c>
      <c r="E326" s="278" t="s">
        <v>1910</v>
      </c>
      <c r="F326" s="277" t="s">
        <v>1911</v>
      </c>
    </row>
    <row r="327" spans="1:6" x14ac:dyDescent="0.25">
      <c r="A327" s="277" t="str">
        <f t="shared" si="5"/>
        <v>Świebodzin – Urząd Skarbowy w Świebodzinie</v>
      </c>
      <c r="B327" s="290" t="s">
        <v>2352</v>
      </c>
      <c r="C327" s="277" t="s">
        <v>1912</v>
      </c>
      <c r="D327" s="277" t="s">
        <v>1346</v>
      </c>
      <c r="E327" s="278" t="s">
        <v>1913</v>
      </c>
      <c r="F327" s="277" t="s">
        <v>1914</v>
      </c>
    </row>
    <row r="328" spans="1:6" x14ac:dyDescent="0.25">
      <c r="A328" s="277" t="str">
        <f t="shared" si="5"/>
        <v>Świecie – Urząd Skarbowy w Świeciu</v>
      </c>
      <c r="B328" s="290" t="s">
        <v>2313</v>
      </c>
      <c r="C328" s="277" t="s">
        <v>1915</v>
      </c>
      <c r="D328" s="277" t="s">
        <v>1916</v>
      </c>
      <c r="E328" s="278" t="s">
        <v>1917</v>
      </c>
      <c r="F328" s="277" t="s">
        <v>1918</v>
      </c>
    </row>
    <row r="329" spans="1:6" x14ac:dyDescent="0.25">
      <c r="A329" s="277" t="str">
        <f t="shared" si="5"/>
        <v>Świnoujście – Urząd Skarbowy w Świnoujściu</v>
      </c>
      <c r="B329" s="290">
        <v>3219</v>
      </c>
      <c r="C329" s="277" t="s">
        <v>1919</v>
      </c>
      <c r="D329" s="277" t="s">
        <v>1920</v>
      </c>
      <c r="E329" s="278" t="s">
        <v>1921</v>
      </c>
      <c r="F329" s="277" t="s">
        <v>1922</v>
      </c>
    </row>
    <row r="330" spans="1:6" x14ac:dyDescent="0.25">
      <c r="A330" s="277" t="str">
        <f t="shared" si="5"/>
        <v>Szamotuły – Urząd Skarbowy w Szamotułach</v>
      </c>
      <c r="B330" s="290">
        <v>3029</v>
      </c>
      <c r="C330" s="277" t="s">
        <v>1923</v>
      </c>
      <c r="D330" s="277" t="s">
        <v>1924</v>
      </c>
      <c r="E330" s="278" t="s">
        <v>1925</v>
      </c>
      <c r="F330" s="277" t="s">
        <v>1926</v>
      </c>
    </row>
    <row r="331" spans="1:6" x14ac:dyDescent="0.25">
      <c r="A331" s="277" t="str">
        <f t="shared" si="5"/>
        <v>Szczecin – Drugi Urząd Skarbowy w Szczecinie</v>
      </c>
      <c r="B331" s="290">
        <v>3216</v>
      </c>
      <c r="C331" s="277" t="s">
        <v>1940</v>
      </c>
      <c r="D331" s="277" t="s">
        <v>1941</v>
      </c>
      <c r="E331" s="278" t="s">
        <v>1942</v>
      </c>
      <c r="F331" s="277" t="s">
        <v>1930</v>
      </c>
    </row>
    <row r="332" spans="1:6" x14ac:dyDescent="0.25">
      <c r="A332" s="277" t="str">
        <f t="shared" si="5"/>
        <v>Szczecin – Izba Skarbowa w Szczecinie</v>
      </c>
      <c r="B332" s="290">
        <v>3201</v>
      </c>
      <c r="C332" s="277" t="s">
        <v>1931</v>
      </c>
      <c r="D332" s="277" t="s">
        <v>1932</v>
      </c>
      <c r="E332" s="278" t="s">
        <v>1933</v>
      </c>
      <c r="F332" s="277" t="s">
        <v>1930</v>
      </c>
    </row>
    <row r="333" spans="1:6" x14ac:dyDescent="0.25">
      <c r="A333" s="277" t="str">
        <f t="shared" si="5"/>
        <v>Szczecin – Pierwszy Urząd Skarbowy w Szczecinie</v>
      </c>
      <c r="B333" s="290">
        <v>3215</v>
      </c>
      <c r="C333" s="277" t="s">
        <v>1927</v>
      </c>
      <c r="D333" s="277" t="s">
        <v>1928</v>
      </c>
      <c r="E333" s="278" t="s">
        <v>1929</v>
      </c>
      <c r="F333" s="277" t="s">
        <v>1930</v>
      </c>
    </row>
    <row r="334" spans="1:6" x14ac:dyDescent="0.25">
      <c r="A334" s="277" t="str">
        <f t="shared" si="5"/>
        <v>Szczecin – Trzeci Urząd Skarbowy w Szczecinie</v>
      </c>
      <c r="B334" s="290">
        <v>3217</v>
      </c>
      <c r="C334" s="277" t="s">
        <v>1934</v>
      </c>
      <c r="D334" s="277" t="s">
        <v>1935</v>
      </c>
      <c r="E334" s="278" t="s">
        <v>1936</v>
      </c>
      <c r="F334" s="277" t="s">
        <v>1930</v>
      </c>
    </row>
    <row r="335" spans="1:6" x14ac:dyDescent="0.25">
      <c r="A335" s="277" t="str">
        <f t="shared" si="5"/>
        <v>Szczecin – Zachodniopomorski Urząd Skarbowy w Szczecinie</v>
      </c>
      <c r="B335" s="290">
        <v>3271</v>
      </c>
      <c r="C335" s="277" t="s">
        <v>1937</v>
      </c>
      <c r="D335" s="277" t="s">
        <v>1938</v>
      </c>
      <c r="E335" s="278" t="s">
        <v>1939</v>
      </c>
      <c r="F335" s="277" t="s">
        <v>1930</v>
      </c>
    </row>
    <row r="336" spans="1:6" x14ac:dyDescent="0.25">
      <c r="A336" s="277" t="str">
        <f t="shared" si="5"/>
        <v>Szczecinek – Urząd Skarbowy w Szczecinku</v>
      </c>
      <c r="B336" s="290">
        <v>3218</v>
      </c>
      <c r="C336" s="277" t="s">
        <v>1943</v>
      </c>
      <c r="D336" s="277" t="s">
        <v>1944</v>
      </c>
      <c r="E336" s="278" t="s">
        <v>1945</v>
      </c>
      <c r="F336" s="277" t="s">
        <v>1946</v>
      </c>
    </row>
    <row r="337" spans="1:6" x14ac:dyDescent="0.25">
      <c r="A337" s="277" t="str">
        <f t="shared" si="5"/>
        <v>Szczytno – Urząd Skarbowy w Szczytnie</v>
      </c>
      <c r="B337" s="290">
        <v>2816</v>
      </c>
      <c r="C337" s="277" t="s">
        <v>1947</v>
      </c>
      <c r="D337" s="277" t="s">
        <v>1948</v>
      </c>
      <c r="E337" s="278" t="s">
        <v>1949</v>
      </c>
      <c r="F337" s="277" t="s">
        <v>1950</v>
      </c>
    </row>
    <row r="338" spans="1:6" x14ac:dyDescent="0.25">
      <c r="A338" s="277" t="str">
        <f t="shared" si="5"/>
        <v>Szydłowiec – Urząd Skarbowy w Szydłowcu</v>
      </c>
      <c r="B338" s="290">
        <v>1430</v>
      </c>
      <c r="C338" s="277" t="s">
        <v>1951</v>
      </c>
      <c r="D338" s="277" t="s">
        <v>1952</v>
      </c>
      <c r="E338" s="278" t="s">
        <v>1953</v>
      </c>
      <c r="F338" s="277" t="s">
        <v>1954</v>
      </c>
    </row>
    <row r="339" spans="1:6" x14ac:dyDescent="0.25">
      <c r="A339" s="277" t="str">
        <f t="shared" si="5"/>
        <v>Tarnobrzeg – Urząd Skarbowy w Tarnobrzegu</v>
      </c>
      <c r="B339" s="290">
        <v>1820</v>
      </c>
      <c r="C339" s="277" t="s">
        <v>1955</v>
      </c>
      <c r="D339" s="277" t="s">
        <v>1956</v>
      </c>
      <c r="E339" s="278" t="s">
        <v>1957</v>
      </c>
      <c r="F339" s="277" t="s">
        <v>1958</v>
      </c>
    </row>
    <row r="340" spans="1:6" x14ac:dyDescent="0.25">
      <c r="A340" s="277" t="str">
        <f t="shared" si="5"/>
        <v>Tarnów – Drugi Urząd Skarbowy w Tarnowie</v>
      </c>
      <c r="B340" s="290">
        <v>1224</v>
      </c>
      <c r="C340" s="277" t="s">
        <v>1959</v>
      </c>
      <c r="D340" s="277" t="s">
        <v>1960</v>
      </c>
      <c r="E340" s="278" t="s">
        <v>1961</v>
      </c>
      <c r="F340" s="277" t="s">
        <v>1962</v>
      </c>
    </row>
    <row r="341" spans="1:6" x14ac:dyDescent="0.25">
      <c r="A341" s="277" t="str">
        <f t="shared" si="5"/>
        <v>Tarnów – Pierwszy Urząd Skarbowy w Tarnowie</v>
      </c>
      <c r="B341" s="290">
        <v>1223</v>
      </c>
      <c r="C341" s="277" t="s">
        <v>1963</v>
      </c>
      <c r="D341" s="277" t="s">
        <v>1964</v>
      </c>
      <c r="E341" s="278" t="s">
        <v>1961</v>
      </c>
      <c r="F341" s="277" t="s">
        <v>1962</v>
      </c>
    </row>
    <row r="342" spans="1:6" x14ac:dyDescent="0.25">
      <c r="A342" s="277" t="str">
        <f t="shared" si="5"/>
        <v>Tarnowskie Góry – Urząd Skarbowy w Tarnowskich Górach</v>
      </c>
      <c r="B342" s="290">
        <v>2430</v>
      </c>
      <c r="C342" s="277" t="s">
        <v>1965</v>
      </c>
      <c r="D342" s="277" t="s">
        <v>1966</v>
      </c>
      <c r="E342" s="278" t="s">
        <v>1967</v>
      </c>
      <c r="F342" s="277" t="s">
        <v>1968</v>
      </c>
    </row>
    <row r="343" spans="1:6" x14ac:dyDescent="0.25">
      <c r="A343" s="277" t="str">
        <f t="shared" si="5"/>
        <v>Tczew – Urząd Skarbowy w Tczewie</v>
      </c>
      <c r="B343" s="290">
        <v>2219</v>
      </c>
      <c r="C343" s="277" t="s">
        <v>1969</v>
      </c>
      <c r="D343" s="277" t="s">
        <v>1970</v>
      </c>
      <c r="E343" s="278" t="s">
        <v>1971</v>
      </c>
      <c r="F343" s="277" t="s">
        <v>1972</v>
      </c>
    </row>
    <row r="344" spans="1:6" x14ac:dyDescent="0.25">
      <c r="A344" s="277" t="str">
        <f t="shared" si="5"/>
        <v>Tomaszów Lubelski – Urząd Skarbowy w Tomaszowie Lubelskim</v>
      </c>
      <c r="B344" s="290" t="s">
        <v>2340</v>
      </c>
      <c r="C344" s="277" t="s">
        <v>1973</v>
      </c>
      <c r="D344" s="277" t="s">
        <v>1974</v>
      </c>
      <c r="E344" s="278" t="s">
        <v>1975</v>
      </c>
      <c r="F344" s="277" t="s">
        <v>1976</v>
      </c>
    </row>
    <row r="345" spans="1:6" x14ac:dyDescent="0.25">
      <c r="A345" s="277" t="str">
        <f t="shared" si="5"/>
        <v>Tomaszów Mazowiecki – Urząd Skarbowy w Tomaszowie Mazowieckim</v>
      </c>
      <c r="B345" s="290">
        <v>1023</v>
      </c>
      <c r="C345" s="277" t="s">
        <v>1977</v>
      </c>
      <c r="D345" s="277" t="s">
        <v>1978</v>
      </c>
      <c r="E345" s="278" t="s">
        <v>1979</v>
      </c>
      <c r="F345" s="277" t="s">
        <v>1980</v>
      </c>
    </row>
    <row r="346" spans="1:6" x14ac:dyDescent="0.25">
      <c r="A346" s="277" t="str">
        <f t="shared" si="5"/>
        <v>Toruń – Drugi Urząd Skarbowy w Toruniu</v>
      </c>
      <c r="B346" s="290" t="s">
        <v>2315</v>
      </c>
      <c r="C346" s="277" t="s">
        <v>1981</v>
      </c>
      <c r="D346" s="277" t="s">
        <v>1982</v>
      </c>
      <c r="E346" s="278" t="s">
        <v>1983</v>
      </c>
      <c r="F346" s="277" t="s">
        <v>1984</v>
      </c>
    </row>
    <row r="347" spans="1:6" x14ac:dyDescent="0.25">
      <c r="A347" s="277" t="str">
        <f t="shared" si="5"/>
        <v>Toruń – Pierwszy Urząd Skarbowy w Toruniu</v>
      </c>
      <c r="B347" s="290" t="s">
        <v>2314</v>
      </c>
      <c r="C347" s="277" t="s">
        <v>1985</v>
      </c>
      <c r="D347" s="277" t="s">
        <v>1986</v>
      </c>
      <c r="E347" s="278" t="s">
        <v>1983</v>
      </c>
      <c r="F347" s="277" t="s">
        <v>1984</v>
      </c>
    </row>
    <row r="348" spans="1:6" x14ac:dyDescent="0.25">
      <c r="A348" s="277" t="str">
        <f t="shared" si="5"/>
        <v>Trzebnica – Urząd Skarbowy w Trzebnicy</v>
      </c>
      <c r="B348" s="290" t="s">
        <v>2284</v>
      </c>
      <c r="C348" s="277" t="s">
        <v>1987</v>
      </c>
      <c r="D348" s="277" t="s">
        <v>1988</v>
      </c>
      <c r="E348" s="278" t="s">
        <v>1989</v>
      </c>
      <c r="F348" s="277" t="s">
        <v>1990</v>
      </c>
    </row>
    <row r="349" spans="1:6" x14ac:dyDescent="0.25">
      <c r="A349" s="277" t="str">
        <f t="shared" si="5"/>
        <v>Tuchola – Urząd Skarbowy w Tucholi</v>
      </c>
      <c r="B349" s="290" t="s">
        <v>2316</v>
      </c>
      <c r="C349" s="277" t="s">
        <v>1991</v>
      </c>
      <c r="D349" s="277" t="s">
        <v>1992</v>
      </c>
      <c r="E349" s="278" t="s">
        <v>1993</v>
      </c>
      <c r="F349" s="277" t="s">
        <v>1994</v>
      </c>
    </row>
    <row r="350" spans="1:6" x14ac:dyDescent="0.25">
      <c r="A350" s="277" t="str">
        <f t="shared" si="5"/>
        <v>Turek – Urząd Skarbowy w Turku</v>
      </c>
      <c r="B350" s="290">
        <v>3032</v>
      </c>
      <c r="C350" s="277" t="s">
        <v>1995</v>
      </c>
      <c r="D350" s="277" t="s">
        <v>1996</v>
      </c>
      <c r="E350" s="278" t="s">
        <v>1997</v>
      </c>
      <c r="F350" s="277" t="s">
        <v>1998</v>
      </c>
    </row>
    <row r="351" spans="1:6" x14ac:dyDescent="0.25">
      <c r="A351" s="277" t="str">
        <f t="shared" si="5"/>
        <v>Tychy – Urząd Skarbowy w Tychach</v>
      </c>
      <c r="B351" s="290">
        <v>2431</v>
      </c>
      <c r="C351" s="277" t="s">
        <v>1999</v>
      </c>
      <c r="D351" s="277" t="s">
        <v>2000</v>
      </c>
      <c r="E351" s="278" t="s">
        <v>2001</v>
      </c>
      <c r="F351" s="277" t="s">
        <v>2002</v>
      </c>
    </row>
    <row r="352" spans="1:6" x14ac:dyDescent="0.25">
      <c r="A352" s="277" t="str">
        <f t="shared" si="5"/>
        <v>Ustrzyki Dolne – Urząd Skarbowy w Ustrzykach Dolnych</v>
      </c>
      <c r="B352" s="290">
        <v>1821</v>
      </c>
      <c r="C352" s="277" t="s">
        <v>2003</v>
      </c>
      <c r="D352" s="277" t="s">
        <v>2004</v>
      </c>
      <c r="E352" s="278" t="s">
        <v>2005</v>
      </c>
      <c r="F352" s="277" t="s">
        <v>2006</v>
      </c>
    </row>
    <row r="353" spans="1:6" x14ac:dyDescent="0.25">
      <c r="A353" s="277" t="str">
        <f t="shared" si="5"/>
        <v>Wąbrzeźno – Urząd Skarbowy w Wąbrzeźnie</v>
      </c>
      <c r="B353" s="290" t="s">
        <v>2317</v>
      </c>
      <c r="C353" s="277" t="s">
        <v>2007</v>
      </c>
      <c r="D353" s="277" t="s">
        <v>2008</v>
      </c>
      <c r="E353" s="278" t="s">
        <v>2009</v>
      </c>
      <c r="F353" s="277" t="s">
        <v>2010</v>
      </c>
    </row>
    <row r="354" spans="1:6" x14ac:dyDescent="0.25">
      <c r="A354" s="277" t="str">
        <f t="shared" si="5"/>
        <v>Wadowice – Urząd Skarbowy w Wadowicach</v>
      </c>
      <c r="B354" s="290">
        <v>1225</v>
      </c>
      <c r="C354" s="277" t="s">
        <v>2011</v>
      </c>
      <c r="D354" s="277" t="s">
        <v>2012</v>
      </c>
      <c r="E354" s="278" t="s">
        <v>2013</v>
      </c>
      <c r="F354" s="277" t="s">
        <v>2014</v>
      </c>
    </row>
    <row r="355" spans="1:6" x14ac:dyDescent="0.25">
      <c r="A355" s="277" t="str">
        <f t="shared" si="5"/>
        <v>Wągrowiec – Urząd Skarbowy w Wągrowcu</v>
      </c>
      <c r="B355" s="290">
        <v>3033</v>
      </c>
      <c r="C355" s="277" t="s">
        <v>2015</v>
      </c>
      <c r="D355" s="277" t="s">
        <v>2016</v>
      </c>
      <c r="E355" s="278" t="s">
        <v>2017</v>
      </c>
      <c r="F355" s="277" t="s">
        <v>2018</v>
      </c>
    </row>
    <row r="356" spans="1:6" x14ac:dyDescent="0.25">
      <c r="A356" s="277" t="str">
        <f t="shared" si="5"/>
        <v>Wałbrzych – Urząd Skarbowy w  Wałbrzychu</v>
      </c>
      <c r="B356" s="290" t="s">
        <v>2285</v>
      </c>
      <c r="C356" s="277" t="s">
        <v>2019</v>
      </c>
      <c r="D356" s="277" t="s">
        <v>2020</v>
      </c>
      <c r="E356" s="278" t="s">
        <v>2021</v>
      </c>
      <c r="F356" s="277" t="s">
        <v>2022</v>
      </c>
    </row>
    <row r="357" spans="1:6" x14ac:dyDescent="0.25">
      <c r="A357" s="277" t="str">
        <f t="shared" si="5"/>
        <v>Wałcz – Urząd Skarbowy w Wałczu</v>
      </c>
      <c r="B357" s="290">
        <v>3220</v>
      </c>
      <c r="C357" s="277" t="s">
        <v>2023</v>
      </c>
      <c r="D357" s="277" t="s">
        <v>2024</v>
      </c>
      <c r="E357" s="278" t="s">
        <v>2025</v>
      </c>
      <c r="F357" s="277" t="s">
        <v>2026</v>
      </c>
    </row>
    <row r="358" spans="1:6" x14ac:dyDescent="0.25">
      <c r="A358" s="277" t="str">
        <f t="shared" si="5"/>
        <v>Warszawa – Drugi Mazowiecki Urząd Skarbowy</v>
      </c>
      <c r="B358" s="290">
        <v>1472</v>
      </c>
      <c r="C358" s="277" t="s">
        <v>2027</v>
      </c>
      <c r="D358" s="277" t="s">
        <v>2028</v>
      </c>
      <c r="E358" s="278" t="s">
        <v>2029</v>
      </c>
      <c r="F358" s="277" t="s">
        <v>2030</v>
      </c>
    </row>
    <row r="359" spans="1:6" x14ac:dyDescent="0.25">
      <c r="A359" s="277" t="str">
        <f t="shared" si="5"/>
        <v>Warszawa – Drugi Urząd Skarbowy Warszawa - Śródmieście</v>
      </c>
      <c r="B359" s="290">
        <v>1436</v>
      </c>
      <c r="C359" s="277" t="s">
        <v>2058</v>
      </c>
      <c r="D359" s="277" t="s">
        <v>2059</v>
      </c>
      <c r="E359" s="278" t="s">
        <v>2060</v>
      </c>
      <c r="F359" s="277" t="s">
        <v>2030</v>
      </c>
    </row>
    <row r="360" spans="1:6" x14ac:dyDescent="0.25">
      <c r="A360" s="277" t="str">
        <f t="shared" si="5"/>
        <v>Warszawa – Izba Skarbowa w Warszawie</v>
      </c>
      <c r="B360" s="290">
        <v>1401</v>
      </c>
      <c r="C360" s="277" t="s">
        <v>2034</v>
      </c>
      <c r="D360" s="277" t="s">
        <v>2035</v>
      </c>
      <c r="E360" s="278" t="s">
        <v>2036</v>
      </c>
      <c r="F360" s="277" t="s">
        <v>2030</v>
      </c>
    </row>
    <row r="361" spans="1:6" x14ac:dyDescent="0.25">
      <c r="A361" s="277" t="str">
        <f t="shared" si="5"/>
        <v>Warszawa – Pierwszy Mazowiecki Urząd Skarbowy</v>
      </c>
      <c r="B361" s="290">
        <v>1471</v>
      </c>
      <c r="C361" s="277" t="s">
        <v>2037</v>
      </c>
      <c r="D361" s="277" t="s">
        <v>2038</v>
      </c>
      <c r="E361" s="278" t="s">
        <v>2036</v>
      </c>
      <c r="F361" s="277" t="s">
        <v>2030</v>
      </c>
    </row>
    <row r="362" spans="1:6" x14ac:dyDescent="0.25">
      <c r="A362" s="277" t="str">
        <f t="shared" si="5"/>
        <v>Warszawa – Pierwszy Urząd Skarbowy Warszawa - Śródmieście</v>
      </c>
      <c r="B362" s="290">
        <v>1435</v>
      </c>
      <c r="C362" s="277" t="s">
        <v>2042</v>
      </c>
      <c r="D362" s="277" t="s">
        <v>2043</v>
      </c>
      <c r="E362" s="278" t="s">
        <v>2044</v>
      </c>
      <c r="F362" s="277" t="s">
        <v>2030</v>
      </c>
    </row>
    <row r="363" spans="1:6" x14ac:dyDescent="0.25">
      <c r="A363" s="277" t="str">
        <f t="shared" si="5"/>
        <v>Warszawa – Trzeci Urząd Skarbowy Warszawa - Śródmieście</v>
      </c>
      <c r="B363" s="290">
        <v>1449</v>
      </c>
      <c r="C363" s="277" t="s">
        <v>2045</v>
      </c>
      <c r="D363" s="277" t="s">
        <v>2043</v>
      </c>
      <c r="E363" s="278" t="s">
        <v>2044</v>
      </c>
      <c r="F363" s="277" t="s">
        <v>2030</v>
      </c>
    </row>
    <row r="364" spans="1:6" x14ac:dyDescent="0.25">
      <c r="A364" s="277" t="str">
        <f t="shared" si="5"/>
        <v>Warszawa – Urząd Skarbowy Warszawa - Bemowo</v>
      </c>
      <c r="B364" s="290">
        <v>1431</v>
      </c>
      <c r="C364" s="277" t="s">
        <v>2046</v>
      </c>
      <c r="D364" s="277" t="s">
        <v>2047</v>
      </c>
      <c r="E364" s="278" t="s">
        <v>2048</v>
      </c>
      <c r="F364" s="277" t="s">
        <v>2030</v>
      </c>
    </row>
    <row r="365" spans="1:6" x14ac:dyDescent="0.25">
      <c r="A365" s="277" t="str">
        <f t="shared" si="5"/>
        <v>Warszawa – Urząd Skarbowy Warszawa - Bielany</v>
      </c>
      <c r="B365" s="290">
        <v>1432</v>
      </c>
      <c r="C365" s="277" t="s">
        <v>2039</v>
      </c>
      <c r="D365" s="277" t="s">
        <v>2040</v>
      </c>
      <c r="E365" s="278" t="s">
        <v>2041</v>
      </c>
      <c r="F365" s="277" t="s">
        <v>2030</v>
      </c>
    </row>
    <row r="366" spans="1:6" x14ac:dyDescent="0.25">
      <c r="A366" s="277" t="str">
        <f t="shared" si="5"/>
        <v>Warszawa – Urząd Skarbowy Warszawa - Mokotów</v>
      </c>
      <c r="B366" s="290">
        <v>1433</v>
      </c>
      <c r="C366" s="277" t="s">
        <v>2049</v>
      </c>
      <c r="D366" s="277" t="s">
        <v>2050</v>
      </c>
      <c r="E366" s="278" t="s">
        <v>2051</v>
      </c>
      <c r="F366" s="277" t="s">
        <v>2030</v>
      </c>
    </row>
    <row r="367" spans="1:6" x14ac:dyDescent="0.25">
      <c r="A367" s="277" t="str">
        <f t="shared" si="5"/>
        <v>Warszawa – Urząd Skarbowy Warszawa - Praga</v>
      </c>
      <c r="B367" s="290">
        <v>1434</v>
      </c>
      <c r="C367" s="277" t="s">
        <v>2061</v>
      </c>
      <c r="D367" s="277" t="s">
        <v>2059</v>
      </c>
      <c r="E367" s="278" t="s">
        <v>2060</v>
      </c>
      <c r="F367" s="277" t="s">
        <v>2030</v>
      </c>
    </row>
    <row r="368" spans="1:6" x14ac:dyDescent="0.25">
      <c r="A368" s="277" t="str">
        <f t="shared" si="5"/>
        <v>Warszawa – Urząd Skarbowy Warszawa - Targówek</v>
      </c>
      <c r="B368" s="290">
        <v>1437</v>
      </c>
      <c r="C368" s="277" t="s">
        <v>2055</v>
      </c>
      <c r="D368" s="277" t="s">
        <v>2056</v>
      </c>
      <c r="E368" s="278" t="s">
        <v>2057</v>
      </c>
      <c r="F368" s="277" t="s">
        <v>2030</v>
      </c>
    </row>
    <row r="369" spans="1:6" x14ac:dyDescent="0.25">
      <c r="A369" s="277" t="str">
        <f t="shared" si="5"/>
        <v>Warszawa – Urząd Skarbowy Warszawa - Ursynów</v>
      </c>
      <c r="B369" s="290">
        <v>1438</v>
      </c>
      <c r="C369" s="277" t="s">
        <v>2052</v>
      </c>
      <c r="D369" s="277" t="s">
        <v>2053</v>
      </c>
      <c r="E369" s="278" t="s">
        <v>2054</v>
      </c>
      <c r="F369" s="277" t="s">
        <v>2030</v>
      </c>
    </row>
    <row r="370" spans="1:6" x14ac:dyDescent="0.25">
      <c r="A370" s="277" t="str">
        <f t="shared" si="5"/>
        <v>Warszawa – Urząd Skarbowy Warszawa - Wawer</v>
      </c>
      <c r="B370" s="290">
        <v>1439</v>
      </c>
      <c r="C370" s="277" t="s">
        <v>2062</v>
      </c>
      <c r="D370" s="277" t="s">
        <v>2063</v>
      </c>
      <c r="E370" s="278" t="s">
        <v>2064</v>
      </c>
      <c r="F370" s="277" t="s">
        <v>2030</v>
      </c>
    </row>
    <row r="371" spans="1:6" x14ac:dyDescent="0.25">
      <c r="A371" s="277" t="str">
        <f t="shared" si="5"/>
        <v>Warszawa – Urząd Skarbowy Warszawa - Wola</v>
      </c>
      <c r="B371" s="290">
        <v>1440</v>
      </c>
      <c r="C371" s="277" t="s">
        <v>2031</v>
      </c>
      <c r="D371" s="277" t="s">
        <v>2032</v>
      </c>
      <c r="E371" s="278" t="s">
        <v>2033</v>
      </c>
      <c r="F371" s="277" t="s">
        <v>2030</v>
      </c>
    </row>
    <row r="372" spans="1:6" x14ac:dyDescent="0.25">
      <c r="A372" s="277" t="str">
        <f t="shared" si="5"/>
        <v>Węgrów – Urząd Skarbowy w Węgrowie</v>
      </c>
      <c r="B372" s="290">
        <v>1441</v>
      </c>
      <c r="C372" s="277" t="s">
        <v>2065</v>
      </c>
      <c r="D372" s="277" t="s">
        <v>2066</v>
      </c>
      <c r="E372" s="278" t="s">
        <v>2067</v>
      </c>
      <c r="F372" s="277" t="s">
        <v>2068</v>
      </c>
    </row>
    <row r="373" spans="1:6" x14ac:dyDescent="0.25">
      <c r="A373" s="277" t="str">
        <f t="shared" si="5"/>
        <v>Wejherowo – Urząd Skarbowy w Wejherowie</v>
      </c>
      <c r="B373" s="290">
        <v>2220</v>
      </c>
      <c r="C373" s="277" t="s">
        <v>2069</v>
      </c>
      <c r="D373" s="277" t="s">
        <v>2070</v>
      </c>
      <c r="E373" s="278" t="s">
        <v>2071</v>
      </c>
      <c r="F373" s="277" t="s">
        <v>2072</v>
      </c>
    </row>
    <row r="374" spans="1:6" x14ac:dyDescent="0.25">
      <c r="A374" s="277" t="str">
        <f t="shared" si="5"/>
        <v>Wieliczka – Urząd Skarbowy w Wieliczce</v>
      </c>
      <c r="B374" s="290">
        <v>1226</v>
      </c>
      <c r="C374" s="277" t="s">
        <v>2073</v>
      </c>
      <c r="D374" s="277" t="s">
        <v>2074</v>
      </c>
      <c r="E374" s="278" t="s">
        <v>2075</v>
      </c>
      <c r="F374" s="277" t="s">
        <v>2076</v>
      </c>
    </row>
    <row r="375" spans="1:6" x14ac:dyDescent="0.25">
      <c r="A375" s="277" t="str">
        <f t="shared" si="5"/>
        <v>Wieluń – Urząd Skarbowy w Wieluniu</v>
      </c>
      <c r="B375" s="290">
        <v>1024</v>
      </c>
      <c r="C375" s="277" t="s">
        <v>2077</v>
      </c>
      <c r="D375" s="277" t="s">
        <v>2078</v>
      </c>
      <c r="E375" s="278" t="s">
        <v>2079</v>
      </c>
      <c r="F375" s="277" t="s">
        <v>2080</v>
      </c>
    </row>
    <row r="376" spans="1:6" x14ac:dyDescent="0.25">
      <c r="A376" s="277" t="str">
        <f t="shared" si="5"/>
        <v>Wieruszów – Urząd Skarbowy w Wieruszowie</v>
      </c>
      <c r="B376" s="290">
        <v>1027</v>
      </c>
      <c r="C376" s="277" t="s">
        <v>2081</v>
      </c>
      <c r="D376" s="277" t="s">
        <v>2082</v>
      </c>
      <c r="E376" s="278" t="s">
        <v>2083</v>
      </c>
      <c r="F376" s="277" t="s">
        <v>2084</v>
      </c>
    </row>
    <row r="377" spans="1:6" x14ac:dyDescent="0.25">
      <c r="A377" s="277" t="str">
        <f t="shared" si="5"/>
        <v>Włocławek – Urząd Skarbowy we Włocławku</v>
      </c>
      <c r="B377" s="290" t="s">
        <v>2318</v>
      </c>
      <c r="C377" s="277" t="s">
        <v>2085</v>
      </c>
      <c r="D377" s="277" t="s">
        <v>2086</v>
      </c>
      <c r="E377" s="278" t="s">
        <v>2087</v>
      </c>
      <c r="F377" s="277" t="s">
        <v>2088</v>
      </c>
    </row>
    <row r="378" spans="1:6" x14ac:dyDescent="0.25">
      <c r="A378" s="277" t="str">
        <f t="shared" si="5"/>
        <v>Włodawa – Urząd Skarbowy we Włodawie</v>
      </c>
      <c r="B378" s="290" t="s">
        <v>2341</v>
      </c>
      <c r="C378" s="277" t="s">
        <v>2089</v>
      </c>
      <c r="D378" s="277" t="s">
        <v>2090</v>
      </c>
      <c r="E378" s="278" t="s">
        <v>2091</v>
      </c>
      <c r="F378" s="277" t="s">
        <v>2092</v>
      </c>
    </row>
    <row r="379" spans="1:6" x14ac:dyDescent="0.25">
      <c r="A379" s="277" t="str">
        <f t="shared" si="5"/>
        <v>Włoszczowa – Urząd Skarbowy we Włoszczowie</v>
      </c>
      <c r="B379" s="290">
        <v>2615</v>
      </c>
      <c r="C379" s="277" t="s">
        <v>2093</v>
      </c>
      <c r="D379" s="277" t="s">
        <v>2094</v>
      </c>
      <c r="E379" s="278" t="s">
        <v>2095</v>
      </c>
      <c r="F379" s="277" t="s">
        <v>2096</v>
      </c>
    </row>
    <row r="380" spans="1:6" x14ac:dyDescent="0.25">
      <c r="A380" s="277" t="str">
        <f t="shared" si="5"/>
        <v>Wodzisław Śląski – Urząd Skarbowy w Wodzisławiu Śląskim</v>
      </c>
      <c r="B380" s="290">
        <v>2432</v>
      </c>
      <c r="C380" s="277" t="s">
        <v>2097</v>
      </c>
      <c r="D380" s="277" t="s">
        <v>2098</v>
      </c>
      <c r="E380" s="278" t="s">
        <v>2099</v>
      </c>
      <c r="F380" s="277" t="s">
        <v>2100</v>
      </c>
    </row>
    <row r="381" spans="1:6" x14ac:dyDescent="0.25">
      <c r="A381" s="277" t="str">
        <f t="shared" si="5"/>
        <v>Wołomin – Urząd Skarbowy w Wołominie</v>
      </c>
      <c r="B381" s="290">
        <v>1442</v>
      </c>
      <c r="C381" s="277" t="s">
        <v>2101</v>
      </c>
      <c r="D381" s="277" t="s">
        <v>2102</v>
      </c>
      <c r="E381" s="278" t="s">
        <v>2103</v>
      </c>
      <c r="F381" s="277" t="s">
        <v>2104</v>
      </c>
    </row>
    <row r="382" spans="1:6" x14ac:dyDescent="0.25">
      <c r="A382" s="277" t="str">
        <f t="shared" si="5"/>
        <v>Wołów – Urząd Skarbowy w  Wołowie</v>
      </c>
      <c r="B382" s="290" t="s">
        <v>2286</v>
      </c>
      <c r="C382" s="277" t="s">
        <v>2105</v>
      </c>
      <c r="D382" s="277" t="s">
        <v>2106</v>
      </c>
      <c r="E382" s="278" t="s">
        <v>2107</v>
      </c>
      <c r="F382" s="277" t="s">
        <v>2108</v>
      </c>
    </row>
    <row r="383" spans="1:6" x14ac:dyDescent="0.25">
      <c r="A383" s="277" t="str">
        <f t="shared" si="5"/>
        <v>Wolsztyn – Urząd Skarbowy w Wolsztynie</v>
      </c>
      <c r="B383" s="290">
        <v>3034</v>
      </c>
      <c r="C383" s="277" t="s">
        <v>2109</v>
      </c>
      <c r="D383" s="277" t="s">
        <v>2110</v>
      </c>
      <c r="E383" s="278" t="s">
        <v>2111</v>
      </c>
      <c r="F383" s="277" t="s">
        <v>2112</v>
      </c>
    </row>
    <row r="384" spans="1:6" x14ac:dyDescent="0.25">
      <c r="A384" s="277" t="str">
        <f t="shared" si="5"/>
        <v>Wrocław – Dolnośląski Urząd Skarbowy we Wrocławiu</v>
      </c>
      <c r="B384" s="290" t="s">
        <v>2298</v>
      </c>
      <c r="C384" s="277" t="s">
        <v>2125</v>
      </c>
      <c r="D384" s="277" t="s">
        <v>2126</v>
      </c>
      <c r="E384" s="278" t="s">
        <v>2127</v>
      </c>
      <c r="F384" s="277" t="s">
        <v>629</v>
      </c>
    </row>
    <row r="385" spans="1:6" x14ac:dyDescent="0.25">
      <c r="A385" s="277" t="str">
        <f t="shared" si="5"/>
        <v>Wrocław – Izba Skarbowa we Wrocławiu</v>
      </c>
      <c r="B385" s="290" t="s">
        <v>2264</v>
      </c>
      <c r="C385" s="277" t="s">
        <v>2122</v>
      </c>
      <c r="D385" s="277" t="s">
        <v>2123</v>
      </c>
      <c r="E385" s="278" t="s">
        <v>2124</v>
      </c>
      <c r="F385" s="277" t="s">
        <v>629</v>
      </c>
    </row>
    <row r="386" spans="1:6" x14ac:dyDescent="0.25">
      <c r="A386" s="277" t="str">
        <f t="shared" ref="A386:A418" si="6">F386&amp;" – "&amp;C386</f>
        <v>Wrocław – Pierwszy Urząd Skarbowy we Wrocławiu</v>
      </c>
      <c r="B386" s="290" t="s">
        <v>2292</v>
      </c>
      <c r="C386" s="277" t="s">
        <v>2119</v>
      </c>
      <c r="D386" s="277" t="s">
        <v>2120</v>
      </c>
      <c r="E386" s="278" t="s">
        <v>2121</v>
      </c>
      <c r="F386" s="277" t="s">
        <v>629</v>
      </c>
    </row>
    <row r="387" spans="1:6" x14ac:dyDescent="0.25">
      <c r="A387" s="277" t="str">
        <f t="shared" si="6"/>
        <v>Wrocław – Urząd Skarbowy Wrocław - Fabryczna</v>
      </c>
      <c r="B387" s="290" t="s">
        <v>2287</v>
      </c>
      <c r="C387" s="277" t="s">
        <v>2128</v>
      </c>
      <c r="D387" s="277" t="s">
        <v>2129</v>
      </c>
      <c r="E387" s="278" t="s">
        <v>2130</v>
      </c>
      <c r="F387" s="277" t="s">
        <v>629</v>
      </c>
    </row>
    <row r="388" spans="1:6" x14ac:dyDescent="0.25">
      <c r="A388" s="277" t="str">
        <f t="shared" si="6"/>
        <v>Wrocław – Urząd Skarbowy Wrocław - Krzyki</v>
      </c>
      <c r="B388" s="290" t="s">
        <v>2288</v>
      </c>
      <c r="C388" s="277" t="s">
        <v>2131</v>
      </c>
      <c r="D388" s="277" t="s">
        <v>2132</v>
      </c>
      <c r="E388" s="278" t="s">
        <v>2133</v>
      </c>
      <c r="F388" s="277" t="s">
        <v>629</v>
      </c>
    </row>
    <row r="389" spans="1:6" x14ac:dyDescent="0.25">
      <c r="A389" s="277" t="str">
        <f t="shared" si="6"/>
        <v>Wrocław – Urząd Skarbowy Wrocław - Psie Pole</v>
      </c>
      <c r="B389" s="290" t="s">
        <v>2289</v>
      </c>
      <c r="C389" s="277" t="s">
        <v>2116</v>
      </c>
      <c r="D389" s="277" t="s">
        <v>2117</v>
      </c>
      <c r="E389" s="278" t="s">
        <v>2118</v>
      </c>
      <c r="F389" s="277" t="s">
        <v>629</v>
      </c>
    </row>
    <row r="390" spans="1:6" x14ac:dyDescent="0.25">
      <c r="A390" s="277" t="str">
        <f t="shared" si="6"/>
        <v>Wrocław – Urząd Skarbowy Wrocław - Śródmieście</v>
      </c>
      <c r="B390" s="290" t="s">
        <v>2291</v>
      </c>
      <c r="C390" s="277" t="s">
        <v>2113</v>
      </c>
      <c r="D390" s="277" t="s">
        <v>2114</v>
      </c>
      <c r="E390" s="278" t="s">
        <v>2115</v>
      </c>
      <c r="F390" s="277" t="s">
        <v>629</v>
      </c>
    </row>
    <row r="391" spans="1:6" x14ac:dyDescent="0.25">
      <c r="A391" s="277" t="str">
        <f t="shared" si="6"/>
        <v>Wrocław – Urząd Skarbowy Wrocław - Stare Miasto</v>
      </c>
      <c r="B391" s="290" t="s">
        <v>2290</v>
      </c>
      <c r="C391" s="277" t="s">
        <v>2134</v>
      </c>
      <c r="D391" s="277" t="s">
        <v>2135</v>
      </c>
      <c r="E391" s="278" t="s">
        <v>2136</v>
      </c>
      <c r="F391" s="277" t="s">
        <v>629</v>
      </c>
    </row>
    <row r="392" spans="1:6" x14ac:dyDescent="0.25">
      <c r="A392" s="277" t="str">
        <f t="shared" si="6"/>
        <v>Września – Urząd Skarbowy we Wrześni</v>
      </c>
      <c r="B392" s="290">
        <v>3035</v>
      </c>
      <c r="C392" s="277" t="s">
        <v>2137</v>
      </c>
      <c r="D392" s="277" t="s">
        <v>2138</v>
      </c>
      <c r="E392" s="278" t="s">
        <v>2139</v>
      </c>
      <c r="F392" s="277" t="s">
        <v>2140</v>
      </c>
    </row>
    <row r="393" spans="1:6" x14ac:dyDescent="0.25">
      <c r="A393" s="277" t="str">
        <f t="shared" si="6"/>
        <v>Wschowa – Urząd Skarbowy we Wschowie</v>
      </c>
      <c r="B393" s="290" t="s">
        <v>2359</v>
      </c>
      <c r="C393" s="277" t="s">
        <v>2141</v>
      </c>
      <c r="D393" s="277" t="s">
        <v>2142</v>
      </c>
      <c r="E393" s="278" t="s">
        <v>2143</v>
      </c>
      <c r="F393" s="277" t="s">
        <v>2144</v>
      </c>
    </row>
    <row r="394" spans="1:6" x14ac:dyDescent="0.25">
      <c r="A394" s="277" t="str">
        <f t="shared" si="6"/>
        <v>Wysokie Mazowieckie – Urząd Skarbowy w Wysokiem Mazowieckiem</v>
      </c>
      <c r="B394" s="290">
        <v>2013</v>
      </c>
      <c r="C394" s="277" t="s">
        <v>2145</v>
      </c>
      <c r="D394" s="277" t="s">
        <v>2146</v>
      </c>
      <c r="E394" s="278" t="s">
        <v>2147</v>
      </c>
      <c r="F394" s="277" t="s">
        <v>2148</v>
      </c>
    </row>
    <row r="395" spans="1:6" x14ac:dyDescent="0.25">
      <c r="A395" s="277" t="str">
        <f t="shared" si="6"/>
        <v>Wyszków – Urząd Skarbowy w Wyszkowie</v>
      </c>
      <c r="B395" s="290">
        <v>1443</v>
      </c>
      <c r="C395" s="277" t="s">
        <v>2149</v>
      </c>
      <c r="D395" s="277" t="s">
        <v>2150</v>
      </c>
      <c r="E395" s="278" t="s">
        <v>2151</v>
      </c>
      <c r="F395" s="277" t="s">
        <v>2152</v>
      </c>
    </row>
    <row r="396" spans="1:6" x14ac:dyDescent="0.25">
      <c r="A396" s="277" t="str">
        <f t="shared" si="6"/>
        <v>Ząbkowice Śląskie – Urząd Skarbowy w  Ząbkowicach Śląskich</v>
      </c>
      <c r="B396" s="290" t="s">
        <v>2293</v>
      </c>
      <c r="C396" s="277" t="s">
        <v>2153</v>
      </c>
      <c r="D396" s="277" t="s">
        <v>2154</v>
      </c>
      <c r="E396" s="278" t="s">
        <v>2155</v>
      </c>
      <c r="F396" s="277" t="s">
        <v>2156</v>
      </c>
    </row>
    <row r="397" spans="1:6" x14ac:dyDescent="0.25">
      <c r="A397" s="277" t="str">
        <f t="shared" si="6"/>
        <v>Zabrze – Urząd Skarbowy w Zabrzu</v>
      </c>
      <c r="B397" s="290">
        <v>2433</v>
      </c>
      <c r="C397" s="277" t="s">
        <v>2157</v>
      </c>
      <c r="D397" s="277" t="s">
        <v>2158</v>
      </c>
      <c r="E397" s="278" t="s">
        <v>2159</v>
      </c>
      <c r="F397" s="277" t="s">
        <v>2160</v>
      </c>
    </row>
    <row r="398" spans="1:6" x14ac:dyDescent="0.25">
      <c r="A398" s="277" t="str">
        <f t="shared" si="6"/>
        <v>Żagań – Urząd Skarbowy w Żaganiu</v>
      </c>
      <c r="B398" s="290" t="s">
        <v>2355</v>
      </c>
      <c r="C398" s="277" t="s">
        <v>2161</v>
      </c>
      <c r="D398" s="277" t="s">
        <v>2162</v>
      </c>
      <c r="E398" s="278" t="s">
        <v>2163</v>
      </c>
      <c r="F398" s="277" t="s">
        <v>2164</v>
      </c>
    </row>
    <row r="399" spans="1:6" x14ac:dyDescent="0.25">
      <c r="A399" s="277" t="str">
        <f t="shared" si="6"/>
        <v>Zakopane – Urząd Skarbowy w Zakopanem</v>
      </c>
      <c r="B399" s="290">
        <v>1227</v>
      </c>
      <c r="C399" s="277" t="s">
        <v>2165</v>
      </c>
      <c r="D399" s="277" t="s">
        <v>2166</v>
      </c>
      <c r="E399" s="278" t="s">
        <v>2167</v>
      </c>
      <c r="F399" s="277" t="s">
        <v>2168</v>
      </c>
    </row>
    <row r="400" spans="1:6" x14ac:dyDescent="0.25">
      <c r="A400" s="277" t="str">
        <f t="shared" si="6"/>
        <v>Zambrów – Urząd Skarbowy w Zambrowie</v>
      </c>
      <c r="B400" s="290">
        <v>2014</v>
      </c>
      <c r="C400" s="277" t="s">
        <v>2169</v>
      </c>
      <c r="D400" s="277" t="s">
        <v>2170</v>
      </c>
      <c r="E400" s="278" t="s">
        <v>2171</v>
      </c>
      <c r="F400" s="277" t="s">
        <v>2172</v>
      </c>
    </row>
    <row r="401" spans="1:6" x14ac:dyDescent="0.25">
      <c r="A401" s="277" t="str">
        <f t="shared" si="6"/>
        <v>Zamość – Urząd Skarbowy w Zamościu</v>
      </c>
      <c r="B401" s="290" t="s">
        <v>2342</v>
      </c>
      <c r="C401" s="277" t="s">
        <v>2173</v>
      </c>
      <c r="D401" s="277" t="s">
        <v>2174</v>
      </c>
      <c r="E401" s="278" t="s">
        <v>2175</v>
      </c>
      <c r="F401" s="277" t="s">
        <v>2176</v>
      </c>
    </row>
    <row r="402" spans="1:6" x14ac:dyDescent="0.25">
      <c r="A402" s="277" t="str">
        <f t="shared" si="6"/>
        <v>Żary – Urząd Skarbowy w Żarach</v>
      </c>
      <c r="B402" s="290" t="s">
        <v>2356</v>
      </c>
      <c r="C402" s="277" t="s">
        <v>2177</v>
      </c>
      <c r="D402" s="277" t="s">
        <v>2178</v>
      </c>
      <c r="E402" s="278" t="s">
        <v>2179</v>
      </c>
      <c r="F402" s="277" t="s">
        <v>2180</v>
      </c>
    </row>
    <row r="403" spans="1:6" x14ac:dyDescent="0.25">
      <c r="A403" s="277" t="str">
        <f t="shared" si="6"/>
        <v>Zawiercie – Urząd Skarbowy w Zawierciu</v>
      </c>
      <c r="B403" s="290">
        <v>2434</v>
      </c>
      <c r="C403" s="277" t="s">
        <v>2181</v>
      </c>
      <c r="D403" s="277" t="s">
        <v>2182</v>
      </c>
      <c r="E403" s="278" t="s">
        <v>2183</v>
      </c>
      <c r="F403" s="277" t="s">
        <v>2184</v>
      </c>
    </row>
    <row r="404" spans="1:6" x14ac:dyDescent="0.25">
      <c r="A404" s="277" t="str">
        <f t="shared" si="6"/>
        <v>Zduńska Wola – Urząd Skarbowy w Zduńskiej Woli</v>
      </c>
      <c r="B404" s="290">
        <v>1025</v>
      </c>
      <c r="C404" s="277" t="s">
        <v>2185</v>
      </c>
      <c r="D404" s="277" t="s">
        <v>2186</v>
      </c>
      <c r="E404" s="278" t="s">
        <v>2187</v>
      </c>
      <c r="F404" s="277" t="s">
        <v>2188</v>
      </c>
    </row>
    <row r="405" spans="1:6" x14ac:dyDescent="0.25">
      <c r="A405" s="277" t="str">
        <f t="shared" si="6"/>
        <v>Zgierz – Urząd Skarbowy w Zgierzu</v>
      </c>
      <c r="B405" s="290">
        <v>1026</v>
      </c>
      <c r="C405" s="277" t="s">
        <v>2189</v>
      </c>
      <c r="D405" s="277" t="s">
        <v>2190</v>
      </c>
      <c r="E405" s="278" t="s">
        <v>2191</v>
      </c>
      <c r="F405" s="277" t="s">
        <v>2192</v>
      </c>
    </row>
    <row r="406" spans="1:6" x14ac:dyDescent="0.25">
      <c r="A406" s="277" t="str">
        <f t="shared" si="6"/>
        <v>Zgorzelec – Urząd Skarbowy w Zgorzelcu</v>
      </c>
      <c r="B406" s="290" t="s">
        <v>2294</v>
      </c>
      <c r="C406" s="277" t="s">
        <v>2193</v>
      </c>
      <c r="D406" s="277" t="s">
        <v>2194</v>
      </c>
      <c r="E406" s="278" t="s">
        <v>2195</v>
      </c>
      <c r="F406" s="277" t="s">
        <v>2196</v>
      </c>
    </row>
    <row r="407" spans="1:6" x14ac:dyDescent="0.25">
      <c r="A407" s="277" t="str">
        <f t="shared" si="6"/>
        <v>Zielona Góra – Drugi Urząd Skarbowy w Zielonej Górze</v>
      </c>
      <c r="B407" s="290" t="s">
        <v>2354</v>
      </c>
      <c r="C407" s="277" t="s">
        <v>2197</v>
      </c>
      <c r="D407" s="277" t="s">
        <v>2198</v>
      </c>
      <c r="E407" s="278" t="s">
        <v>2199</v>
      </c>
      <c r="F407" s="277" t="s">
        <v>2200</v>
      </c>
    </row>
    <row r="408" spans="1:6" x14ac:dyDescent="0.25">
      <c r="A408" s="277" t="str">
        <f t="shared" si="6"/>
        <v>Zielona Góra – Izba Skarbowa w Zielonej Górze</v>
      </c>
      <c r="B408" s="290" t="s">
        <v>2346</v>
      </c>
      <c r="C408" s="277" t="s">
        <v>2203</v>
      </c>
      <c r="D408" s="277" t="s">
        <v>2204</v>
      </c>
      <c r="E408" s="278" t="s">
        <v>2205</v>
      </c>
      <c r="F408" s="277" t="s">
        <v>2200</v>
      </c>
    </row>
    <row r="409" spans="1:6" x14ac:dyDescent="0.25">
      <c r="A409" s="277" t="str">
        <f t="shared" si="6"/>
        <v>Zielona Góra – Lubuski Urząd Skarbowy w Zielonej Górze</v>
      </c>
      <c r="B409" s="290" t="s">
        <v>2360</v>
      </c>
      <c r="C409" s="277" t="s">
        <v>2201</v>
      </c>
      <c r="D409" s="277" t="s">
        <v>2198</v>
      </c>
      <c r="E409" s="278" t="s">
        <v>2199</v>
      </c>
      <c r="F409" s="277" t="s">
        <v>2200</v>
      </c>
    </row>
    <row r="410" spans="1:6" x14ac:dyDescent="0.25">
      <c r="A410" s="277" t="str">
        <f t="shared" si="6"/>
        <v>Zielona Góra – Pierwszy Urząd Skarbowy w Zielonej Górze</v>
      </c>
      <c r="B410" s="290" t="s">
        <v>2353</v>
      </c>
      <c r="C410" s="277" t="s">
        <v>2202</v>
      </c>
      <c r="D410" s="277" t="s">
        <v>2198</v>
      </c>
      <c r="E410" s="278" t="s">
        <v>2199</v>
      </c>
      <c r="F410" s="277" t="s">
        <v>2200</v>
      </c>
    </row>
    <row r="411" spans="1:6" x14ac:dyDescent="0.25">
      <c r="A411" s="277" t="str">
        <f t="shared" si="6"/>
        <v>Złotoryja – Urząd Skarbowy w Złotoryi</v>
      </c>
      <c r="B411" s="290" t="s">
        <v>2295</v>
      </c>
      <c r="C411" s="277" t="s">
        <v>2206</v>
      </c>
      <c r="D411" s="277" t="s">
        <v>2207</v>
      </c>
      <c r="E411" s="278" t="s">
        <v>2208</v>
      </c>
      <c r="F411" s="277" t="s">
        <v>2209</v>
      </c>
    </row>
    <row r="412" spans="1:6" x14ac:dyDescent="0.25">
      <c r="A412" s="277" t="str">
        <f t="shared" si="6"/>
        <v>Złotów – Urząd Skarbowy w Złotowie</v>
      </c>
      <c r="B412" s="290">
        <v>3036</v>
      </c>
      <c r="C412" s="277" t="s">
        <v>2210</v>
      </c>
      <c r="D412" s="277" t="s">
        <v>2211</v>
      </c>
      <c r="E412" s="278" t="s">
        <v>2212</v>
      </c>
      <c r="F412" s="277" t="s">
        <v>2213</v>
      </c>
    </row>
    <row r="413" spans="1:6" x14ac:dyDescent="0.25">
      <c r="A413" s="277" t="str">
        <f t="shared" si="6"/>
        <v>Żnin – Urząd Skarbowy w Żninie</v>
      </c>
      <c r="B413" s="290" t="s">
        <v>2319</v>
      </c>
      <c r="C413" s="277" t="s">
        <v>2214</v>
      </c>
      <c r="D413" s="277" t="s">
        <v>2215</v>
      </c>
      <c r="E413" s="278" t="s">
        <v>2216</v>
      </c>
      <c r="F413" s="277" t="s">
        <v>2217</v>
      </c>
    </row>
    <row r="414" spans="1:6" x14ac:dyDescent="0.25">
      <c r="A414" s="277" t="str">
        <f t="shared" si="6"/>
        <v>Żory – Urząd Skarbowy w Żorach</v>
      </c>
      <c r="B414" s="290">
        <v>2435</v>
      </c>
      <c r="C414" s="277" t="s">
        <v>2218</v>
      </c>
      <c r="D414" s="277" t="s">
        <v>2219</v>
      </c>
      <c r="E414" s="278" t="s">
        <v>2220</v>
      </c>
      <c r="F414" s="277" t="s">
        <v>2221</v>
      </c>
    </row>
    <row r="415" spans="1:6" x14ac:dyDescent="0.25">
      <c r="A415" s="277" t="str">
        <f t="shared" si="6"/>
        <v>Żuromin – Urząd Skarbowy w Żurominie</v>
      </c>
      <c r="B415" s="290">
        <v>1445</v>
      </c>
      <c r="C415" s="277" t="s">
        <v>2222</v>
      </c>
      <c r="D415" s="277" t="s">
        <v>2223</v>
      </c>
      <c r="E415" s="278" t="s">
        <v>2224</v>
      </c>
      <c r="F415" s="277" t="s">
        <v>2225</v>
      </c>
    </row>
    <row r="416" spans="1:6" x14ac:dyDescent="0.25">
      <c r="A416" s="277" t="str">
        <f t="shared" si="6"/>
        <v>Zwoleń – Urząd Skarbowy w Zwoleniu</v>
      </c>
      <c r="B416" s="290">
        <v>1444</v>
      </c>
      <c r="C416" s="277" t="s">
        <v>2226</v>
      </c>
      <c r="D416" s="277" t="s">
        <v>2227</v>
      </c>
      <c r="E416" s="278" t="s">
        <v>2228</v>
      </c>
      <c r="F416" s="277" t="s">
        <v>2229</v>
      </c>
    </row>
    <row r="417" spans="1:6" x14ac:dyDescent="0.25">
      <c r="A417" s="277" t="str">
        <f t="shared" si="6"/>
        <v>Żyrardów – Urząd Skarbowy w Żyrardowie</v>
      </c>
      <c r="B417" s="290">
        <v>1446</v>
      </c>
      <c r="C417" s="277" t="s">
        <v>2230</v>
      </c>
      <c r="D417" s="277" t="s">
        <v>2231</v>
      </c>
      <c r="E417" s="278" t="s">
        <v>2232</v>
      </c>
      <c r="F417" s="277" t="s">
        <v>2233</v>
      </c>
    </row>
    <row r="418" spans="1:6" x14ac:dyDescent="0.25">
      <c r="A418" s="277" t="str">
        <f t="shared" si="6"/>
        <v>Żywiec – Urząd Skarbowy w Żywcu</v>
      </c>
      <c r="B418" s="290">
        <v>2436</v>
      </c>
      <c r="C418" s="277" t="s">
        <v>2234</v>
      </c>
      <c r="D418" s="277" t="s">
        <v>2235</v>
      </c>
      <c r="E418" s="278" t="s">
        <v>2236</v>
      </c>
      <c r="F418" s="277" t="s">
        <v>2237</v>
      </c>
    </row>
  </sheetData>
  <sortState ref="A2:F418">
    <sortCondition ref="A2:A418"/>
  </sortState>
  <pageMargins left="0.7" right="0.7" top="0.75" bottom="0.75" header="0.3" footer="0.3"/>
  <pageSetup paperSize="9" orientation="portrait" horizontalDpi="300" verticalDpi="0"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48"/>
  <sheetViews>
    <sheetView workbookViewId="0">
      <selection activeCell="B8" sqref="B8"/>
    </sheetView>
  </sheetViews>
  <sheetFormatPr defaultRowHeight="12.75" x14ac:dyDescent="0.2"/>
  <cols>
    <col min="1" max="1" width="14.85546875" style="197" bestFit="1" customWidth="1"/>
    <col min="2" max="2" width="65.85546875" customWidth="1"/>
    <col min="3" max="3" width="22.5703125" bestFit="1" customWidth="1"/>
    <col min="4" max="4" width="14.7109375" bestFit="1" customWidth="1"/>
    <col min="5" max="5" width="17.28515625" bestFit="1" customWidth="1"/>
  </cols>
  <sheetData>
    <row r="1" spans="1:5" x14ac:dyDescent="0.2">
      <c r="A1" s="197" t="s">
        <v>530</v>
      </c>
      <c r="B1" s="196">
        <v>2015</v>
      </c>
      <c r="C1" s="347"/>
    </row>
    <row r="2" spans="1:5" x14ac:dyDescent="0.2">
      <c r="A2" s="197" t="s">
        <v>531</v>
      </c>
      <c r="B2" s="196">
        <v>2016</v>
      </c>
    </row>
    <row r="3" spans="1:5" x14ac:dyDescent="0.2">
      <c r="A3" s="197" t="s">
        <v>532</v>
      </c>
      <c r="B3" s="198" t="s">
        <v>2387</v>
      </c>
    </row>
    <row r="4" spans="1:5" x14ac:dyDescent="0.2">
      <c r="A4" s="197" t="s">
        <v>533</v>
      </c>
      <c r="B4" s="198" t="s">
        <v>2388</v>
      </c>
    </row>
    <row r="5" spans="1:5" x14ac:dyDescent="0.2">
      <c r="A5" s="197" t="s">
        <v>534</v>
      </c>
      <c r="B5" s="202" t="s">
        <v>2389</v>
      </c>
    </row>
    <row r="6" spans="1:5" x14ac:dyDescent="0.2">
      <c r="A6" s="245" t="s">
        <v>549</v>
      </c>
      <c r="B6" s="246"/>
      <c r="C6" s="247"/>
      <c r="D6" s="247"/>
      <c r="E6" s="247"/>
    </row>
    <row r="7" spans="1:5" x14ac:dyDescent="0.2">
      <c r="A7" s="197" t="s">
        <v>550</v>
      </c>
      <c r="B7" s="252">
        <f ca="1">TODAY()</f>
        <v>42598</v>
      </c>
    </row>
    <row r="8" spans="1:5" x14ac:dyDescent="0.2">
      <c r="A8" s="197" t="s">
        <v>613</v>
      </c>
    </row>
    <row r="9" spans="1:5" x14ac:dyDescent="0.2">
      <c r="A9" s="245" t="s">
        <v>639</v>
      </c>
      <c r="B9" s="244" t="s">
        <v>641</v>
      </c>
      <c r="C9" s="244" t="s">
        <v>643</v>
      </c>
      <c r="D9" s="244" t="s">
        <v>645</v>
      </c>
      <c r="E9" s="244" t="s">
        <v>647</v>
      </c>
    </row>
    <row r="10" spans="1:5" x14ac:dyDescent="0.2">
      <c r="A10" s="245" t="s">
        <v>638</v>
      </c>
      <c r="B10" s="244" t="s">
        <v>640</v>
      </c>
      <c r="C10" s="244" t="s">
        <v>642</v>
      </c>
      <c r="D10" s="244" t="s">
        <v>644</v>
      </c>
      <c r="E10" s="244" t="s">
        <v>646</v>
      </c>
    </row>
    <row r="11" spans="1:5" x14ac:dyDescent="0.2">
      <c r="A11" s="197" t="s">
        <v>535</v>
      </c>
      <c r="B11" t="str">
        <f>"Czy zamierza Pan/Pani rozliczyć podatek wspólnie z małżonkiem?"</f>
        <v>Czy zamierza Pan/Pani rozliczyć podatek wspólnie z małżonkiem?</v>
      </c>
    </row>
    <row r="12" spans="1:5" x14ac:dyDescent="0.2">
      <c r="A12" s="197" t="s">
        <v>536</v>
      </c>
      <c r="B12" t="str">
        <f>"Czy mieszka Pan/Pani w miejscowości, w której Pan/Pani pracuje?"</f>
        <v>Czy mieszka Pan/Pani w miejscowości, w której Pan/Pani pracuje?</v>
      </c>
    </row>
    <row r="13" spans="1:5" x14ac:dyDescent="0.2">
      <c r="A13" s="197" t="s">
        <v>537</v>
      </c>
      <c r="B13" t="str">
        <f>"Czy posiada Pan/Pani dziecko do lat 14?"</f>
        <v>Czy posiada Pan/Pani dziecko do lat 14?</v>
      </c>
    </row>
    <row r="14" spans="1:5" x14ac:dyDescent="0.2">
      <c r="A14" s="197" t="s">
        <v>538</v>
      </c>
      <c r="B14" t="str">
        <f>"Czy chce Pan/Pani zgłosić do ubezpieczenia zdrowotnego członka rodziny?"</f>
        <v>Czy chce Pan/Pani zgłosić do ubezpieczenia zdrowotnego członka rodziny?</v>
      </c>
    </row>
    <row r="15" spans="1:5" x14ac:dyDescent="0.2">
      <c r="A15" s="197" t="s">
        <v>539</v>
      </c>
      <c r="B15" t="str">
        <f>"Czy uzyskał PanPani przychód oskładkowany w " &amp; $B$2 &amp; " roku?"</f>
        <v>Czy uzyskał PanPani przychód oskładkowany w 2016 roku?</v>
      </c>
    </row>
    <row r="16" spans="1:5" x14ac:dyDescent="0.2">
      <c r="A16" s="197" t="s">
        <v>614</v>
      </c>
      <c r="B16" s="185" t="s">
        <v>620</v>
      </c>
    </row>
    <row r="17" spans="1:17" x14ac:dyDescent="0.2">
      <c r="A17" s="197" t="s">
        <v>625</v>
      </c>
      <c r="B17" s="185" t="s">
        <v>619</v>
      </c>
    </row>
    <row r="18" spans="1:17" x14ac:dyDescent="0.2">
      <c r="B18" s="185"/>
    </row>
    <row r="19" spans="1:17" x14ac:dyDescent="0.2">
      <c r="B19" s="185"/>
    </row>
    <row r="21" spans="1:17" x14ac:dyDescent="0.2">
      <c r="A21" s="197" t="s">
        <v>540</v>
      </c>
      <c r="B21" t="str">
        <f>"Do you intend to file the tax jointly with your spouse?"</f>
        <v>Do you intend to file the tax jointly with your spouse?</v>
      </c>
    </row>
    <row r="22" spans="1:17" x14ac:dyDescent="0.2">
      <c r="A22" s="197" t="s">
        <v>541</v>
      </c>
      <c r="B22" t="str">
        <f>"Do you reside in a place where you work?"</f>
        <v>Do you reside in a place where you work?</v>
      </c>
    </row>
    <row r="23" spans="1:17" x14ac:dyDescent="0.2">
      <c r="A23" s="197" t="s">
        <v>542</v>
      </c>
      <c r="B23" t="str">
        <f>"Do you have a child up to 14 years of age?"</f>
        <v>Do you have a child up to 14 years of age?</v>
      </c>
    </row>
    <row r="24" spans="1:17" x14ac:dyDescent="0.2">
      <c r="A24" s="197" t="s">
        <v>543</v>
      </c>
      <c r="B24" t="str">
        <f>"Do you want to register with the National Health Insurance a member of your family?"</f>
        <v>Do you want to register with the National Health Insurance a member of your family?</v>
      </c>
    </row>
    <row r="25" spans="1:17" x14ac:dyDescent="0.2">
      <c r="A25" s="197" t="s">
        <v>544</v>
      </c>
      <c r="B25" t="str">
        <f>"Have you earned remuneration subject to social security contributons deduction in " &amp; $B$2 &amp; " ?"</f>
        <v>Have you earned remuneration subject to social security contributons deduction in 2016 ?</v>
      </c>
    </row>
    <row r="26" spans="1:17" x14ac:dyDescent="0.2">
      <c r="A26" s="197" t="s">
        <v>545</v>
      </c>
      <c r="B26" s="185" t="s">
        <v>627</v>
      </c>
    </row>
    <row r="27" spans="1:17" x14ac:dyDescent="0.2">
      <c r="A27" s="197" t="s">
        <v>626</v>
      </c>
      <c r="B27" t="s">
        <v>628</v>
      </c>
    </row>
    <row r="32" spans="1:17" x14ac:dyDescent="0.2">
      <c r="A32" s="245" t="s">
        <v>667</v>
      </c>
      <c r="B32" s="247" t="s">
        <v>651</v>
      </c>
      <c r="C32" s="247" t="s">
        <v>652</v>
      </c>
      <c r="D32" s="247" t="s">
        <v>653</v>
      </c>
      <c r="E32" s="247" t="s">
        <v>654</v>
      </c>
      <c r="F32" s="247" t="s">
        <v>655</v>
      </c>
      <c r="G32" s="247" t="s">
        <v>656</v>
      </c>
      <c r="H32" s="247" t="s">
        <v>657</v>
      </c>
      <c r="I32" s="247" t="s">
        <v>658</v>
      </c>
      <c r="J32" s="247" t="s">
        <v>659</v>
      </c>
      <c r="K32" s="247" t="s">
        <v>660</v>
      </c>
      <c r="L32" s="247" t="s">
        <v>661</v>
      </c>
      <c r="M32" s="247" t="s">
        <v>662</v>
      </c>
      <c r="N32" s="247" t="s">
        <v>663</v>
      </c>
      <c r="O32" s="247" t="s">
        <v>664</v>
      </c>
      <c r="P32" s="247" t="s">
        <v>665</v>
      </c>
      <c r="Q32" s="247" t="s">
        <v>666</v>
      </c>
    </row>
    <row r="33" spans="1:17" x14ac:dyDescent="0.2">
      <c r="A33" s="245" t="s">
        <v>2377</v>
      </c>
      <c r="B33" s="244" t="s">
        <v>2376</v>
      </c>
      <c r="C33" s="244" t="s">
        <v>2361</v>
      </c>
      <c r="D33" s="244" t="s">
        <v>2362</v>
      </c>
      <c r="E33" s="244" t="s">
        <v>2363</v>
      </c>
      <c r="F33" s="244" t="s">
        <v>2364</v>
      </c>
      <c r="G33" s="244" t="s">
        <v>2365</v>
      </c>
      <c r="H33" s="244" t="s">
        <v>2366</v>
      </c>
      <c r="I33" s="244" t="s">
        <v>2367</v>
      </c>
      <c r="J33" s="244" t="s">
        <v>2368</v>
      </c>
      <c r="K33" s="244" t="s">
        <v>2369</v>
      </c>
      <c r="L33" s="244" t="s">
        <v>2370</v>
      </c>
      <c r="M33" s="244" t="s">
        <v>2371</v>
      </c>
      <c r="N33" s="244" t="s">
        <v>2372</v>
      </c>
      <c r="O33" s="244" t="s">
        <v>2373</v>
      </c>
      <c r="P33" s="244" t="s">
        <v>2374</v>
      </c>
      <c r="Q33" s="244" t="s">
        <v>2375</v>
      </c>
    </row>
    <row r="34" spans="1:17" x14ac:dyDescent="0.2">
      <c r="A34" s="245" t="s">
        <v>678</v>
      </c>
      <c r="B34" s="247" t="s">
        <v>682</v>
      </c>
      <c r="C34" s="247" t="s">
        <v>683</v>
      </c>
    </row>
    <row r="35" spans="1:17" x14ac:dyDescent="0.2">
      <c r="A35" s="245" t="s">
        <v>679</v>
      </c>
      <c r="B35" s="247" t="s">
        <v>680</v>
      </c>
      <c r="C35" s="247" t="s">
        <v>681</v>
      </c>
    </row>
    <row r="36" spans="1:17" x14ac:dyDescent="0.2">
      <c r="A36" s="245" t="s">
        <v>695</v>
      </c>
      <c r="B36" s="247" t="s">
        <v>696</v>
      </c>
      <c r="C36" s="244" t="s">
        <v>702</v>
      </c>
    </row>
    <row r="37" spans="1:17" x14ac:dyDescent="0.2">
      <c r="A37" s="245" t="s">
        <v>697</v>
      </c>
      <c r="B37" s="247" t="s">
        <v>698</v>
      </c>
      <c r="C37" s="247" t="s">
        <v>699</v>
      </c>
    </row>
    <row r="39" spans="1:17" x14ac:dyDescent="0.2">
      <c r="A39" s="197" t="s">
        <v>2239</v>
      </c>
      <c r="B39" s="279" t="s">
        <v>2241</v>
      </c>
      <c r="C39" s="279" t="s">
        <v>2242</v>
      </c>
      <c r="D39" s="244" t="s">
        <v>2243</v>
      </c>
    </row>
    <row r="40" spans="1:17" x14ac:dyDescent="0.2">
      <c r="A40" s="197" t="s">
        <v>2240</v>
      </c>
      <c r="B40" s="244" t="s">
        <v>2257</v>
      </c>
      <c r="C40" s="279" t="s">
        <v>2244</v>
      </c>
      <c r="D40" s="244" t="s">
        <v>2245</v>
      </c>
    </row>
    <row r="45" spans="1:17" x14ac:dyDescent="0.2">
      <c r="B45" s="197" t="s">
        <v>2392</v>
      </c>
      <c r="C45" s="197" t="s">
        <v>2393</v>
      </c>
      <c r="D45" s="197" t="s">
        <v>2394</v>
      </c>
    </row>
    <row r="46" spans="1:17" x14ac:dyDescent="0.2">
      <c r="A46"/>
      <c r="B46" t="s">
        <v>2390</v>
      </c>
      <c r="C46" s="358">
        <v>1</v>
      </c>
      <c r="D46" s="358">
        <v>1</v>
      </c>
    </row>
    <row r="47" spans="1:17" x14ac:dyDescent="0.2">
      <c r="A47"/>
      <c r="B47" t="s">
        <v>2391</v>
      </c>
      <c r="C47" s="357">
        <v>1.25</v>
      </c>
      <c r="D47" s="357">
        <v>1</v>
      </c>
    </row>
    <row r="48" spans="1:17" x14ac:dyDescent="0.2">
      <c r="B48" s="359" t="str">
        <f>IF(PROPER(Ogolne!$D$12)&lt;&gt;"N",const!B46,const!B47)</f>
        <v>Jednego stosunku pracy</v>
      </c>
      <c r="C48" s="360">
        <f>IF(PROPER(Ogolne!$D$12)="T",const!C46,const!C47)</f>
        <v>1.25</v>
      </c>
      <c r="D48" s="360">
        <f>IF(PROPER(Ogolne!$D$12)="T",const!D46,const!D47)</f>
        <v>1</v>
      </c>
    </row>
  </sheetData>
  <pageMargins left="0.7" right="0.7" top="0.75" bottom="0.75" header="0.3" footer="0.3"/>
  <pageSetup paperSize="9" orientation="portrait" r:id="rId1"/>
  <ignoredErrors>
    <ignoredError sqref="B5" numberStoredAsText="1"/>
  </ignoredErrors>
  <drawing r:id="rId2"/>
  <legacyDrawing r:id="rId3"/>
  <controls>
    <mc:AlternateContent xmlns:mc="http://schemas.openxmlformats.org/markup-compatibility/2006">
      <mc:Choice Requires="x14">
        <control shapeId="6145" r:id="rId4" name="CommandButton1">
          <controlPr defaultSize="0" autoLine="0" r:id="rId5">
            <anchor moveWithCells="1">
              <from>
                <xdr:col>2</xdr:col>
                <xdr:colOff>19050</xdr:colOff>
                <xdr:row>1</xdr:row>
                <xdr:rowOff>9525</xdr:rowOff>
              </from>
              <to>
                <xdr:col>2</xdr:col>
                <xdr:colOff>1485900</xdr:colOff>
                <xdr:row>3</xdr:row>
                <xdr:rowOff>19050</xdr:rowOff>
              </to>
            </anchor>
          </controlPr>
        </control>
      </mc:Choice>
      <mc:Fallback>
        <control shapeId="6145"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3"/>
  <sheetViews>
    <sheetView showGridLines="0" zoomScaleNormal="100" workbookViewId="0">
      <selection activeCell="C11" sqref="C11"/>
    </sheetView>
  </sheetViews>
  <sheetFormatPr defaultRowHeight="12.75" x14ac:dyDescent="0.2"/>
  <cols>
    <col min="1" max="1" width="3.42578125" customWidth="1"/>
    <col min="2" max="2" width="12.7109375" customWidth="1"/>
    <col min="3" max="3" width="3" customWidth="1"/>
  </cols>
  <sheetData>
    <row r="1" spans="1:4" x14ac:dyDescent="0.2">
      <c r="A1" s="185"/>
      <c r="B1" s="186"/>
    </row>
    <row r="2" spans="1:4" x14ac:dyDescent="0.2">
      <c r="A2" s="185"/>
      <c r="B2" s="186"/>
    </row>
    <row r="3" spans="1:4" x14ac:dyDescent="0.2">
      <c r="A3" s="185"/>
      <c r="B3" s="187"/>
    </row>
    <row r="4" spans="1:4" x14ac:dyDescent="0.2">
      <c r="A4" s="185"/>
      <c r="B4" s="186"/>
    </row>
    <row r="5" spans="1:4" x14ac:dyDescent="0.2">
      <c r="A5" s="185"/>
      <c r="B5" s="188"/>
    </row>
    <row r="8" spans="1:4" ht="15" x14ac:dyDescent="0.2">
      <c r="B8" s="192" t="s">
        <v>612</v>
      </c>
    </row>
    <row r="9" spans="1:4" ht="13.5" thickBot="1" x14ac:dyDescent="0.25"/>
    <row r="10" spans="1:4" ht="13.5" thickBot="1" x14ac:dyDescent="0.25">
      <c r="B10" s="185" t="s">
        <v>529</v>
      </c>
      <c r="C10" s="195"/>
    </row>
    <row r="11" spans="1:4" ht="13.5" thickBot="1" x14ac:dyDescent="0.25">
      <c r="B11" s="185" t="s">
        <v>528</v>
      </c>
      <c r="C11" s="195" t="s">
        <v>2404</v>
      </c>
      <c r="D11" t="s">
        <v>363</v>
      </c>
    </row>
    <row r="13" spans="1:4" x14ac:dyDescent="0.2">
      <c r="B13" s="191" t="s">
        <v>2386</v>
      </c>
    </row>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9" r:id="rId4" name="CommandButton4">
          <controlPr defaultSize="0" autoLine="0" r:id="rId5">
            <anchor moveWithCells="1">
              <from>
                <xdr:col>7</xdr:col>
                <xdr:colOff>514350</xdr:colOff>
                <xdr:row>18</xdr:row>
                <xdr:rowOff>114300</xdr:rowOff>
              </from>
              <to>
                <xdr:col>8</xdr:col>
                <xdr:colOff>200025</xdr:colOff>
                <xdr:row>20</xdr:row>
                <xdr:rowOff>85725</xdr:rowOff>
              </to>
            </anchor>
          </controlPr>
        </control>
      </mc:Choice>
      <mc:Fallback>
        <control shapeId="1029" r:id="rId4" name="CommandButton4"/>
      </mc:Fallback>
    </mc:AlternateContent>
    <mc:AlternateContent xmlns:mc="http://schemas.openxmlformats.org/markup-compatibility/2006">
      <mc:Choice Requires="x14">
        <control shapeId="1027" r:id="rId6" name="CommandButton2">
          <controlPr defaultSize="0" autoLine="0" r:id="rId7">
            <anchor moveWithCells="1">
              <from>
                <xdr:col>7</xdr:col>
                <xdr:colOff>133350</xdr:colOff>
                <xdr:row>18</xdr:row>
                <xdr:rowOff>114300</xdr:rowOff>
              </from>
              <to>
                <xdr:col>7</xdr:col>
                <xdr:colOff>428625</xdr:colOff>
                <xdr:row>20</xdr:row>
                <xdr:rowOff>85725</xdr:rowOff>
              </to>
            </anchor>
          </controlPr>
        </control>
      </mc:Choice>
      <mc:Fallback>
        <control shapeId="1027" r:id="rId6" name="CommandButton2"/>
      </mc:Fallback>
    </mc:AlternateContent>
    <mc:AlternateContent xmlns:mc="http://schemas.openxmlformats.org/markup-compatibility/2006">
      <mc:Choice Requires="x14">
        <control shapeId="1026" r:id="rId8" name="CommandButton1">
          <controlPr defaultSize="0" autoLine="0" autoPict="0" r:id="rId9">
            <anchor moveWithCells="1">
              <from>
                <xdr:col>3</xdr:col>
                <xdr:colOff>590550</xdr:colOff>
                <xdr:row>15</xdr:row>
                <xdr:rowOff>19050</xdr:rowOff>
              </from>
              <to>
                <xdr:col>5</xdr:col>
                <xdr:colOff>609600</xdr:colOff>
                <xdr:row>17</xdr:row>
                <xdr:rowOff>9525</xdr:rowOff>
              </to>
            </anchor>
          </controlPr>
        </control>
      </mc:Choice>
      <mc:Fallback>
        <control shapeId="1026" r:id="rId8"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8:F27"/>
  <sheetViews>
    <sheetView showGridLines="0" zoomScaleNormal="100" zoomScaleSheetLayoutView="80" workbookViewId="0">
      <selection activeCell="D21" sqref="D21:F21"/>
    </sheetView>
  </sheetViews>
  <sheetFormatPr defaultRowHeight="12.75" x14ac:dyDescent="0.2"/>
  <cols>
    <col min="1" max="1" width="2.42578125" customWidth="1"/>
    <col min="2" max="2" width="3.140625" customWidth="1"/>
    <col min="3" max="3" width="77" customWidth="1"/>
    <col min="4" max="4" width="3.5703125" style="193" customWidth="1"/>
    <col min="5" max="5" width="3.5703125" customWidth="1"/>
  </cols>
  <sheetData>
    <row r="8" spans="2:4" ht="15" x14ac:dyDescent="0.2">
      <c r="B8" s="192" t="s">
        <v>2400</v>
      </c>
    </row>
    <row r="9" spans="2:4" ht="15.75" thickBot="1" x14ac:dyDescent="0.25">
      <c r="B9" s="192"/>
    </row>
    <row r="10" spans="2:4" ht="13.5" thickBot="1" x14ac:dyDescent="0.25">
      <c r="B10" s="190">
        <v>1</v>
      </c>
      <c r="C10" t="s">
        <v>2395</v>
      </c>
      <c r="D10" s="194"/>
    </row>
    <row r="11" spans="2:4" ht="13.5" thickBot="1" x14ac:dyDescent="0.25">
      <c r="B11" s="190"/>
    </row>
    <row r="12" spans="2:4" ht="13.5" thickBot="1" x14ac:dyDescent="0.25">
      <c r="B12" s="190">
        <v>2</v>
      </c>
      <c r="C12" t="s">
        <v>2396</v>
      </c>
      <c r="D12" s="194"/>
    </row>
    <row r="13" spans="2:4" ht="13.5" thickBot="1" x14ac:dyDescent="0.25">
      <c r="B13" s="190"/>
    </row>
    <row r="14" spans="2:4" ht="13.5" thickBot="1" x14ac:dyDescent="0.25">
      <c r="B14" s="190">
        <v>3</v>
      </c>
      <c r="C14" t="s">
        <v>2397</v>
      </c>
      <c r="D14" s="194"/>
    </row>
    <row r="15" spans="2:4" ht="13.5" thickBot="1" x14ac:dyDescent="0.25">
      <c r="B15" s="190"/>
    </row>
    <row r="16" spans="2:4" ht="13.5" thickBot="1" x14ac:dyDescent="0.25">
      <c r="B16" s="190">
        <v>4</v>
      </c>
      <c r="C16" t="s">
        <v>2398</v>
      </c>
      <c r="D16" s="194"/>
    </row>
    <row r="17" spans="2:6" ht="13.5" thickBot="1" x14ac:dyDescent="0.25">
      <c r="B17" s="190"/>
    </row>
    <row r="18" spans="2:6" ht="13.5" thickBot="1" x14ac:dyDescent="0.25">
      <c r="B18" s="190">
        <v>5</v>
      </c>
      <c r="C18" t="s">
        <v>2399</v>
      </c>
      <c r="D18" s="194"/>
    </row>
    <row r="19" spans="2:6" ht="13.5" thickBot="1" x14ac:dyDescent="0.25">
      <c r="B19" s="190"/>
    </row>
    <row r="20" spans="2:6" ht="13.5" thickBot="1" x14ac:dyDescent="0.25">
      <c r="B20" s="216">
        <v>6</v>
      </c>
      <c r="C20" s="198" t="s">
        <v>627</v>
      </c>
      <c r="D20" s="363"/>
      <c r="E20" s="364"/>
      <c r="F20" s="365"/>
    </row>
    <row r="21" spans="2:6" ht="13.5" thickBot="1" x14ac:dyDescent="0.25">
      <c r="B21" s="223">
        <v>7</v>
      </c>
      <c r="C21" s="198" t="s">
        <v>628</v>
      </c>
      <c r="D21" s="366"/>
      <c r="E21" s="367"/>
      <c r="F21" s="368"/>
    </row>
    <row r="24" spans="2:6" x14ac:dyDescent="0.2">
      <c r="C24" s="185"/>
    </row>
    <row r="25" spans="2:6" x14ac:dyDescent="0.2">
      <c r="C25" s="185"/>
    </row>
    <row r="27" spans="2:6" x14ac:dyDescent="0.2">
      <c r="C27" s="197" t="s">
        <v>2401</v>
      </c>
    </row>
  </sheetData>
  <mergeCells count="2">
    <mergeCell ref="D20:F20"/>
    <mergeCell ref="D21:F21"/>
  </mergeCells>
  <pageMargins left="0.7" right="0.7" top="0.75" bottom="0.75" header="0.3" footer="0.3"/>
  <pageSetup paperSize="9" scale="99" orientation="portrait" r:id="rId1"/>
  <drawing r:id="rId2"/>
  <legacyDrawing r:id="rId3"/>
  <controls>
    <mc:AlternateContent xmlns:mc="http://schemas.openxmlformats.org/markup-compatibility/2006">
      <mc:Choice Requires="x14">
        <control shapeId="2054" r:id="rId4" name="CommandButton6">
          <controlPr defaultSize="0" autoLine="0" r:id="rId5">
            <anchor moveWithCells="1">
              <from>
                <xdr:col>2</xdr:col>
                <xdr:colOff>3238500</xdr:colOff>
                <xdr:row>31</xdr:row>
                <xdr:rowOff>76200</xdr:rowOff>
              </from>
              <to>
                <xdr:col>2</xdr:col>
                <xdr:colOff>3552825</xdr:colOff>
                <xdr:row>33</xdr:row>
                <xdr:rowOff>47625</xdr:rowOff>
              </to>
            </anchor>
          </controlPr>
        </control>
      </mc:Choice>
      <mc:Fallback>
        <control shapeId="2054" r:id="rId4" name="CommandButton6"/>
      </mc:Fallback>
    </mc:AlternateContent>
    <mc:AlternateContent xmlns:mc="http://schemas.openxmlformats.org/markup-compatibility/2006">
      <mc:Choice Requires="x14">
        <control shapeId="2053" r:id="rId6" name="CommandButton5">
          <controlPr defaultSize="0" autoLine="0" r:id="rId7">
            <anchor moveWithCells="1">
              <from>
                <xdr:col>2</xdr:col>
                <xdr:colOff>2876550</xdr:colOff>
                <xdr:row>31</xdr:row>
                <xdr:rowOff>76200</xdr:rowOff>
              </from>
              <to>
                <xdr:col>2</xdr:col>
                <xdr:colOff>3171825</xdr:colOff>
                <xdr:row>33</xdr:row>
                <xdr:rowOff>47625</xdr:rowOff>
              </to>
            </anchor>
          </controlPr>
        </control>
      </mc:Choice>
      <mc:Fallback>
        <control shapeId="2053" r:id="rId6" name="CommandButton5"/>
      </mc:Fallback>
    </mc:AlternateContent>
    <mc:AlternateContent xmlns:mc="http://schemas.openxmlformats.org/markup-compatibility/2006">
      <mc:Choice Requires="x14">
        <control shapeId="2052" r:id="rId8" name="CommandButton4">
          <controlPr defaultSize="0" autoLine="0" r:id="rId9">
            <anchor moveWithCells="1">
              <from>
                <xdr:col>2</xdr:col>
                <xdr:colOff>4505325</xdr:colOff>
                <xdr:row>31</xdr:row>
                <xdr:rowOff>66675</xdr:rowOff>
              </from>
              <to>
                <xdr:col>2</xdr:col>
                <xdr:colOff>4781550</xdr:colOff>
                <xdr:row>33</xdr:row>
                <xdr:rowOff>38100</xdr:rowOff>
              </to>
            </anchor>
          </controlPr>
        </control>
      </mc:Choice>
      <mc:Fallback>
        <control shapeId="2052" r:id="rId8" name="CommandButton4"/>
      </mc:Fallback>
    </mc:AlternateContent>
    <mc:AlternateContent xmlns:mc="http://schemas.openxmlformats.org/markup-compatibility/2006">
      <mc:Choice Requires="x14">
        <control shapeId="2049" r:id="rId10" name="CommandButton2">
          <controlPr defaultSize="0" autoLine="0" r:id="rId11">
            <anchor moveWithCells="1">
              <from>
                <xdr:col>2</xdr:col>
                <xdr:colOff>609600</xdr:colOff>
                <xdr:row>27</xdr:row>
                <xdr:rowOff>57150</xdr:rowOff>
              </from>
              <to>
                <xdr:col>2</xdr:col>
                <xdr:colOff>2514600</xdr:colOff>
                <xdr:row>29</xdr:row>
                <xdr:rowOff>28575</xdr:rowOff>
              </to>
            </anchor>
          </controlPr>
        </control>
      </mc:Choice>
      <mc:Fallback>
        <control shapeId="2049" r:id="rId10" name="CommandButton2"/>
      </mc:Fallback>
    </mc:AlternateContent>
    <mc:AlternateContent xmlns:mc="http://schemas.openxmlformats.org/markup-compatibility/2006">
      <mc:Choice Requires="x14">
        <control shapeId="2050" r:id="rId12" name="CommandButton1">
          <controlPr defaultSize="0" autoLine="0" r:id="rId13">
            <anchor moveWithCells="1">
              <from>
                <xdr:col>2</xdr:col>
                <xdr:colOff>1866900</xdr:colOff>
                <xdr:row>22</xdr:row>
                <xdr:rowOff>28575</xdr:rowOff>
              </from>
              <to>
                <xdr:col>2</xdr:col>
                <xdr:colOff>3133725</xdr:colOff>
                <xdr:row>23</xdr:row>
                <xdr:rowOff>152400</xdr:rowOff>
              </to>
            </anchor>
          </controlPr>
        </control>
      </mc:Choice>
      <mc:Fallback>
        <control shapeId="2050" r:id="rId12" name="CommandButton1"/>
      </mc:Fallback>
    </mc:AlternateContent>
    <mc:AlternateContent xmlns:mc="http://schemas.openxmlformats.org/markup-compatibility/2006">
      <mc:Choice Requires="x14">
        <control shapeId="2051" r:id="rId14" name="CommandButton3">
          <controlPr defaultSize="0" autoLine="0" r:id="rId15">
            <anchor moveWithCells="1">
              <from>
                <xdr:col>2</xdr:col>
                <xdr:colOff>2876550</xdr:colOff>
                <xdr:row>27</xdr:row>
                <xdr:rowOff>66675</xdr:rowOff>
              </from>
              <to>
                <xdr:col>2</xdr:col>
                <xdr:colOff>4781550</xdr:colOff>
                <xdr:row>29</xdr:row>
                <xdr:rowOff>38100</xdr:rowOff>
              </to>
            </anchor>
          </controlPr>
        </control>
      </mc:Choice>
      <mc:Fallback>
        <control shapeId="2051" r:id="rId14"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I191"/>
  <sheetViews>
    <sheetView showGridLines="0" zoomScaleNormal="100" zoomScaleSheetLayoutView="80" workbookViewId="0">
      <selection activeCell="D11" sqref="D11"/>
    </sheetView>
  </sheetViews>
  <sheetFormatPr defaultRowHeight="12.75" x14ac:dyDescent="0.2"/>
  <cols>
    <col min="1" max="1" width="3.7109375" customWidth="1"/>
    <col min="2" max="2" width="36" customWidth="1"/>
    <col min="3" max="3" width="18.85546875" customWidth="1"/>
    <col min="4" max="4" width="26.85546875" style="291" customWidth="1"/>
    <col min="5" max="5" width="28.28515625" customWidth="1"/>
    <col min="6" max="6" width="17.28515625" style="291" customWidth="1"/>
  </cols>
  <sheetData>
    <row r="1" spans="1:9" x14ac:dyDescent="0.2">
      <c r="H1" s="148"/>
      <c r="I1" s="148"/>
    </row>
    <row r="2" spans="1:9" x14ac:dyDescent="0.2">
      <c r="H2" s="148"/>
      <c r="I2" s="148"/>
    </row>
    <row r="3" spans="1:9" x14ac:dyDescent="0.2">
      <c r="H3" s="148"/>
      <c r="I3" s="148"/>
    </row>
    <row r="4" spans="1:9" x14ac:dyDescent="0.2">
      <c r="H4" s="148"/>
      <c r="I4" s="148"/>
    </row>
    <row r="5" spans="1:9" ht="13.5" thickBot="1" x14ac:dyDescent="0.25">
      <c r="D5" s="292" t="s">
        <v>104</v>
      </c>
      <c r="E5" s="49"/>
      <c r="F5" s="318"/>
      <c r="H5" s="148"/>
      <c r="I5" s="148"/>
    </row>
    <row r="6" spans="1:9" ht="14.25" customHeight="1" x14ac:dyDescent="0.2">
      <c r="A6" s="74"/>
      <c r="B6" s="74"/>
      <c r="C6" s="74"/>
      <c r="D6" s="293"/>
      <c r="E6" s="74"/>
      <c r="F6" s="293"/>
      <c r="H6" s="148"/>
      <c r="I6" s="148"/>
    </row>
    <row r="7" spans="1:9" ht="14.25" customHeight="1" x14ac:dyDescent="0.2">
      <c r="A7" s="374"/>
      <c r="B7" s="374"/>
      <c r="C7" s="374"/>
      <c r="D7" s="374"/>
      <c r="E7" s="374"/>
      <c r="F7" s="374"/>
      <c r="H7" s="148"/>
      <c r="I7" s="148"/>
    </row>
    <row r="8" spans="1:9" ht="14.25" customHeight="1" x14ac:dyDescent="0.2">
      <c r="A8" s="1"/>
      <c r="B8" s="1" t="s">
        <v>138</v>
      </c>
      <c r="C8" s="50"/>
      <c r="D8" s="294"/>
      <c r="E8" s="50"/>
      <c r="F8" s="294"/>
      <c r="H8" s="148"/>
      <c r="I8" s="148"/>
    </row>
    <row r="9" spans="1:9" ht="14.25" customHeight="1" x14ac:dyDescent="0.2">
      <c r="A9" s="1"/>
      <c r="B9" s="1" t="s">
        <v>139</v>
      </c>
      <c r="C9" s="1"/>
      <c r="D9" s="295"/>
      <c r="E9" s="1"/>
      <c r="F9" s="295"/>
      <c r="H9" s="148"/>
      <c r="I9" s="148"/>
    </row>
    <row r="10" spans="1:9" ht="14.25" customHeight="1" x14ac:dyDescent="0.2">
      <c r="A10" s="3"/>
      <c r="B10" s="1"/>
      <c r="C10" s="1"/>
      <c r="D10" s="295"/>
      <c r="E10" s="1"/>
      <c r="F10" s="295"/>
      <c r="H10" s="148"/>
      <c r="I10" s="148"/>
    </row>
    <row r="11" spans="1:9" ht="14.25" customHeight="1" x14ac:dyDescent="0.2">
      <c r="A11" s="3"/>
      <c r="B11" s="75" t="s">
        <v>140</v>
      </c>
      <c r="C11" s="76"/>
      <c r="D11" s="296"/>
      <c r="E11" s="256"/>
      <c r="F11" s="319"/>
      <c r="H11" s="148"/>
      <c r="I11" s="148"/>
    </row>
    <row r="12" spans="1:9" ht="14.25" customHeight="1" x14ac:dyDescent="0.2">
      <c r="A12" s="3"/>
      <c r="B12" s="75" t="s">
        <v>141</v>
      </c>
      <c r="C12" s="76"/>
      <c r="D12" s="296"/>
      <c r="E12" s="256"/>
      <c r="F12" s="319"/>
      <c r="H12" s="148"/>
      <c r="I12" s="148"/>
    </row>
    <row r="13" spans="1:9" ht="14.25" customHeight="1" x14ac:dyDescent="0.2">
      <c r="A13" s="3"/>
      <c r="B13" s="75" t="s">
        <v>142</v>
      </c>
      <c r="C13" s="76"/>
      <c r="D13" s="296"/>
      <c r="E13" s="256"/>
      <c r="F13" s="319"/>
      <c r="H13" s="148"/>
      <c r="I13" s="148"/>
    </row>
    <row r="14" spans="1:9" ht="14.25" customHeight="1" x14ac:dyDescent="0.2">
      <c r="A14" s="1"/>
      <c r="B14" s="75" t="s">
        <v>673</v>
      </c>
      <c r="C14" s="76"/>
      <c r="D14" s="296"/>
      <c r="E14" s="256"/>
      <c r="F14" s="319"/>
      <c r="H14" s="148"/>
      <c r="I14" s="148"/>
    </row>
    <row r="15" spans="1:9" ht="14.25" customHeight="1" x14ac:dyDescent="0.2">
      <c r="A15" s="1"/>
      <c r="B15" s="75" t="s">
        <v>143</v>
      </c>
      <c r="C15" s="76"/>
      <c r="D15" s="296"/>
      <c r="E15" s="256"/>
      <c r="F15" s="319"/>
      <c r="H15" s="148"/>
      <c r="I15" s="148"/>
    </row>
    <row r="16" spans="1:9" ht="14.25" customHeight="1" x14ac:dyDescent="0.2">
      <c r="A16" s="51"/>
      <c r="B16" s="77" t="s">
        <v>144</v>
      </c>
      <c r="C16" s="78"/>
      <c r="D16" s="296"/>
      <c r="E16" s="257"/>
      <c r="F16" s="319"/>
      <c r="H16" s="148"/>
      <c r="I16" s="148"/>
    </row>
    <row r="17" spans="1:9" ht="14.25" customHeight="1" x14ac:dyDescent="0.2">
      <c r="A17" s="15"/>
      <c r="B17" s="79" t="s">
        <v>145</v>
      </c>
      <c r="C17" s="80"/>
      <c r="D17" s="297"/>
      <c r="E17" s="258"/>
      <c r="F17" s="320"/>
      <c r="H17" s="148"/>
      <c r="I17" s="148"/>
    </row>
    <row r="18" spans="1:9" ht="14.25" customHeight="1" x14ac:dyDescent="0.2">
      <c r="A18" s="15"/>
      <c r="B18" s="79" t="s">
        <v>78</v>
      </c>
      <c r="C18" s="80"/>
      <c r="D18" s="85"/>
      <c r="E18" s="259"/>
      <c r="F18" s="320"/>
      <c r="H18" s="148"/>
      <c r="I18" s="148"/>
    </row>
    <row r="19" spans="1:9" ht="14.25" customHeight="1" x14ac:dyDescent="0.2">
      <c r="A19" s="15"/>
      <c r="B19" s="79" t="s">
        <v>146</v>
      </c>
      <c r="C19" s="80"/>
      <c r="D19" s="85"/>
      <c r="E19" s="259"/>
      <c r="F19" s="320"/>
      <c r="H19" s="148"/>
      <c r="I19" s="148"/>
    </row>
    <row r="20" spans="1:9" ht="14.25" customHeight="1" x14ac:dyDescent="0.2">
      <c r="A20" s="15"/>
      <c r="B20" s="75" t="s">
        <v>147</v>
      </c>
      <c r="C20" s="80"/>
      <c r="D20" s="85"/>
      <c r="E20" s="259"/>
      <c r="F20" s="320"/>
      <c r="H20" s="148"/>
      <c r="I20" s="148"/>
    </row>
    <row r="21" spans="1:9" ht="14.25" customHeight="1" x14ac:dyDescent="0.2">
      <c r="A21" s="15"/>
      <c r="B21" s="75" t="s">
        <v>148</v>
      </c>
      <c r="C21" s="80"/>
      <c r="D21" s="85"/>
      <c r="E21" s="259"/>
      <c r="F21" s="320"/>
      <c r="H21" s="148"/>
      <c r="I21" s="148"/>
    </row>
    <row r="22" spans="1:9" ht="14.25" customHeight="1" x14ac:dyDescent="0.2">
      <c r="A22" s="15"/>
      <c r="B22" s="106" t="s">
        <v>243</v>
      </c>
      <c r="C22" s="107"/>
      <c r="D22" s="298"/>
      <c r="E22" s="260"/>
      <c r="F22" s="321"/>
      <c r="H22" s="148"/>
      <c r="I22" s="148"/>
    </row>
    <row r="23" spans="1:9" ht="14.25" customHeight="1" x14ac:dyDescent="0.2">
      <c r="A23" s="15"/>
      <c r="B23" s="81" t="s">
        <v>149</v>
      </c>
      <c r="C23" s="82"/>
      <c r="D23" s="299"/>
      <c r="E23" s="353" t="s">
        <v>694</v>
      </c>
      <c r="F23" s="306"/>
      <c r="H23" s="148"/>
      <c r="I23" s="148"/>
    </row>
    <row r="24" spans="1:9" ht="14.25" customHeight="1" x14ac:dyDescent="0.2">
      <c r="A24" s="15"/>
      <c r="B24" s="83" t="s">
        <v>150</v>
      </c>
      <c r="C24" s="84"/>
      <c r="D24" s="85"/>
      <c r="E24" s="259"/>
      <c r="F24" s="320"/>
      <c r="H24" s="148"/>
      <c r="I24" s="148"/>
    </row>
    <row r="25" spans="1:9" ht="14.25" customHeight="1" x14ac:dyDescent="0.2">
      <c r="A25" s="15"/>
      <c r="B25" s="83" t="s">
        <v>671</v>
      </c>
      <c r="C25" s="84"/>
      <c r="D25" s="85"/>
      <c r="E25" s="251"/>
      <c r="F25" s="316"/>
      <c r="H25" s="148"/>
      <c r="I25" s="148"/>
    </row>
    <row r="26" spans="1:9" ht="14.25" customHeight="1" x14ac:dyDescent="0.2">
      <c r="A26" s="15"/>
      <c r="B26" s="83" t="s">
        <v>151</v>
      </c>
      <c r="C26" s="84"/>
      <c r="D26" s="296"/>
      <c r="E26" s="259"/>
      <c r="F26" s="320"/>
      <c r="H26" s="148"/>
      <c r="I26" s="148"/>
    </row>
    <row r="27" spans="1:9" ht="14.25" customHeight="1" x14ac:dyDescent="0.2">
      <c r="A27" s="15"/>
      <c r="B27" s="83" t="s">
        <v>633</v>
      </c>
      <c r="C27" s="84"/>
      <c r="D27" s="85"/>
      <c r="E27" s="261"/>
      <c r="F27" s="320"/>
      <c r="H27" s="148"/>
      <c r="I27" s="148"/>
    </row>
    <row r="28" spans="1:9" ht="14.25" customHeight="1" x14ac:dyDescent="0.2">
      <c r="A28" s="268"/>
      <c r="B28" s="83" t="s">
        <v>677</v>
      </c>
      <c r="C28" s="84"/>
      <c r="D28" s="296"/>
      <c r="E28" s="259"/>
      <c r="F28" s="320"/>
      <c r="H28" s="148"/>
      <c r="I28" s="148"/>
    </row>
    <row r="29" spans="1:9" ht="14.25" customHeight="1" x14ac:dyDescent="0.2">
      <c r="A29" s="15"/>
      <c r="B29" s="83" t="s">
        <v>152</v>
      </c>
      <c r="C29" s="84"/>
      <c r="D29" s="296"/>
      <c r="E29" s="259"/>
      <c r="F29" s="320"/>
      <c r="H29" s="148"/>
      <c r="I29" s="148"/>
    </row>
    <row r="30" spans="1:9" ht="14.25" customHeight="1" x14ac:dyDescent="0.2">
      <c r="A30" s="15"/>
      <c r="B30" s="83" t="s">
        <v>153</v>
      </c>
      <c r="C30" s="84"/>
      <c r="D30" s="296"/>
      <c r="E30" s="259"/>
      <c r="F30" s="320"/>
      <c r="H30" s="148"/>
      <c r="I30" s="148"/>
    </row>
    <row r="31" spans="1:9" ht="14.25" customHeight="1" x14ac:dyDescent="0.2">
      <c r="A31" s="15"/>
      <c r="B31" s="83" t="s">
        <v>154</v>
      </c>
      <c r="C31" s="84"/>
      <c r="D31" s="85"/>
      <c r="E31" s="259"/>
      <c r="F31" s="320"/>
      <c r="H31" s="148"/>
      <c r="I31" s="148"/>
    </row>
    <row r="32" spans="1:9" ht="14.25" customHeight="1" x14ac:dyDescent="0.2">
      <c r="A32" s="237"/>
      <c r="B32" s="83" t="s">
        <v>631</v>
      </c>
      <c r="C32" s="84"/>
      <c r="D32" s="85"/>
      <c r="E32" s="259"/>
      <c r="F32" s="320"/>
      <c r="H32" s="148"/>
      <c r="I32" s="148"/>
    </row>
    <row r="33" spans="1:9" ht="14.25" customHeight="1" x14ac:dyDescent="0.2">
      <c r="A33" s="15"/>
      <c r="B33" s="86" t="s">
        <v>155</v>
      </c>
      <c r="C33" s="52"/>
      <c r="D33" s="300"/>
      <c r="E33" s="52"/>
      <c r="F33" s="322"/>
      <c r="H33" s="148"/>
      <c r="I33" s="148"/>
    </row>
    <row r="34" spans="1:9" ht="14.25" customHeight="1" x14ac:dyDescent="0.2">
      <c r="A34" s="15"/>
      <c r="B34" s="83" t="s">
        <v>150</v>
      </c>
      <c r="C34" s="84"/>
      <c r="D34" s="85"/>
      <c r="E34" s="259"/>
      <c r="F34" s="320"/>
      <c r="H34" s="148"/>
      <c r="I34" s="148"/>
    </row>
    <row r="35" spans="1:9" ht="14.25" customHeight="1" x14ac:dyDescent="0.2">
      <c r="A35" s="15"/>
      <c r="B35" s="83" t="s">
        <v>671</v>
      </c>
      <c r="C35" s="84"/>
      <c r="D35" s="298"/>
      <c r="E35" s="251" t="s">
        <v>670</v>
      </c>
      <c r="F35" s="316"/>
      <c r="H35" s="148"/>
      <c r="I35" s="148"/>
    </row>
    <row r="36" spans="1:9" ht="14.25" customHeight="1" x14ac:dyDescent="0.2">
      <c r="A36" s="15"/>
      <c r="B36" s="83" t="s">
        <v>151</v>
      </c>
      <c r="C36" s="84"/>
      <c r="D36" s="85"/>
      <c r="E36" s="259"/>
      <c r="F36" s="320"/>
      <c r="H36" s="148"/>
      <c r="I36" s="148"/>
    </row>
    <row r="37" spans="1:9" ht="14.25" customHeight="1" x14ac:dyDescent="0.2">
      <c r="A37" s="15"/>
      <c r="B37" s="83" t="s">
        <v>633</v>
      </c>
      <c r="C37" s="84"/>
      <c r="D37" s="85"/>
      <c r="E37" s="261"/>
      <c r="F37" s="320"/>
      <c r="H37" s="148"/>
      <c r="I37" s="148"/>
    </row>
    <row r="38" spans="1:9" ht="14.25" customHeight="1" x14ac:dyDescent="0.2">
      <c r="A38" s="249"/>
      <c r="B38" s="83" t="s">
        <v>677</v>
      </c>
      <c r="C38" s="84"/>
      <c r="D38" s="85"/>
      <c r="E38" s="259"/>
      <c r="F38" s="320"/>
      <c r="H38" s="148"/>
      <c r="I38" s="148"/>
    </row>
    <row r="39" spans="1:9" ht="14.25" customHeight="1" x14ac:dyDescent="0.2">
      <c r="A39" s="15"/>
      <c r="B39" s="83" t="s">
        <v>152</v>
      </c>
      <c r="C39" s="84"/>
      <c r="D39" s="85"/>
      <c r="E39" s="259"/>
      <c r="F39" s="320"/>
      <c r="H39" s="148"/>
      <c r="I39" s="148"/>
    </row>
    <row r="40" spans="1:9" ht="14.25" customHeight="1" x14ac:dyDescent="0.2">
      <c r="A40" s="15"/>
      <c r="B40" s="83" t="s">
        <v>153</v>
      </c>
      <c r="C40" s="84"/>
      <c r="D40" s="85"/>
      <c r="E40" s="259"/>
      <c r="F40" s="320"/>
      <c r="H40" s="148"/>
      <c r="I40" s="148"/>
    </row>
    <row r="41" spans="1:9" ht="14.25" customHeight="1" x14ac:dyDescent="0.2">
      <c r="A41" s="15"/>
      <c r="B41" s="83" t="s">
        <v>154</v>
      </c>
      <c r="C41" s="84"/>
      <c r="D41" s="85"/>
      <c r="E41" s="259"/>
      <c r="F41" s="320"/>
      <c r="H41" s="148"/>
      <c r="I41" s="148"/>
    </row>
    <row r="42" spans="1:9" ht="14.25" customHeight="1" x14ac:dyDescent="0.2">
      <c r="A42" s="237"/>
      <c r="B42" s="83" t="s">
        <v>631</v>
      </c>
      <c r="C42" s="84"/>
      <c r="D42" s="85"/>
      <c r="E42" s="259"/>
      <c r="F42" s="320"/>
      <c r="H42" s="148"/>
      <c r="I42" s="148"/>
    </row>
    <row r="43" spans="1:9" ht="14.25" customHeight="1" x14ac:dyDescent="0.2">
      <c r="A43" s="15"/>
      <c r="B43" s="87" t="s">
        <v>684</v>
      </c>
      <c r="C43" s="80"/>
      <c r="D43" s="298"/>
      <c r="E43" s="263"/>
      <c r="F43" s="320"/>
      <c r="H43" s="148"/>
      <c r="I43" s="148"/>
    </row>
    <row r="44" spans="1:9" ht="14.25" customHeight="1" x14ac:dyDescent="0.2">
      <c r="A44" s="15"/>
      <c r="B44" s="79" t="s">
        <v>687</v>
      </c>
      <c r="C44" s="80"/>
      <c r="D44" s="85"/>
      <c r="E44" s="259"/>
      <c r="F44" s="320"/>
      <c r="H44" s="148"/>
      <c r="I44" s="148"/>
    </row>
    <row r="45" spans="1:9" ht="14.25" customHeight="1" x14ac:dyDescent="0.2">
      <c r="A45" s="15"/>
      <c r="B45" s="79" t="s">
        <v>685</v>
      </c>
      <c r="C45" s="80"/>
      <c r="D45" s="85"/>
      <c r="E45" s="259"/>
      <c r="F45" s="320"/>
      <c r="H45" s="148"/>
      <c r="I45" s="148"/>
    </row>
    <row r="46" spans="1:9" ht="14.25" customHeight="1" x14ac:dyDescent="0.2">
      <c r="A46" s="15"/>
      <c r="B46" s="79" t="s">
        <v>686</v>
      </c>
      <c r="C46" s="80"/>
      <c r="D46" s="85"/>
      <c r="E46" s="259"/>
      <c r="F46" s="320"/>
      <c r="H46" s="148"/>
      <c r="I46" s="148"/>
    </row>
    <row r="47" spans="1:9" ht="14.25" customHeight="1" x14ac:dyDescent="0.2">
      <c r="A47" s="15"/>
      <c r="B47" s="81" t="s">
        <v>244</v>
      </c>
      <c r="C47" s="82"/>
      <c r="D47" s="382"/>
      <c r="E47" s="382"/>
      <c r="F47" s="323" t="str">
        <f>_xlfn.IFNA(VLOOKUP(D48,US!A2:F418,2,FALSE),"")</f>
        <v/>
      </c>
      <c r="H47" s="148"/>
      <c r="I47" s="148"/>
    </row>
    <row r="48" spans="1:9" x14ac:dyDescent="0.2">
      <c r="A48" s="15"/>
      <c r="B48" s="83" t="s">
        <v>245</v>
      </c>
      <c r="C48" s="84"/>
      <c r="D48" s="379"/>
      <c r="E48" s="380"/>
      <c r="F48" s="381"/>
      <c r="H48" s="148"/>
      <c r="I48" s="148"/>
    </row>
    <row r="49" spans="1:9" x14ac:dyDescent="0.2">
      <c r="A49" s="15"/>
      <c r="B49" s="83" t="s">
        <v>692</v>
      </c>
      <c r="C49" s="84"/>
      <c r="D49" s="301"/>
      <c r="E49" s="259"/>
      <c r="F49" s="320"/>
      <c r="H49" s="148"/>
      <c r="I49" s="148"/>
    </row>
    <row r="50" spans="1:9" x14ac:dyDescent="0.2">
      <c r="A50" s="15"/>
      <c r="B50" s="83" t="s">
        <v>633</v>
      </c>
      <c r="C50" s="84"/>
      <c r="D50" s="301"/>
      <c r="E50" s="259"/>
      <c r="F50" s="320"/>
      <c r="H50" s="148"/>
      <c r="I50" s="148"/>
    </row>
    <row r="51" spans="1:9" x14ac:dyDescent="0.2">
      <c r="A51" s="15"/>
      <c r="B51" s="83" t="s">
        <v>151</v>
      </c>
      <c r="C51" s="84"/>
      <c r="D51" s="301"/>
      <c r="E51" s="259"/>
      <c r="F51" s="320"/>
      <c r="H51" s="148"/>
      <c r="I51" s="148"/>
    </row>
    <row r="52" spans="1:9" x14ac:dyDescent="0.2">
      <c r="A52" s="15"/>
      <c r="B52" s="81" t="s">
        <v>156</v>
      </c>
      <c r="C52" s="82"/>
      <c r="D52" s="299"/>
      <c r="E52" s="82"/>
      <c r="F52" s="324"/>
      <c r="H52" s="148"/>
      <c r="I52" s="148"/>
    </row>
    <row r="53" spans="1:9" x14ac:dyDescent="0.2">
      <c r="A53" s="15"/>
      <c r="B53" s="79" t="s">
        <v>157</v>
      </c>
      <c r="C53" s="88"/>
      <c r="D53" s="85"/>
      <c r="E53" s="259"/>
      <c r="F53" s="320"/>
      <c r="H53" s="148"/>
      <c r="I53" s="148"/>
    </row>
    <row r="54" spans="1:9" x14ac:dyDescent="0.2">
      <c r="A54" s="15"/>
      <c r="B54" s="79" t="s">
        <v>158</v>
      </c>
      <c r="C54" s="88"/>
      <c r="D54" s="85"/>
      <c r="E54" s="261"/>
      <c r="F54" s="320"/>
      <c r="H54" s="154"/>
      <c r="I54" s="148"/>
    </row>
    <row r="55" spans="1:9" x14ac:dyDescent="0.2">
      <c r="A55" s="15"/>
      <c r="B55" s="89" t="s">
        <v>159</v>
      </c>
      <c r="C55" s="90"/>
      <c r="D55" s="302"/>
      <c r="E55" s="90"/>
      <c r="F55" s="325"/>
      <c r="H55" s="148"/>
      <c r="I55" s="148"/>
    </row>
    <row r="56" spans="1:9" x14ac:dyDescent="0.2">
      <c r="A56" s="15"/>
      <c r="B56" s="91" t="s">
        <v>89</v>
      </c>
      <c r="C56" s="92"/>
      <c r="D56" s="351"/>
      <c r="E56" s="264"/>
      <c r="F56" s="321"/>
      <c r="H56" s="148"/>
      <c r="I56" s="148"/>
    </row>
    <row r="57" spans="1:9" x14ac:dyDescent="0.2">
      <c r="A57" s="15"/>
      <c r="B57" s="91" t="s">
        <v>174</v>
      </c>
      <c r="C57" s="92"/>
      <c r="D57" s="351"/>
      <c r="E57" s="262"/>
      <c r="F57" s="326"/>
      <c r="H57" s="148"/>
      <c r="I57" s="148"/>
    </row>
    <row r="58" spans="1:9" x14ac:dyDescent="0.2">
      <c r="A58" s="15"/>
      <c r="B58" s="91" t="s">
        <v>160</v>
      </c>
      <c r="C58" s="92"/>
      <c r="D58" s="351"/>
      <c r="E58" s="262"/>
      <c r="F58" s="326"/>
      <c r="H58" s="148"/>
      <c r="I58" s="148"/>
    </row>
    <row r="59" spans="1:9" x14ac:dyDescent="0.2">
      <c r="A59" s="15"/>
      <c r="B59" s="91" t="s">
        <v>161</v>
      </c>
      <c r="C59" s="84"/>
      <c r="D59" s="85"/>
      <c r="E59" s="259"/>
      <c r="F59" s="320"/>
      <c r="H59" s="148"/>
      <c r="I59" s="148"/>
    </row>
    <row r="60" spans="1:9" x14ac:dyDescent="0.2">
      <c r="A60" s="15"/>
      <c r="B60" s="91" t="s">
        <v>90</v>
      </c>
      <c r="C60" s="84"/>
      <c r="D60" s="85"/>
      <c r="E60" s="259"/>
      <c r="F60" s="320"/>
      <c r="H60" s="148"/>
      <c r="I60" s="148"/>
    </row>
    <row r="61" spans="1:9" x14ac:dyDescent="0.2">
      <c r="A61" s="15"/>
      <c r="B61" s="91" t="s">
        <v>91</v>
      </c>
      <c r="C61" s="84"/>
      <c r="D61" s="85"/>
      <c r="E61" s="259"/>
      <c r="F61" s="320"/>
      <c r="H61" s="148"/>
      <c r="I61" s="148"/>
    </row>
    <row r="62" spans="1:9" x14ac:dyDescent="0.2">
      <c r="A62" s="15"/>
      <c r="B62" s="91" t="s">
        <v>162</v>
      </c>
      <c r="C62" s="84"/>
      <c r="D62" s="85"/>
      <c r="E62" s="259"/>
      <c r="F62" s="320"/>
      <c r="H62" s="148"/>
      <c r="I62" s="148"/>
    </row>
    <row r="63" spans="1:9" x14ac:dyDescent="0.2">
      <c r="A63" s="15"/>
      <c r="B63" s="91" t="s">
        <v>163</v>
      </c>
      <c r="C63" s="84"/>
      <c r="D63" s="85"/>
      <c r="E63" s="259"/>
      <c r="F63" s="320"/>
      <c r="H63" s="148"/>
      <c r="I63" s="148"/>
    </row>
    <row r="64" spans="1:9" x14ac:dyDescent="0.2">
      <c r="A64" s="15"/>
      <c r="B64" s="91" t="s">
        <v>164</v>
      </c>
      <c r="C64" s="84"/>
      <c r="D64" s="85"/>
      <c r="E64" s="265"/>
      <c r="F64" s="320"/>
      <c r="H64" s="148"/>
      <c r="I64" s="148"/>
    </row>
    <row r="65" spans="1:9" x14ac:dyDescent="0.2">
      <c r="A65" s="15"/>
      <c r="B65" s="91" t="s">
        <v>165</v>
      </c>
      <c r="C65" s="84"/>
      <c r="D65" s="301"/>
      <c r="E65" s="259"/>
      <c r="F65" s="320"/>
      <c r="H65" s="148"/>
      <c r="I65" s="148"/>
    </row>
    <row r="66" spans="1:9" x14ac:dyDescent="0.2">
      <c r="A66" s="15"/>
      <c r="B66" s="91" t="s">
        <v>92</v>
      </c>
      <c r="C66" s="84"/>
      <c r="D66" s="85"/>
      <c r="E66" s="259"/>
      <c r="F66" s="320"/>
      <c r="H66" s="148"/>
      <c r="I66" s="148"/>
    </row>
    <row r="67" spans="1:9" x14ac:dyDescent="0.2">
      <c r="A67" s="15"/>
      <c r="B67" s="91" t="s">
        <v>93</v>
      </c>
      <c r="C67" s="84"/>
      <c r="D67" s="85"/>
      <c r="E67" s="259"/>
      <c r="F67" s="320"/>
      <c r="H67" s="148"/>
      <c r="I67" s="148"/>
    </row>
    <row r="68" spans="1:9" x14ac:dyDescent="0.2">
      <c r="A68" s="15"/>
      <c r="B68" s="89" t="s">
        <v>166</v>
      </c>
      <c r="C68" s="90"/>
      <c r="D68" s="302"/>
      <c r="E68" s="90"/>
      <c r="F68" s="325"/>
      <c r="H68" s="148"/>
      <c r="I68" s="148"/>
    </row>
    <row r="69" spans="1:9" x14ac:dyDescent="0.2">
      <c r="A69" s="15"/>
      <c r="B69" s="93" t="s">
        <v>2247</v>
      </c>
      <c r="C69" s="283"/>
      <c r="D69" s="305"/>
      <c r="E69" s="259"/>
      <c r="F69" s="320"/>
      <c r="H69" s="148"/>
      <c r="I69" s="148"/>
    </row>
    <row r="70" spans="1:9" x14ac:dyDescent="0.2">
      <c r="A70" s="274"/>
      <c r="B70" s="94" t="s">
        <v>2248</v>
      </c>
      <c r="C70" s="85"/>
      <c r="D70" s="85"/>
      <c r="E70" s="343" t="s">
        <v>673</v>
      </c>
      <c r="F70" s="316"/>
      <c r="H70" s="148"/>
      <c r="I70" s="148"/>
    </row>
    <row r="71" spans="1:9" x14ac:dyDescent="0.2">
      <c r="A71" s="274"/>
      <c r="B71" s="94" t="s">
        <v>2248</v>
      </c>
      <c r="C71" s="85"/>
      <c r="D71" s="85"/>
      <c r="E71" s="343" t="s">
        <v>673</v>
      </c>
      <c r="F71" s="316"/>
      <c r="H71" s="148"/>
      <c r="I71" s="148"/>
    </row>
    <row r="72" spans="1:9" x14ac:dyDescent="0.2">
      <c r="A72" s="274"/>
      <c r="B72" s="94" t="s">
        <v>2248</v>
      </c>
      <c r="C72" s="85"/>
      <c r="D72" s="85"/>
      <c r="E72" s="343" t="s">
        <v>673</v>
      </c>
      <c r="F72" s="316"/>
      <c r="H72" s="148"/>
      <c r="I72" s="148"/>
    </row>
    <row r="73" spans="1:9" x14ac:dyDescent="0.2">
      <c r="A73" s="274"/>
      <c r="B73" s="94" t="s">
        <v>2248</v>
      </c>
      <c r="C73" s="85"/>
      <c r="D73" s="85"/>
      <c r="E73" s="343" t="s">
        <v>673</v>
      </c>
      <c r="F73" s="316"/>
      <c r="H73" s="148"/>
      <c r="I73" s="148"/>
    </row>
    <row r="74" spans="1:9" x14ac:dyDescent="0.2">
      <c r="A74" s="15"/>
      <c r="B74" s="94" t="s">
        <v>2248</v>
      </c>
      <c r="C74" s="85"/>
      <c r="D74" s="85"/>
      <c r="E74" s="343" t="s">
        <v>673</v>
      </c>
      <c r="F74" s="316"/>
      <c r="H74" s="148"/>
      <c r="I74" s="148"/>
    </row>
    <row r="75" spans="1:9" x14ac:dyDescent="0.2">
      <c r="A75" s="15"/>
      <c r="B75" s="383" t="s">
        <v>179</v>
      </c>
      <c r="C75" s="383"/>
      <c r="D75" s="306"/>
      <c r="E75" s="262"/>
      <c r="F75" s="327" t="str">
        <f>_xlfn.IFNA(HLOOKUP(D75,const!B32:Q33,2,FALSE),"")</f>
        <v/>
      </c>
      <c r="H75" s="148"/>
      <c r="I75" s="148"/>
    </row>
    <row r="76" spans="1:9" x14ac:dyDescent="0.2">
      <c r="A76" s="15"/>
      <c r="B76" s="86" t="s">
        <v>167</v>
      </c>
      <c r="C76" s="52"/>
      <c r="D76" s="300"/>
      <c r="E76" s="52"/>
      <c r="F76" s="322"/>
      <c r="H76" s="148"/>
      <c r="I76" s="148"/>
    </row>
    <row r="77" spans="1:9" x14ac:dyDescent="0.2">
      <c r="A77" s="15"/>
      <c r="B77" s="83" t="s">
        <v>76</v>
      </c>
      <c r="C77" s="84"/>
      <c r="D77" s="85"/>
      <c r="E77" s="259"/>
      <c r="F77" s="320"/>
      <c r="H77" s="148"/>
      <c r="I77" s="148"/>
    </row>
    <row r="78" spans="1:9" x14ac:dyDescent="0.2">
      <c r="A78" s="15"/>
      <c r="B78" s="83" t="s">
        <v>168</v>
      </c>
      <c r="C78" s="84"/>
      <c r="D78" s="85"/>
      <c r="E78" s="259"/>
      <c r="F78" s="320"/>
      <c r="H78" s="148"/>
      <c r="I78" s="148"/>
    </row>
    <row r="79" spans="1:9" x14ac:dyDescent="0.2">
      <c r="A79" s="15"/>
      <c r="B79" s="83" t="s">
        <v>169</v>
      </c>
      <c r="C79" s="84"/>
      <c r="D79" s="298"/>
      <c r="E79" s="266"/>
      <c r="F79" s="320"/>
      <c r="H79" s="148"/>
      <c r="I79" s="148"/>
    </row>
    <row r="80" spans="1:9" x14ac:dyDescent="0.2">
      <c r="A80" s="2"/>
      <c r="B80" s="95" t="s">
        <v>472</v>
      </c>
      <c r="C80" s="96"/>
      <c r="D80" s="307"/>
      <c r="E80" s="96"/>
      <c r="F80" s="328"/>
      <c r="H80" s="148"/>
      <c r="I80" s="148"/>
    </row>
    <row r="81" spans="1:9" x14ac:dyDescent="0.2">
      <c r="A81" s="2"/>
      <c r="B81" s="97"/>
      <c r="C81" s="53"/>
      <c r="D81" s="308"/>
      <c r="E81" s="53"/>
      <c r="F81" s="329"/>
      <c r="H81" s="148"/>
      <c r="I81" s="148"/>
    </row>
    <row r="82" spans="1:9" x14ac:dyDescent="0.2">
      <c r="A82" s="2"/>
      <c r="B82" s="287" t="s">
        <v>2260</v>
      </c>
      <c r="C82" s="288" t="s">
        <v>2261</v>
      </c>
      <c r="D82" s="309" t="s">
        <v>636</v>
      </c>
      <c r="E82" s="286" t="s">
        <v>635</v>
      </c>
      <c r="F82" s="330" t="s">
        <v>170</v>
      </c>
      <c r="H82" s="148"/>
      <c r="I82" s="148"/>
    </row>
    <row r="83" spans="1:9" x14ac:dyDescent="0.2">
      <c r="A83" s="2"/>
      <c r="B83" s="312"/>
      <c r="C83" s="306"/>
      <c r="D83" s="306"/>
      <c r="E83" s="316"/>
      <c r="F83" s="317"/>
      <c r="H83" s="148"/>
      <c r="I83" s="148" t="s">
        <v>2405</v>
      </c>
    </row>
    <row r="84" spans="1:9" x14ac:dyDescent="0.2">
      <c r="A84" s="2"/>
      <c r="B84" s="312"/>
      <c r="C84" s="306"/>
      <c r="D84" s="356"/>
      <c r="E84" s="316"/>
      <c r="F84" s="317"/>
      <c r="H84" s="148"/>
      <c r="I84" s="148" t="s">
        <v>2405</v>
      </c>
    </row>
    <row r="85" spans="1:9" x14ac:dyDescent="0.2">
      <c r="A85" s="2"/>
      <c r="B85" s="312"/>
      <c r="C85" s="306"/>
      <c r="D85" s="356"/>
      <c r="E85" s="316"/>
      <c r="F85" s="317"/>
      <c r="H85" s="148"/>
      <c r="I85" s="148" t="s">
        <v>2405</v>
      </c>
    </row>
    <row r="86" spans="1:9" x14ac:dyDescent="0.2">
      <c r="A86" s="2"/>
      <c r="B86" s="312"/>
      <c r="C86" s="306"/>
      <c r="D86" s="310"/>
      <c r="E86" s="316"/>
      <c r="F86" s="317"/>
      <c r="H86" s="148"/>
      <c r="I86" s="148" t="s">
        <v>2405</v>
      </c>
    </row>
    <row r="87" spans="1:9" x14ac:dyDescent="0.2">
      <c r="A87" s="2"/>
      <c r="B87" s="312"/>
      <c r="C87" s="306"/>
      <c r="D87" s="310"/>
      <c r="E87" s="316"/>
      <c r="F87" s="317"/>
      <c r="H87" s="148"/>
      <c r="I87" s="148" t="s">
        <v>2405</v>
      </c>
    </row>
    <row r="88" spans="1:9" x14ac:dyDescent="0.2">
      <c r="A88" s="2"/>
      <c r="B88" s="98" t="s">
        <v>171</v>
      </c>
      <c r="C88" s="99"/>
      <c r="D88" s="311"/>
      <c r="E88" s="243"/>
      <c r="F88" s="331"/>
      <c r="H88" s="148"/>
      <c r="I88" s="148"/>
    </row>
    <row r="89" spans="1:9" x14ac:dyDescent="0.2">
      <c r="A89" s="2"/>
      <c r="B89" s="100" t="s">
        <v>172</v>
      </c>
      <c r="C89" s="101"/>
      <c r="D89" s="312"/>
      <c r="E89" s="267"/>
      <c r="F89" s="332"/>
      <c r="H89" s="148"/>
      <c r="I89" s="148"/>
    </row>
    <row r="90" spans="1:9" x14ac:dyDescent="0.2">
      <c r="A90" s="2"/>
      <c r="B90" s="100" t="s">
        <v>173</v>
      </c>
      <c r="C90" s="101"/>
      <c r="D90" s="312"/>
      <c r="E90" s="267"/>
      <c r="F90" s="332"/>
      <c r="H90" s="148"/>
      <c r="I90" s="148"/>
    </row>
    <row r="91" spans="1:9" x14ac:dyDescent="0.2">
      <c r="A91" s="2"/>
      <c r="B91" s="375" t="s">
        <v>176</v>
      </c>
      <c r="C91" s="376"/>
      <c r="D91" s="376"/>
      <c r="E91" s="376"/>
      <c r="F91" s="377"/>
      <c r="H91" s="148"/>
      <c r="I91" s="148"/>
    </row>
    <row r="92" spans="1:9" x14ac:dyDescent="0.2">
      <c r="A92" s="2"/>
      <c r="B92" s="378"/>
      <c r="C92" s="378"/>
      <c r="D92" s="378"/>
      <c r="E92" s="378"/>
      <c r="F92" s="378"/>
      <c r="H92" s="148"/>
      <c r="I92" s="148"/>
    </row>
    <row r="93" spans="1:9" ht="13.5" thickBot="1" x14ac:dyDescent="0.25">
      <c r="A93" s="2"/>
      <c r="B93" s="55"/>
      <c r="C93" s="55"/>
      <c r="D93" s="313"/>
      <c r="E93" s="55"/>
      <c r="F93" s="313"/>
      <c r="G93" s="65"/>
      <c r="H93" s="148"/>
      <c r="I93" s="148"/>
    </row>
    <row r="94" spans="1:9" ht="13.5" thickBot="1" x14ac:dyDescent="0.25">
      <c r="A94" s="2"/>
      <c r="B94" s="372" t="s">
        <v>553</v>
      </c>
      <c r="C94" s="373"/>
      <c r="D94" s="369" t="str">
        <f>IF(Ogolne!$D$20="","",Ogolne!$D$20)</f>
        <v/>
      </c>
      <c r="E94" s="370"/>
      <c r="F94" s="362" t="str">
        <f>IF(Ogolne!$D$21="","",Ogolne!$D$21)</f>
        <v/>
      </c>
    </row>
    <row r="95" spans="1:9" x14ac:dyDescent="0.2">
      <c r="A95" s="2"/>
      <c r="B95" s="2"/>
      <c r="C95" s="2"/>
      <c r="D95" s="371" t="s">
        <v>2402</v>
      </c>
      <c r="E95" s="371"/>
      <c r="F95" s="361" t="s">
        <v>2403</v>
      </c>
      <c r="H95" s="148"/>
      <c r="I95" s="148"/>
    </row>
    <row r="96" spans="1:9" x14ac:dyDescent="0.2">
      <c r="A96" s="2"/>
      <c r="B96" s="2"/>
      <c r="C96" s="2"/>
      <c r="D96" s="315"/>
      <c r="E96" s="2"/>
      <c r="F96" s="315"/>
      <c r="H96" s="148"/>
      <c r="I96" s="148"/>
    </row>
    <row r="97" spans="1:9" x14ac:dyDescent="0.2">
      <c r="A97" s="2"/>
      <c r="B97" s="2"/>
      <c r="C97" s="2"/>
      <c r="D97" s="315"/>
      <c r="E97" s="2"/>
      <c r="F97" s="315"/>
      <c r="H97" s="148"/>
      <c r="I97" s="148"/>
    </row>
    <row r="98" spans="1:9" x14ac:dyDescent="0.2">
      <c r="A98" s="2"/>
      <c r="C98" s="2"/>
      <c r="D98" s="315"/>
      <c r="E98" s="2"/>
      <c r="F98" s="315"/>
      <c r="H98" s="148"/>
      <c r="I98" s="148"/>
    </row>
    <row r="99" spans="1:9" x14ac:dyDescent="0.2">
      <c r="A99" s="2"/>
      <c r="B99" s="2"/>
      <c r="C99" s="2"/>
      <c r="D99" s="315"/>
      <c r="E99" s="2"/>
      <c r="F99" s="315"/>
      <c r="H99" s="148"/>
      <c r="I99" s="148"/>
    </row>
    <row r="100" spans="1:9" x14ac:dyDescent="0.2">
      <c r="A100" s="2"/>
      <c r="B100" s="2"/>
      <c r="C100" s="2"/>
      <c r="D100" s="315"/>
      <c r="E100" s="2"/>
      <c r="F100" s="315"/>
      <c r="H100" s="148"/>
      <c r="I100" s="148"/>
    </row>
    <row r="101" spans="1:9" x14ac:dyDescent="0.2">
      <c r="A101" s="2"/>
      <c r="B101" s="2"/>
      <c r="C101" s="2"/>
      <c r="D101" s="315"/>
      <c r="E101" s="2"/>
      <c r="F101" s="315"/>
      <c r="H101" s="148"/>
      <c r="I101" s="148"/>
    </row>
    <row r="102" spans="1:9" x14ac:dyDescent="0.2">
      <c r="A102" s="2"/>
      <c r="B102" s="2"/>
      <c r="C102" s="2"/>
      <c r="D102" s="315"/>
      <c r="E102" s="2"/>
      <c r="F102" s="315"/>
      <c r="H102" s="148"/>
      <c r="I102" s="148"/>
    </row>
    <row r="103" spans="1:9" x14ac:dyDescent="0.2">
      <c r="A103" s="2"/>
      <c r="B103" s="2"/>
      <c r="C103" s="2"/>
      <c r="D103" s="315"/>
      <c r="E103" s="2"/>
      <c r="F103" s="315"/>
      <c r="H103" s="148"/>
      <c r="I103" s="148"/>
    </row>
    <row r="104" spans="1:9" x14ac:dyDescent="0.2">
      <c r="A104" s="2"/>
      <c r="B104" s="2"/>
      <c r="C104" s="2"/>
      <c r="D104" s="315"/>
      <c r="E104" s="2"/>
      <c r="F104" s="315"/>
      <c r="H104" s="148"/>
      <c r="I104" s="148"/>
    </row>
    <row r="105" spans="1:9" x14ac:dyDescent="0.2">
      <c r="A105" s="2"/>
      <c r="B105" s="2"/>
      <c r="C105" s="2"/>
      <c r="D105" s="315"/>
      <c r="E105" s="2"/>
      <c r="F105" s="315"/>
      <c r="H105" s="148"/>
      <c r="I105" s="148"/>
    </row>
    <row r="106" spans="1:9" x14ac:dyDescent="0.2">
      <c r="A106" s="2"/>
      <c r="B106" s="2"/>
      <c r="C106" s="2"/>
      <c r="D106" s="315"/>
      <c r="E106" s="2"/>
      <c r="F106" s="315"/>
      <c r="H106" s="148"/>
      <c r="I106" s="148"/>
    </row>
    <row r="107" spans="1:9" x14ac:dyDescent="0.2">
      <c r="A107" s="2"/>
      <c r="B107" s="2"/>
      <c r="C107" s="2"/>
      <c r="D107" s="315"/>
      <c r="E107" s="2"/>
      <c r="F107" s="315"/>
      <c r="H107" s="148"/>
      <c r="I107" s="148"/>
    </row>
    <row r="108" spans="1:9" x14ac:dyDescent="0.2">
      <c r="A108" s="2"/>
      <c r="B108" s="2"/>
      <c r="C108" s="2"/>
      <c r="D108" s="315"/>
      <c r="E108" s="2"/>
      <c r="F108" s="315"/>
      <c r="H108" s="148"/>
      <c r="I108" s="148"/>
    </row>
    <row r="109" spans="1:9" x14ac:dyDescent="0.2">
      <c r="A109" s="2"/>
      <c r="B109" s="2"/>
      <c r="C109" s="2"/>
      <c r="D109" s="315"/>
      <c r="E109" s="2"/>
      <c r="F109" s="315"/>
      <c r="H109" s="148"/>
      <c r="I109" s="148"/>
    </row>
    <row r="110" spans="1:9" x14ac:dyDescent="0.2">
      <c r="A110" s="2"/>
      <c r="B110" s="2"/>
      <c r="C110" s="2"/>
      <c r="D110" s="315"/>
      <c r="E110" s="2"/>
      <c r="F110" s="315"/>
      <c r="H110" s="148"/>
      <c r="I110" s="148"/>
    </row>
    <row r="111" spans="1:9" x14ac:dyDescent="0.2">
      <c r="A111" s="2"/>
      <c r="B111" s="2"/>
      <c r="C111" s="2"/>
      <c r="D111" s="315"/>
      <c r="E111" s="2"/>
      <c r="F111" s="315"/>
      <c r="H111" s="148"/>
      <c r="I111" s="148"/>
    </row>
    <row r="112" spans="1:9" x14ac:dyDescent="0.2">
      <c r="A112" s="2"/>
      <c r="B112" s="2"/>
      <c r="C112" s="2"/>
      <c r="D112" s="315"/>
      <c r="E112" s="2"/>
      <c r="F112" s="315"/>
      <c r="H112" s="148"/>
      <c r="I112" s="148"/>
    </row>
    <row r="113" spans="1:9" x14ac:dyDescent="0.2">
      <c r="A113" s="2"/>
      <c r="B113" s="2"/>
      <c r="C113" s="2"/>
      <c r="D113" s="315"/>
      <c r="E113" s="2"/>
      <c r="F113" s="315"/>
      <c r="H113" s="148"/>
      <c r="I113" s="148"/>
    </row>
    <row r="114" spans="1:9" x14ac:dyDescent="0.2">
      <c r="A114" s="2"/>
      <c r="B114" s="2"/>
      <c r="C114" s="2"/>
      <c r="D114" s="315"/>
      <c r="E114" s="2"/>
      <c r="F114" s="315"/>
      <c r="H114" s="148"/>
      <c r="I114" s="148"/>
    </row>
    <row r="115" spans="1:9" x14ac:dyDescent="0.2">
      <c r="A115" s="2"/>
      <c r="B115" s="2"/>
      <c r="C115" s="2"/>
      <c r="D115" s="315"/>
      <c r="E115" s="2"/>
      <c r="F115" s="315"/>
      <c r="H115" s="148"/>
      <c r="I115" s="148"/>
    </row>
    <row r="116" spans="1:9" x14ac:dyDescent="0.2">
      <c r="A116" s="2"/>
      <c r="B116" s="2"/>
      <c r="C116" s="2"/>
      <c r="D116" s="315"/>
      <c r="E116" s="2"/>
      <c r="F116" s="315"/>
      <c r="H116" s="148"/>
      <c r="I116" s="148"/>
    </row>
    <row r="117" spans="1:9" x14ac:dyDescent="0.2">
      <c r="A117" s="2"/>
      <c r="B117" s="2"/>
      <c r="C117" s="2"/>
      <c r="D117" s="315"/>
      <c r="E117" s="2"/>
      <c r="F117" s="315"/>
      <c r="H117" s="148"/>
      <c r="I117" s="148"/>
    </row>
    <row r="118" spans="1:9" x14ac:dyDescent="0.2">
      <c r="A118" s="2"/>
      <c r="B118" s="2"/>
      <c r="C118" s="2"/>
      <c r="D118" s="315"/>
      <c r="E118" s="2"/>
      <c r="F118" s="315"/>
      <c r="H118" s="148"/>
      <c r="I118" s="148"/>
    </row>
    <row r="119" spans="1:9" x14ac:dyDescent="0.2">
      <c r="A119" s="2"/>
      <c r="B119" s="2"/>
      <c r="C119" s="2"/>
      <c r="D119" s="315"/>
      <c r="E119" s="2"/>
      <c r="F119" s="315"/>
      <c r="H119" s="148"/>
      <c r="I119" s="148"/>
    </row>
    <row r="120" spans="1:9" x14ac:dyDescent="0.2">
      <c r="A120" s="2"/>
      <c r="B120" s="2"/>
      <c r="C120" s="2"/>
      <c r="D120" s="315"/>
      <c r="E120" s="2"/>
      <c r="F120" s="315"/>
      <c r="H120" s="148"/>
      <c r="I120" s="148"/>
    </row>
    <row r="121" spans="1:9" x14ac:dyDescent="0.2">
      <c r="A121" s="2"/>
      <c r="B121" s="2"/>
      <c r="C121" s="2"/>
      <c r="D121" s="315"/>
      <c r="E121" s="2"/>
      <c r="F121" s="315"/>
      <c r="H121" s="148"/>
      <c r="I121" s="148"/>
    </row>
    <row r="122" spans="1:9" x14ac:dyDescent="0.2">
      <c r="A122" s="2"/>
      <c r="B122" s="2"/>
      <c r="C122" s="2"/>
      <c r="D122" s="315"/>
      <c r="E122" s="2"/>
      <c r="F122" s="315"/>
      <c r="H122" s="148"/>
      <c r="I122" s="148"/>
    </row>
    <row r="123" spans="1:9" x14ac:dyDescent="0.2">
      <c r="A123" s="2"/>
      <c r="B123" s="2"/>
      <c r="C123" s="2"/>
      <c r="D123" s="315"/>
      <c r="E123" s="2"/>
      <c r="F123" s="315"/>
      <c r="H123" s="148"/>
      <c r="I123" s="148"/>
    </row>
    <row r="124" spans="1:9" x14ac:dyDescent="0.2">
      <c r="A124" s="2"/>
      <c r="B124" s="2"/>
      <c r="C124" s="2"/>
      <c r="D124" s="315"/>
      <c r="E124" s="2"/>
      <c r="F124" s="315"/>
      <c r="H124" s="148"/>
      <c r="I124" s="148"/>
    </row>
    <row r="125" spans="1:9" x14ac:dyDescent="0.2">
      <c r="A125" s="2"/>
      <c r="B125" s="2"/>
      <c r="C125" s="2"/>
      <c r="D125" s="315"/>
      <c r="E125" s="2"/>
      <c r="F125" s="315"/>
      <c r="H125" s="148"/>
      <c r="I125" s="148"/>
    </row>
    <row r="126" spans="1:9" x14ac:dyDescent="0.2">
      <c r="A126" s="2"/>
      <c r="B126" s="2"/>
      <c r="C126" s="2"/>
      <c r="D126" s="315"/>
      <c r="E126" s="2"/>
      <c r="F126" s="315"/>
      <c r="H126" s="148"/>
      <c r="I126" s="148"/>
    </row>
    <row r="127" spans="1:9" x14ac:dyDescent="0.2">
      <c r="A127" s="2"/>
      <c r="B127" s="2"/>
      <c r="C127" s="2"/>
      <c r="D127" s="315"/>
      <c r="E127" s="2"/>
      <c r="F127" s="315"/>
      <c r="H127" s="148"/>
      <c r="I127" s="148"/>
    </row>
    <row r="128" spans="1:9" x14ac:dyDescent="0.2">
      <c r="A128" s="2"/>
      <c r="B128" s="2"/>
      <c r="C128" s="2"/>
      <c r="D128" s="315"/>
      <c r="E128" s="2"/>
      <c r="F128" s="315"/>
      <c r="H128" s="148"/>
      <c r="I128" s="148"/>
    </row>
    <row r="129" spans="1:9" x14ac:dyDescent="0.2">
      <c r="A129" s="2"/>
      <c r="B129" s="2"/>
      <c r="C129" s="2"/>
      <c r="D129" s="315"/>
      <c r="E129" s="2"/>
      <c r="F129" s="315"/>
      <c r="H129" s="148"/>
      <c r="I129" s="148"/>
    </row>
    <row r="130" spans="1:9" x14ac:dyDescent="0.2">
      <c r="A130" s="2"/>
      <c r="B130" s="2"/>
      <c r="C130" s="2"/>
      <c r="D130" s="315"/>
      <c r="E130" s="2"/>
      <c r="F130" s="315"/>
      <c r="H130" s="148"/>
      <c r="I130" s="148"/>
    </row>
    <row r="131" spans="1:9" x14ac:dyDescent="0.2">
      <c r="A131" s="2"/>
      <c r="B131" s="2"/>
      <c r="C131" s="2"/>
      <c r="D131" s="315"/>
      <c r="E131" s="2"/>
      <c r="F131" s="315"/>
      <c r="H131" s="148"/>
      <c r="I131" s="148"/>
    </row>
    <row r="132" spans="1:9" x14ac:dyDescent="0.2">
      <c r="A132" s="2"/>
      <c r="B132" s="2"/>
      <c r="C132" s="2"/>
      <c r="D132" s="315"/>
      <c r="E132" s="2"/>
      <c r="F132" s="315"/>
      <c r="H132" s="148"/>
      <c r="I132" s="148"/>
    </row>
    <row r="133" spans="1:9" x14ac:dyDescent="0.2">
      <c r="A133" s="2"/>
      <c r="B133" s="2"/>
      <c r="C133" s="2"/>
      <c r="D133" s="315"/>
      <c r="E133" s="2"/>
      <c r="F133" s="315"/>
      <c r="H133" s="148"/>
      <c r="I133" s="148"/>
    </row>
    <row r="134" spans="1:9" x14ac:dyDescent="0.2">
      <c r="A134" s="2"/>
      <c r="B134" s="2"/>
      <c r="C134" s="2"/>
      <c r="D134" s="315"/>
      <c r="E134" s="2"/>
      <c r="F134" s="315"/>
      <c r="H134" s="148"/>
      <c r="I134" s="148"/>
    </row>
    <row r="135" spans="1:9" x14ac:dyDescent="0.2">
      <c r="A135" s="2"/>
      <c r="B135" s="2"/>
      <c r="C135" s="2"/>
      <c r="D135" s="315"/>
      <c r="E135" s="2"/>
      <c r="F135" s="315"/>
      <c r="H135" s="148"/>
      <c r="I135" s="148"/>
    </row>
    <row r="136" spans="1:9" x14ac:dyDescent="0.2">
      <c r="A136" s="2"/>
      <c r="B136" s="2"/>
      <c r="C136" s="2"/>
      <c r="D136" s="315"/>
      <c r="E136" s="2"/>
      <c r="F136" s="315"/>
      <c r="H136" s="148"/>
      <c r="I136" s="148"/>
    </row>
    <row r="137" spans="1:9" x14ac:dyDescent="0.2">
      <c r="A137" s="2"/>
      <c r="B137" s="2"/>
      <c r="C137" s="2"/>
      <c r="D137" s="315"/>
      <c r="E137" s="2"/>
      <c r="F137" s="315"/>
      <c r="H137" s="148"/>
      <c r="I137" s="148"/>
    </row>
    <row r="138" spans="1:9" x14ac:dyDescent="0.2">
      <c r="A138" s="2"/>
      <c r="B138" s="2"/>
      <c r="C138" s="2"/>
      <c r="D138" s="315"/>
      <c r="E138" s="2"/>
      <c r="F138" s="315"/>
      <c r="H138" s="148"/>
      <c r="I138" s="148"/>
    </row>
    <row r="139" spans="1:9" x14ac:dyDescent="0.2">
      <c r="A139" s="2"/>
      <c r="B139" s="2"/>
      <c r="C139" s="2"/>
      <c r="D139" s="315"/>
      <c r="E139" s="2"/>
      <c r="F139" s="315"/>
      <c r="H139" s="148"/>
      <c r="I139" s="148"/>
    </row>
    <row r="140" spans="1:9" x14ac:dyDescent="0.2">
      <c r="A140" s="2"/>
      <c r="B140" s="2"/>
      <c r="C140" s="2"/>
      <c r="D140" s="315"/>
      <c r="E140" s="2"/>
      <c r="F140" s="315"/>
      <c r="H140" s="148"/>
      <c r="I140" s="148"/>
    </row>
    <row r="141" spans="1:9" x14ac:dyDescent="0.2">
      <c r="A141" s="2"/>
      <c r="B141" s="2"/>
      <c r="C141" s="2"/>
      <c r="D141" s="315"/>
      <c r="E141" s="2"/>
      <c r="F141" s="315"/>
      <c r="H141" s="148"/>
      <c r="I141" s="148"/>
    </row>
    <row r="142" spans="1:9" x14ac:dyDescent="0.2">
      <c r="A142" s="2"/>
      <c r="B142" s="2"/>
      <c r="C142" s="2"/>
      <c r="D142" s="315"/>
      <c r="E142" s="2"/>
      <c r="F142" s="315"/>
      <c r="H142" s="148"/>
      <c r="I142" s="148"/>
    </row>
    <row r="143" spans="1:9" x14ac:dyDescent="0.2">
      <c r="A143" s="2"/>
      <c r="B143" s="2"/>
      <c r="C143" s="2"/>
      <c r="D143" s="315"/>
      <c r="E143" s="2"/>
      <c r="F143" s="315"/>
      <c r="H143" s="148"/>
      <c r="I143" s="148"/>
    </row>
    <row r="144" spans="1:9" x14ac:dyDescent="0.2">
      <c r="A144" s="2"/>
      <c r="B144" s="2"/>
      <c r="C144" s="2"/>
      <c r="D144" s="315"/>
      <c r="E144" s="2"/>
      <c r="F144" s="315"/>
      <c r="H144" s="148"/>
      <c r="I144" s="148"/>
    </row>
    <row r="145" spans="1:9" x14ac:dyDescent="0.2">
      <c r="A145" s="2"/>
      <c r="B145" s="2"/>
      <c r="C145" s="2"/>
      <c r="D145" s="315"/>
      <c r="E145" s="2"/>
      <c r="F145" s="315"/>
      <c r="H145" s="148"/>
      <c r="I145" s="148"/>
    </row>
    <row r="146" spans="1:9" x14ac:dyDescent="0.2">
      <c r="A146" s="2"/>
      <c r="B146" s="2"/>
      <c r="C146" s="2"/>
      <c r="D146" s="315"/>
      <c r="E146" s="2"/>
      <c r="F146" s="315"/>
      <c r="H146" s="148"/>
      <c r="I146" s="148"/>
    </row>
    <row r="147" spans="1:9" x14ac:dyDescent="0.2">
      <c r="A147" s="2"/>
      <c r="B147" s="2"/>
      <c r="C147" s="2"/>
      <c r="D147" s="315"/>
      <c r="E147" s="2"/>
      <c r="F147" s="315"/>
      <c r="H147" s="148"/>
      <c r="I147" s="148"/>
    </row>
    <row r="148" spans="1:9" x14ac:dyDescent="0.2">
      <c r="A148" s="2"/>
      <c r="B148" s="2"/>
      <c r="C148" s="2"/>
      <c r="D148" s="315"/>
      <c r="E148" s="2"/>
      <c r="F148" s="315"/>
      <c r="H148" s="148"/>
      <c r="I148" s="148"/>
    </row>
    <row r="149" spans="1:9" x14ac:dyDescent="0.2">
      <c r="A149" s="2"/>
      <c r="B149" s="2"/>
      <c r="C149" s="2"/>
      <c r="D149" s="315"/>
      <c r="E149" s="2"/>
      <c r="F149" s="315"/>
      <c r="H149" s="148"/>
      <c r="I149" s="148"/>
    </row>
    <row r="150" spans="1:9" x14ac:dyDescent="0.2">
      <c r="A150" s="2"/>
      <c r="B150" s="2"/>
      <c r="C150" s="2"/>
      <c r="D150" s="315"/>
      <c r="E150" s="2"/>
      <c r="F150" s="315"/>
      <c r="H150" s="148"/>
      <c r="I150" s="148"/>
    </row>
    <row r="151" spans="1:9" x14ac:dyDescent="0.2">
      <c r="A151" s="2"/>
      <c r="B151" s="2"/>
      <c r="C151" s="2"/>
      <c r="D151" s="315"/>
      <c r="E151" s="2"/>
      <c r="F151" s="315"/>
      <c r="H151" s="148"/>
      <c r="I151" s="148"/>
    </row>
    <row r="152" spans="1:9" x14ac:dyDescent="0.2">
      <c r="A152" s="2"/>
      <c r="B152" s="2"/>
      <c r="C152" s="2"/>
      <c r="D152" s="315"/>
      <c r="E152" s="2"/>
      <c r="F152" s="315"/>
      <c r="H152" s="148"/>
      <c r="I152" s="148"/>
    </row>
    <row r="153" spans="1:9" x14ac:dyDescent="0.2">
      <c r="A153" s="2"/>
      <c r="B153" s="2"/>
      <c r="C153" s="2"/>
      <c r="D153" s="315"/>
      <c r="E153" s="2"/>
      <c r="F153" s="315"/>
      <c r="H153" s="148"/>
      <c r="I153" s="148"/>
    </row>
    <row r="154" spans="1:9" x14ac:dyDescent="0.2">
      <c r="A154" s="2"/>
      <c r="B154" s="2"/>
      <c r="C154" s="2"/>
      <c r="D154" s="315"/>
      <c r="E154" s="2"/>
      <c r="F154" s="315"/>
      <c r="H154" s="148"/>
      <c r="I154" s="148"/>
    </row>
    <row r="155" spans="1:9" x14ac:dyDescent="0.2">
      <c r="A155" s="2"/>
      <c r="B155" s="2"/>
      <c r="C155" s="2"/>
      <c r="D155" s="315"/>
      <c r="E155" s="2"/>
      <c r="F155" s="315"/>
      <c r="H155" s="148"/>
      <c r="I155" s="148"/>
    </row>
    <row r="156" spans="1:9" x14ac:dyDescent="0.2">
      <c r="A156" s="2"/>
      <c r="B156" s="2"/>
      <c r="C156" s="2"/>
      <c r="D156" s="315"/>
      <c r="E156" s="2"/>
      <c r="F156" s="315"/>
      <c r="H156" s="148"/>
      <c r="I156" s="148"/>
    </row>
    <row r="157" spans="1:9" x14ac:dyDescent="0.2">
      <c r="A157" s="2"/>
      <c r="B157" s="2"/>
      <c r="C157" s="2"/>
      <c r="D157" s="315"/>
      <c r="E157" s="2"/>
      <c r="F157" s="315"/>
      <c r="H157" s="148"/>
      <c r="I157" s="148"/>
    </row>
    <row r="158" spans="1:9" x14ac:dyDescent="0.2">
      <c r="A158" s="2"/>
      <c r="B158" s="2"/>
      <c r="C158" s="2"/>
      <c r="D158" s="315"/>
      <c r="E158" s="2"/>
      <c r="F158" s="315"/>
      <c r="H158" s="148"/>
      <c r="I158" s="148"/>
    </row>
    <row r="159" spans="1:9" x14ac:dyDescent="0.2">
      <c r="A159" s="2"/>
      <c r="B159" s="2"/>
      <c r="C159" s="2"/>
      <c r="D159" s="315"/>
      <c r="E159" s="2"/>
      <c r="F159" s="315"/>
      <c r="H159" s="148"/>
      <c r="I159" s="148"/>
    </row>
    <row r="160" spans="1:9" x14ac:dyDescent="0.2">
      <c r="A160" s="2"/>
      <c r="B160" s="2"/>
      <c r="C160" s="2"/>
      <c r="D160" s="315"/>
      <c r="E160" s="2"/>
      <c r="F160" s="315"/>
      <c r="H160" s="148"/>
      <c r="I160" s="148"/>
    </row>
    <row r="161" spans="1:9" x14ac:dyDescent="0.2">
      <c r="A161" s="2"/>
      <c r="B161" s="2"/>
      <c r="C161" s="2"/>
      <c r="D161" s="315"/>
      <c r="E161" s="2"/>
      <c r="F161" s="315"/>
      <c r="H161" s="148"/>
      <c r="I161" s="148"/>
    </row>
    <row r="162" spans="1:9" x14ac:dyDescent="0.2">
      <c r="A162" s="2"/>
      <c r="B162" s="2"/>
      <c r="C162" s="2"/>
      <c r="D162" s="315"/>
      <c r="E162" s="2"/>
      <c r="F162" s="315"/>
      <c r="H162" s="148"/>
      <c r="I162" s="148"/>
    </row>
    <row r="163" spans="1:9" x14ac:dyDescent="0.2">
      <c r="A163" s="2"/>
      <c r="B163" s="2"/>
      <c r="C163" s="2"/>
      <c r="D163" s="315"/>
      <c r="E163" s="2"/>
      <c r="F163" s="315"/>
      <c r="H163" s="148"/>
      <c r="I163" s="148"/>
    </row>
    <row r="164" spans="1:9" x14ac:dyDescent="0.2">
      <c r="A164" s="2"/>
      <c r="B164" s="2"/>
      <c r="C164" s="2"/>
      <c r="D164" s="315"/>
      <c r="E164" s="2"/>
      <c r="F164" s="315"/>
      <c r="H164" s="148"/>
      <c r="I164" s="148"/>
    </row>
    <row r="165" spans="1:9" x14ac:dyDescent="0.2">
      <c r="A165" s="2"/>
      <c r="B165" s="2"/>
      <c r="C165" s="2"/>
      <c r="D165" s="315"/>
      <c r="E165" s="2"/>
      <c r="F165" s="315"/>
      <c r="H165" s="148"/>
      <c r="I165" s="148"/>
    </row>
    <row r="166" spans="1:9" x14ac:dyDescent="0.2">
      <c r="A166" s="2"/>
      <c r="B166" s="2"/>
      <c r="C166" s="2"/>
      <c r="D166" s="315"/>
      <c r="E166" s="2"/>
      <c r="F166" s="315"/>
      <c r="H166" s="148"/>
      <c r="I166" s="148"/>
    </row>
    <row r="167" spans="1:9" x14ac:dyDescent="0.2">
      <c r="A167" s="2"/>
      <c r="B167" s="2"/>
      <c r="C167" s="2"/>
      <c r="D167" s="315"/>
      <c r="E167" s="2"/>
      <c r="F167" s="315"/>
      <c r="H167" s="148"/>
      <c r="I167" s="148"/>
    </row>
    <row r="168" spans="1:9" x14ac:dyDescent="0.2">
      <c r="A168" s="2"/>
      <c r="B168" s="2"/>
      <c r="C168" s="2"/>
      <c r="D168" s="315"/>
      <c r="E168" s="2"/>
      <c r="F168" s="315"/>
      <c r="H168" s="148"/>
      <c r="I168" s="148"/>
    </row>
    <row r="169" spans="1:9" x14ac:dyDescent="0.2">
      <c r="A169" s="2"/>
      <c r="B169" s="2"/>
      <c r="C169" s="2"/>
      <c r="D169" s="315"/>
      <c r="E169" s="2"/>
      <c r="F169" s="315"/>
      <c r="H169" s="148"/>
      <c r="I169" s="148"/>
    </row>
    <row r="170" spans="1:9" x14ac:dyDescent="0.2">
      <c r="A170" s="2"/>
      <c r="B170" s="2"/>
      <c r="C170" s="2"/>
      <c r="D170" s="315"/>
      <c r="E170" s="2"/>
      <c r="F170" s="315"/>
      <c r="H170" s="148"/>
      <c r="I170" s="148"/>
    </row>
    <row r="171" spans="1:9" x14ac:dyDescent="0.2">
      <c r="A171" s="2"/>
      <c r="B171" s="2"/>
      <c r="C171" s="2"/>
      <c r="D171" s="315"/>
      <c r="E171" s="2"/>
      <c r="F171" s="315"/>
      <c r="H171" s="148"/>
      <c r="I171" s="148"/>
    </row>
    <row r="172" spans="1:9" x14ac:dyDescent="0.2">
      <c r="A172" s="2"/>
      <c r="B172" s="2"/>
      <c r="C172" s="2"/>
      <c r="D172" s="315"/>
      <c r="E172" s="2"/>
      <c r="F172" s="315"/>
      <c r="H172" s="148"/>
      <c r="I172" s="148"/>
    </row>
    <row r="173" spans="1:9" x14ac:dyDescent="0.2">
      <c r="A173" s="2"/>
      <c r="B173" s="2"/>
      <c r="C173" s="2"/>
      <c r="D173" s="315"/>
      <c r="E173" s="2"/>
      <c r="F173" s="315"/>
      <c r="H173" s="148"/>
      <c r="I173" s="148"/>
    </row>
    <row r="174" spans="1:9" x14ac:dyDescent="0.2">
      <c r="A174" s="2"/>
      <c r="B174" s="2"/>
      <c r="C174" s="2"/>
      <c r="D174" s="315"/>
      <c r="E174" s="2"/>
      <c r="F174" s="315"/>
      <c r="H174" s="148"/>
      <c r="I174" s="148"/>
    </row>
    <row r="175" spans="1:9" x14ac:dyDescent="0.2">
      <c r="A175" s="2"/>
      <c r="B175" s="2"/>
      <c r="C175" s="2"/>
      <c r="D175" s="315"/>
      <c r="E175" s="2"/>
      <c r="F175" s="315"/>
    </row>
    <row r="176" spans="1:9" x14ac:dyDescent="0.2">
      <c r="A176" s="2"/>
      <c r="B176" s="2"/>
      <c r="C176" s="2"/>
      <c r="D176" s="315"/>
      <c r="E176" s="2"/>
      <c r="F176" s="315"/>
    </row>
    <row r="177" spans="1:6" x14ac:dyDescent="0.2">
      <c r="A177" s="2"/>
      <c r="B177" s="2"/>
      <c r="C177" s="2"/>
      <c r="D177" s="315"/>
      <c r="E177" s="2"/>
      <c r="F177" s="315"/>
    </row>
    <row r="178" spans="1:6" x14ac:dyDescent="0.2">
      <c r="A178" s="2"/>
      <c r="B178" s="2"/>
      <c r="C178" s="2"/>
      <c r="D178" s="315"/>
      <c r="E178" s="2"/>
      <c r="F178" s="315"/>
    </row>
    <row r="179" spans="1:6" x14ac:dyDescent="0.2">
      <c r="A179" s="2"/>
      <c r="B179" s="2"/>
      <c r="C179" s="2"/>
      <c r="D179" s="315"/>
      <c r="E179" s="2"/>
      <c r="F179" s="315"/>
    </row>
    <row r="180" spans="1:6" x14ac:dyDescent="0.2">
      <c r="A180" s="2"/>
      <c r="B180" s="2"/>
      <c r="C180" s="2"/>
      <c r="D180" s="315"/>
      <c r="E180" s="2"/>
      <c r="F180" s="315"/>
    </row>
    <row r="181" spans="1:6" x14ac:dyDescent="0.2">
      <c r="A181" s="2"/>
      <c r="B181" s="2"/>
      <c r="C181" s="2"/>
      <c r="D181" s="315"/>
      <c r="E181" s="2"/>
      <c r="F181" s="315"/>
    </row>
    <row r="182" spans="1:6" x14ac:dyDescent="0.2">
      <c r="A182" s="2"/>
      <c r="B182" s="2"/>
      <c r="C182" s="2"/>
      <c r="D182" s="315"/>
      <c r="E182" s="2"/>
      <c r="F182" s="315"/>
    </row>
    <row r="183" spans="1:6" x14ac:dyDescent="0.2">
      <c r="A183" s="2"/>
      <c r="B183" s="2"/>
      <c r="C183" s="2"/>
      <c r="D183" s="315"/>
      <c r="E183" s="2"/>
      <c r="F183" s="315"/>
    </row>
    <row r="184" spans="1:6" x14ac:dyDescent="0.2">
      <c r="A184" s="2"/>
      <c r="B184" s="2"/>
      <c r="C184" s="2"/>
      <c r="D184" s="315"/>
      <c r="E184" s="2"/>
      <c r="F184" s="315"/>
    </row>
    <row r="185" spans="1:6" x14ac:dyDescent="0.2">
      <c r="A185" s="2"/>
      <c r="B185" s="2"/>
      <c r="C185" s="2"/>
      <c r="D185" s="315"/>
      <c r="E185" s="2"/>
      <c r="F185" s="315"/>
    </row>
    <row r="186" spans="1:6" x14ac:dyDescent="0.2">
      <c r="A186" s="2"/>
      <c r="B186" s="2"/>
      <c r="C186" s="2"/>
      <c r="D186" s="315"/>
      <c r="E186" s="2"/>
      <c r="F186" s="315"/>
    </row>
    <row r="187" spans="1:6" x14ac:dyDescent="0.2">
      <c r="A187" s="2"/>
      <c r="B187" s="2"/>
      <c r="C187" s="2"/>
      <c r="D187" s="315"/>
      <c r="E187" s="2"/>
      <c r="F187" s="315"/>
    </row>
    <row r="188" spans="1:6" x14ac:dyDescent="0.2">
      <c r="A188" s="2"/>
      <c r="B188" s="2"/>
      <c r="C188" s="2"/>
      <c r="D188" s="315"/>
      <c r="E188" s="2"/>
      <c r="F188" s="315"/>
    </row>
    <row r="189" spans="1:6" x14ac:dyDescent="0.2">
      <c r="A189" s="2"/>
      <c r="B189" s="2"/>
      <c r="C189" s="2"/>
      <c r="D189" s="315"/>
      <c r="E189" s="2"/>
      <c r="F189" s="315"/>
    </row>
    <row r="190" spans="1:6" x14ac:dyDescent="0.2">
      <c r="A190" s="2"/>
      <c r="B190" s="2"/>
      <c r="C190" s="2"/>
      <c r="D190" s="315"/>
      <c r="E190" s="2"/>
      <c r="F190" s="315"/>
    </row>
    <row r="191" spans="1:6" x14ac:dyDescent="0.2">
      <c r="A191" s="2"/>
      <c r="B191" s="2"/>
      <c r="C191" s="2"/>
      <c r="D191" s="315"/>
      <c r="E191" s="2"/>
      <c r="F191" s="315"/>
    </row>
  </sheetData>
  <mergeCells count="9">
    <mergeCell ref="D94:E94"/>
    <mergeCell ref="D95:E95"/>
    <mergeCell ref="B94:C94"/>
    <mergeCell ref="A7:F7"/>
    <mergeCell ref="B91:F91"/>
    <mergeCell ref="B92:F92"/>
    <mergeCell ref="D48:F48"/>
    <mergeCell ref="D47:E47"/>
    <mergeCell ref="B75:C75"/>
  </mergeCells>
  <phoneticPr fontId="2" type="noConversion"/>
  <pageMargins left="0.35" right="0.34" top="0.51" bottom="0.48" header="0.37" footer="0.33"/>
  <pageSetup scale="56" orientation="portrait" r:id="rId1"/>
  <headerFooter alignWithMargins="0"/>
  <drawing r:id="rId2"/>
  <legacyDrawing r:id="rId3"/>
  <controls>
    <mc:AlternateContent xmlns:mc="http://schemas.openxmlformats.org/markup-compatibility/2006">
      <mc:Choice Requires="x14">
        <control shapeId="3073" r:id="rId4" name="CommandButton1">
          <controlPr defaultSize="0" autoLine="0" r:id="rId5">
            <anchor moveWithCells="1">
              <from>
                <xdr:col>1</xdr:col>
                <xdr:colOff>2190750</xdr:colOff>
                <xdr:row>95</xdr:row>
                <xdr:rowOff>0</xdr:rowOff>
              </from>
              <to>
                <xdr:col>2</xdr:col>
                <xdr:colOff>676275</xdr:colOff>
                <xdr:row>96</xdr:row>
                <xdr:rowOff>104775</xdr:rowOff>
              </to>
            </anchor>
          </controlPr>
        </control>
      </mc:Choice>
      <mc:Fallback>
        <control shapeId="3073" r:id="rId4" name="CommandButton1"/>
      </mc:Fallback>
    </mc:AlternateContent>
  </controls>
  <extLst>
    <ext xmlns:x14="http://schemas.microsoft.com/office/spreadsheetml/2009/9/main" uri="{CCE6A557-97BC-4b89-ADB6-D9C93CAAB3DF}">
      <x14:dataValidations xmlns:xm="http://schemas.microsoft.com/office/excel/2006/main" disablePrompts="1" count="5">
        <x14:dataValidation type="list" allowBlank="1" showInputMessage="1" showErrorMessage="1">
          <x14:formula1>
            <xm:f>const!$B$10:$E$10</xm:f>
          </x14:formula1>
          <xm:sqref>E83:E87</xm:sqref>
        </x14:dataValidation>
        <x14:dataValidation type="list" allowBlank="1" showInputMessage="1" showErrorMessage="1">
          <x14:formula1>
            <xm:f>const!$B$32:$Q$32</xm:f>
          </x14:formula1>
          <xm:sqref>D75</xm:sqref>
        </x14:dataValidation>
        <x14:dataValidation type="list" allowBlank="1" showInputMessage="1" showErrorMessage="1">
          <x14:formula1>
            <xm:f>const!$B$35:$C$35</xm:f>
          </x14:formula1>
          <xm:sqref>D43</xm:sqref>
        </x14:dataValidation>
        <x14:dataValidation type="list" allowBlank="1" showInputMessage="1" showErrorMessage="1">
          <x14:formula1>
            <xm:f>const!$B$37:$C$37</xm:f>
          </x14:formula1>
          <xm:sqref>F23</xm:sqref>
        </x14:dataValidation>
        <x14:dataValidation type="list" allowBlank="1" showInputMessage="1" showErrorMessage="1">
          <x14:formula1>
            <xm:f>US!$A$2:$A$418</xm:f>
          </x14:formula1>
          <xm:sqref>D48:F48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M191"/>
  <sheetViews>
    <sheetView showGridLines="0" topLeftCell="A67" zoomScaleNormal="100" zoomScaleSheetLayoutView="100" workbookViewId="0">
      <selection activeCell="D89" sqref="D89"/>
    </sheetView>
  </sheetViews>
  <sheetFormatPr defaultRowHeight="12.75" x14ac:dyDescent="0.2"/>
  <cols>
    <col min="1" max="1" width="3.7109375" style="148" customWidth="1"/>
    <col min="2" max="2" width="36" customWidth="1"/>
    <col min="3" max="3" width="20.85546875" customWidth="1"/>
    <col min="4" max="4" width="26.28515625" style="291" customWidth="1"/>
    <col min="5" max="5" width="30.42578125" customWidth="1"/>
    <col min="6" max="6" width="17.28515625" style="291" customWidth="1"/>
    <col min="9" max="9" width="17.42578125" hidden="1" customWidth="1"/>
    <col min="13" max="13" width="9.140625" style="148" customWidth="1"/>
  </cols>
  <sheetData>
    <row r="1" spans="1:12" x14ac:dyDescent="0.2">
      <c r="B1" s="148"/>
      <c r="C1" s="148"/>
      <c r="D1" s="333"/>
      <c r="E1" s="148"/>
      <c r="F1" s="333"/>
      <c r="G1" s="148"/>
      <c r="H1" s="148"/>
      <c r="I1" s="148"/>
      <c r="J1" s="148"/>
      <c r="K1" s="148"/>
      <c r="L1" s="148"/>
    </row>
    <row r="2" spans="1:12" x14ac:dyDescent="0.2">
      <c r="B2" s="148"/>
      <c r="C2" s="148"/>
      <c r="D2" s="333"/>
      <c r="E2" s="148"/>
      <c r="F2" s="333"/>
      <c r="G2" s="148"/>
      <c r="H2" s="148"/>
      <c r="I2" s="148"/>
      <c r="J2" s="148"/>
      <c r="K2" s="148"/>
      <c r="L2" s="148"/>
    </row>
    <row r="3" spans="1:12" x14ac:dyDescent="0.2">
      <c r="B3" s="148"/>
      <c r="C3" s="148"/>
      <c r="D3" s="333"/>
      <c r="E3" s="148"/>
      <c r="F3" s="333"/>
      <c r="G3" s="148"/>
      <c r="H3" s="148"/>
      <c r="I3" s="148"/>
      <c r="J3" s="148"/>
      <c r="K3" s="148"/>
      <c r="L3" s="148"/>
    </row>
    <row r="4" spans="1:12" x14ac:dyDescent="0.2">
      <c r="B4" s="148"/>
      <c r="C4" s="148"/>
      <c r="D4" s="333"/>
      <c r="E4" s="148"/>
      <c r="F4" s="333"/>
      <c r="G4" s="148"/>
      <c r="H4" s="148"/>
      <c r="I4" s="148"/>
      <c r="J4" s="148"/>
      <c r="K4" s="148"/>
      <c r="L4" s="148"/>
    </row>
    <row r="5" spans="1:12" ht="13.5" thickBot="1" x14ac:dyDescent="0.25">
      <c r="B5" s="148"/>
      <c r="C5" s="148"/>
      <c r="D5" s="334" t="s">
        <v>300</v>
      </c>
      <c r="E5" s="149"/>
      <c r="F5" s="341"/>
      <c r="G5" s="148"/>
      <c r="H5" s="148"/>
      <c r="I5" s="148"/>
      <c r="J5" s="148"/>
      <c r="K5" s="148"/>
      <c r="L5" s="148"/>
    </row>
    <row r="6" spans="1:12" ht="14.25" customHeight="1" x14ac:dyDescent="0.2">
      <c r="A6" s="125"/>
      <c r="B6" s="125"/>
      <c r="C6" s="125"/>
      <c r="D6" s="335"/>
      <c r="E6" s="125"/>
      <c r="F6" s="335"/>
      <c r="G6" s="148"/>
      <c r="H6" s="148"/>
      <c r="I6" s="148"/>
      <c r="J6" s="148"/>
      <c r="K6" s="148"/>
      <c r="L6" s="148"/>
    </row>
    <row r="7" spans="1:12" ht="14.25" customHeight="1" x14ac:dyDescent="0.2">
      <c r="A7" s="384"/>
      <c r="B7" s="384"/>
      <c r="C7" s="384"/>
      <c r="D7" s="384"/>
      <c r="E7" s="384"/>
      <c r="F7" s="384"/>
      <c r="G7" s="148"/>
      <c r="H7" s="148"/>
      <c r="I7" s="148"/>
      <c r="J7" s="148"/>
      <c r="K7" s="148"/>
      <c r="L7" s="148"/>
    </row>
    <row r="8" spans="1:12" ht="14.25" customHeight="1" x14ac:dyDescent="0.2">
      <c r="A8" s="150"/>
      <c r="B8" s="150" t="s">
        <v>546</v>
      </c>
      <c r="C8" s="151"/>
      <c r="D8" s="336"/>
      <c r="E8" s="151"/>
      <c r="F8" s="336"/>
      <c r="G8" s="148"/>
      <c r="H8" s="148"/>
      <c r="I8" s="148"/>
      <c r="J8" s="148"/>
      <c r="K8" s="148"/>
      <c r="L8" s="148"/>
    </row>
    <row r="9" spans="1:12" ht="14.25" customHeight="1" x14ac:dyDescent="0.2">
      <c r="A9" s="150"/>
      <c r="B9" s="150" t="s">
        <v>251</v>
      </c>
      <c r="C9" s="150"/>
      <c r="D9" s="337"/>
      <c r="E9" s="150"/>
      <c r="F9" s="337"/>
      <c r="G9" s="148"/>
      <c r="H9" s="148"/>
      <c r="I9" s="148"/>
      <c r="J9" s="148"/>
      <c r="K9" s="148"/>
      <c r="L9" s="148"/>
    </row>
    <row r="10" spans="1:12" ht="14.25" customHeight="1" x14ac:dyDescent="0.2">
      <c r="A10" s="152"/>
      <c r="B10" s="150"/>
      <c r="C10" s="150"/>
      <c r="D10" s="337"/>
      <c r="E10" s="150"/>
      <c r="F10" s="337"/>
      <c r="G10" s="148"/>
      <c r="H10" s="148"/>
      <c r="I10" s="148"/>
      <c r="J10" s="148"/>
      <c r="K10" s="148"/>
      <c r="L10" s="148"/>
    </row>
    <row r="11" spans="1:12" ht="14.25" customHeight="1" x14ac:dyDescent="0.2">
      <c r="A11" s="152"/>
      <c r="B11" s="75" t="s">
        <v>252</v>
      </c>
      <c r="C11" s="76"/>
      <c r="D11" s="296"/>
      <c r="E11" s="256"/>
      <c r="F11" s="319"/>
      <c r="G11" s="148"/>
      <c r="H11" s="148"/>
      <c r="I11" s="148"/>
      <c r="J11" s="148"/>
      <c r="K11" s="148"/>
      <c r="L11" s="148"/>
    </row>
    <row r="12" spans="1:12" ht="14.25" customHeight="1" x14ac:dyDescent="0.2">
      <c r="A12" s="152"/>
      <c r="B12" s="75" t="s">
        <v>253</v>
      </c>
      <c r="C12" s="76"/>
      <c r="D12" s="296"/>
      <c r="E12" s="256"/>
      <c r="F12" s="319"/>
      <c r="G12" s="148"/>
      <c r="H12" s="148"/>
      <c r="I12" s="148"/>
      <c r="J12" s="148"/>
      <c r="K12" s="148"/>
      <c r="L12" s="148"/>
    </row>
    <row r="13" spans="1:12" ht="14.25" customHeight="1" x14ac:dyDescent="0.2">
      <c r="A13" s="152"/>
      <c r="B13" s="75" t="s">
        <v>254</v>
      </c>
      <c r="C13" s="76"/>
      <c r="D13" s="296"/>
      <c r="E13" s="256"/>
      <c r="F13" s="319"/>
      <c r="G13" s="148"/>
      <c r="H13" s="148"/>
      <c r="I13" s="148"/>
      <c r="J13" s="148"/>
      <c r="K13" s="148"/>
      <c r="L13" s="148"/>
    </row>
    <row r="14" spans="1:12" ht="14.25" customHeight="1" x14ac:dyDescent="0.2">
      <c r="A14" s="150"/>
      <c r="B14" s="75" t="s">
        <v>672</v>
      </c>
      <c r="C14" s="76"/>
      <c r="D14" s="296"/>
      <c r="E14" s="256"/>
      <c r="F14" s="319"/>
      <c r="G14" s="148"/>
      <c r="H14" s="148"/>
      <c r="I14" s="148"/>
      <c r="J14" s="148"/>
      <c r="K14" s="148"/>
      <c r="L14" s="148"/>
    </row>
    <row r="15" spans="1:12" ht="14.25" customHeight="1" x14ac:dyDescent="0.2">
      <c r="A15" s="150"/>
      <c r="B15" s="75" t="s">
        <v>255</v>
      </c>
      <c r="C15" s="76"/>
      <c r="D15" s="296"/>
      <c r="E15" s="256"/>
      <c r="F15" s="319"/>
      <c r="G15" s="148"/>
      <c r="H15" s="148"/>
      <c r="I15" s="148"/>
      <c r="J15" s="148"/>
      <c r="K15" s="148"/>
      <c r="L15" s="148"/>
    </row>
    <row r="16" spans="1:12" ht="14.25" customHeight="1" x14ac:dyDescent="0.2">
      <c r="A16" s="153"/>
      <c r="B16" s="77" t="s">
        <v>256</v>
      </c>
      <c r="C16" s="78"/>
      <c r="D16" s="296"/>
      <c r="E16" s="257"/>
      <c r="F16" s="319"/>
      <c r="G16" s="148"/>
      <c r="H16" s="148"/>
      <c r="I16" s="148"/>
      <c r="J16" s="148"/>
      <c r="K16" s="148"/>
      <c r="L16" s="148"/>
    </row>
    <row r="17" spans="1:12" ht="14.25" customHeight="1" x14ac:dyDescent="0.2">
      <c r="A17" s="134"/>
      <c r="B17" s="79" t="s">
        <v>301</v>
      </c>
      <c r="C17" s="80"/>
      <c r="D17" s="297"/>
      <c r="E17" s="258"/>
      <c r="F17" s="320"/>
      <c r="G17" s="148"/>
      <c r="H17" s="148"/>
      <c r="I17" s="148"/>
      <c r="J17" s="148"/>
      <c r="K17" s="148"/>
      <c r="L17" s="148"/>
    </row>
    <row r="18" spans="1:12" ht="14.25" customHeight="1" x14ac:dyDescent="0.2">
      <c r="A18" s="134"/>
      <c r="B18" s="79" t="s">
        <v>257</v>
      </c>
      <c r="C18" s="80"/>
      <c r="D18" s="85"/>
      <c r="E18" s="259"/>
      <c r="F18" s="320"/>
      <c r="G18" s="148"/>
      <c r="H18" s="148"/>
      <c r="I18" s="148"/>
      <c r="J18" s="148"/>
      <c r="K18" s="148"/>
      <c r="L18" s="148"/>
    </row>
    <row r="19" spans="1:12" ht="14.25" customHeight="1" x14ac:dyDescent="0.2">
      <c r="A19" s="134"/>
      <c r="B19" s="79" t="s">
        <v>259</v>
      </c>
      <c r="C19" s="80"/>
      <c r="D19" s="85"/>
      <c r="E19" s="259"/>
      <c r="F19" s="320"/>
      <c r="G19" s="148"/>
      <c r="H19" s="148"/>
      <c r="I19" s="148"/>
      <c r="J19" s="148"/>
      <c r="K19" s="148"/>
      <c r="L19" s="148"/>
    </row>
    <row r="20" spans="1:12" ht="14.25" customHeight="1" x14ac:dyDescent="0.2">
      <c r="A20" s="134"/>
      <c r="B20" s="75" t="s">
        <v>258</v>
      </c>
      <c r="C20" s="80"/>
      <c r="D20" s="85"/>
      <c r="E20" s="259"/>
      <c r="F20" s="320"/>
      <c r="G20" s="148"/>
      <c r="H20" s="148"/>
      <c r="I20" s="148"/>
      <c r="J20" s="148"/>
      <c r="K20" s="148"/>
      <c r="L20" s="148"/>
    </row>
    <row r="21" spans="1:12" ht="14.25" customHeight="1" x14ac:dyDescent="0.2">
      <c r="A21" s="134"/>
      <c r="B21" s="75" t="s">
        <v>260</v>
      </c>
      <c r="C21" s="80"/>
      <c r="D21" s="85"/>
      <c r="E21" s="259"/>
      <c r="F21" s="320"/>
      <c r="G21" s="148"/>
      <c r="H21" s="148"/>
      <c r="I21" s="148"/>
      <c r="J21" s="148"/>
      <c r="K21" s="148"/>
      <c r="L21" s="148"/>
    </row>
    <row r="22" spans="1:12" ht="14.25" customHeight="1" x14ac:dyDescent="0.2">
      <c r="A22" s="134"/>
      <c r="B22" s="106" t="s">
        <v>261</v>
      </c>
      <c r="C22" s="107"/>
      <c r="D22" s="298"/>
      <c r="E22" s="260"/>
      <c r="F22" s="321"/>
      <c r="G22" s="148"/>
      <c r="H22" s="148"/>
      <c r="I22" s="148"/>
      <c r="J22" s="148"/>
      <c r="K22" s="148"/>
      <c r="L22" s="148"/>
    </row>
    <row r="23" spans="1:12" ht="14.25" customHeight="1" x14ac:dyDescent="0.2">
      <c r="A23" s="134"/>
      <c r="B23" s="81" t="s">
        <v>308</v>
      </c>
      <c r="C23" s="82"/>
      <c r="D23" s="299"/>
      <c r="E23" s="353" t="s">
        <v>700</v>
      </c>
      <c r="F23" s="306"/>
      <c r="G23" s="148"/>
      <c r="H23" s="148"/>
      <c r="I23" s="148"/>
      <c r="J23" s="148"/>
      <c r="K23" s="148"/>
      <c r="L23" s="148"/>
    </row>
    <row r="24" spans="1:12" ht="14.25" customHeight="1" x14ac:dyDescent="0.2">
      <c r="A24" s="134"/>
      <c r="B24" s="83" t="s">
        <v>444</v>
      </c>
      <c r="C24" s="84"/>
      <c r="D24" s="85"/>
      <c r="E24" s="259"/>
      <c r="F24" s="320"/>
      <c r="G24" s="148"/>
      <c r="H24" s="148"/>
      <c r="I24" s="148"/>
      <c r="J24" s="148"/>
      <c r="K24" s="148"/>
      <c r="L24" s="148"/>
    </row>
    <row r="25" spans="1:12" ht="14.25" customHeight="1" x14ac:dyDescent="0.2">
      <c r="A25" s="134"/>
      <c r="B25" s="83" t="s">
        <v>669</v>
      </c>
      <c r="C25" s="84"/>
      <c r="D25" s="85"/>
      <c r="E25" s="251" t="s">
        <v>668</v>
      </c>
      <c r="F25" s="316"/>
      <c r="G25" s="148"/>
      <c r="H25" s="148"/>
      <c r="I25" s="148"/>
      <c r="J25" s="148"/>
      <c r="K25" s="148"/>
      <c r="L25" s="148"/>
    </row>
    <row r="26" spans="1:12" ht="14.25" customHeight="1" x14ac:dyDescent="0.2">
      <c r="A26" s="134"/>
      <c r="B26" s="83" t="s">
        <v>263</v>
      </c>
      <c r="C26" s="84"/>
      <c r="D26" s="85"/>
      <c r="E26" s="259"/>
      <c r="F26" s="320"/>
      <c r="G26" s="148"/>
      <c r="H26" s="148"/>
      <c r="I26" s="148"/>
      <c r="J26" s="148"/>
      <c r="K26" s="148"/>
      <c r="L26" s="148"/>
    </row>
    <row r="27" spans="1:12" ht="14.25" customHeight="1" x14ac:dyDescent="0.2">
      <c r="A27" s="134"/>
      <c r="B27" s="83" t="s">
        <v>634</v>
      </c>
      <c r="C27" s="84"/>
      <c r="D27" s="85"/>
      <c r="E27" s="261"/>
      <c r="F27" s="320"/>
      <c r="G27" s="148"/>
      <c r="H27" s="148"/>
      <c r="I27" s="148"/>
      <c r="J27" s="148"/>
      <c r="K27" s="148"/>
      <c r="L27" s="148"/>
    </row>
    <row r="28" spans="1:12" ht="14.25" customHeight="1" x14ac:dyDescent="0.2">
      <c r="A28" s="269"/>
      <c r="B28" s="83" t="s">
        <v>688</v>
      </c>
      <c r="C28" s="84"/>
      <c r="D28" s="85"/>
      <c r="E28" s="259"/>
      <c r="F28" s="320"/>
      <c r="G28" s="148"/>
      <c r="H28" s="148"/>
      <c r="I28" s="148"/>
      <c r="J28" s="148"/>
      <c r="K28" s="148"/>
      <c r="L28" s="148"/>
    </row>
    <row r="29" spans="1:12" ht="14.25" customHeight="1" x14ac:dyDescent="0.2">
      <c r="A29" s="134"/>
      <c r="B29" s="83" t="s">
        <v>265</v>
      </c>
      <c r="C29" s="84"/>
      <c r="D29" s="85"/>
      <c r="E29" s="259"/>
      <c r="F29" s="320"/>
      <c r="G29" s="148"/>
      <c r="H29" s="148"/>
      <c r="I29" s="148"/>
      <c r="J29" s="148"/>
      <c r="K29" s="148"/>
      <c r="L29" s="148"/>
    </row>
    <row r="30" spans="1:12" ht="14.25" customHeight="1" x14ac:dyDescent="0.2">
      <c r="A30" s="134"/>
      <c r="B30" s="83" t="s">
        <v>266</v>
      </c>
      <c r="C30" s="84"/>
      <c r="D30" s="85"/>
      <c r="E30" s="259"/>
      <c r="F30" s="320"/>
      <c r="G30" s="148"/>
      <c r="H30" s="148"/>
      <c r="I30" s="148"/>
      <c r="J30" s="148"/>
      <c r="K30" s="148"/>
      <c r="L30" s="148"/>
    </row>
    <row r="31" spans="1:12" ht="14.25" customHeight="1" x14ac:dyDescent="0.2">
      <c r="A31" s="134"/>
      <c r="B31" s="83" t="s">
        <v>547</v>
      </c>
      <c r="C31" s="84"/>
      <c r="D31" s="85"/>
      <c r="E31" s="259"/>
      <c r="F31" s="320"/>
      <c r="G31" s="148"/>
      <c r="H31" s="148"/>
      <c r="I31" s="148"/>
      <c r="J31" s="148"/>
      <c r="K31" s="148"/>
      <c r="L31" s="148"/>
    </row>
    <row r="32" spans="1:12" ht="14.25" customHeight="1" x14ac:dyDescent="0.2">
      <c r="A32" s="238"/>
      <c r="B32" s="93" t="s">
        <v>630</v>
      </c>
      <c r="C32" s="239"/>
      <c r="D32" s="338"/>
      <c r="E32" s="262"/>
      <c r="F32" s="326"/>
      <c r="G32" s="148"/>
      <c r="H32" s="148"/>
      <c r="I32" s="148"/>
      <c r="J32" s="148"/>
      <c r="K32" s="148"/>
      <c r="L32" s="148"/>
    </row>
    <row r="33" spans="1:12" ht="14.25" customHeight="1" x14ac:dyDescent="0.2">
      <c r="A33" s="134"/>
      <c r="B33" s="86" t="s">
        <v>701</v>
      </c>
      <c r="C33" s="52"/>
      <c r="D33" s="300"/>
      <c r="E33" s="52"/>
      <c r="F33" s="322"/>
      <c r="G33" s="148"/>
      <c r="H33" s="148"/>
      <c r="I33" s="148"/>
      <c r="J33" s="148"/>
      <c r="K33" s="148"/>
      <c r="L33" s="148"/>
    </row>
    <row r="34" spans="1:12" ht="14.25" customHeight="1" x14ac:dyDescent="0.2">
      <c r="A34" s="134"/>
      <c r="B34" s="83" t="s">
        <v>444</v>
      </c>
      <c r="C34" s="84"/>
      <c r="D34" s="85"/>
      <c r="E34" s="242"/>
      <c r="F34" s="342"/>
      <c r="G34" s="148"/>
      <c r="H34" s="148"/>
      <c r="I34" s="148"/>
      <c r="J34" s="148"/>
      <c r="K34" s="148"/>
      <c r="L34" s="148"/>
    </row>
    <row r="35" spans="1:12" ht="14.25" customHeight="1" x14ac:dyDescent="0.2">
      <c r="A35" s="134"/>
      <c r="B35" s="83" t="s">
        <v>669</v>
      </c>
      <c r="C35" s="84"/>
      <c r="D35" s="298"/>
      <c r="E35" s="251" t="s">
        <v>668</v>
      </c>
      <c r="F35" s="316"/>
      <c r="G35" s="148"/>
      <c r="H35" s="148"/>
      <c r="I35" s="148"/>
      <c r="J35" s="148"/>
      <c r="K35" s="148"/>
      <c r="L35" s="148"/>
    </row>
    <row r="36" spans="1:12" ht="14.25" customHeight="1" x14ac:dyDescent="0.2">
      <c r="A36" s="134"/>
      <c r="B36" s="83" t="s">
        <v>263</v>
      </c>
      <c r="C36" s="84"/>
      <c r="D36" s="85"/>
      <c r="E36" s="259"/>
      <c r="F36" s="320"/>
      <c r="G36" s="148"/>
      <c r="H36" s="148"/>
      <c r="I36" s="148"/>
      <c r="J36" s="148"/>
      <c r="K36" s="148"/>
      <c r="L36" s="148"/>
    </row>
    <row r="37" spans="1:12" ht="14.25" customHeight="1" x14ac:dyDescent="0.2">
      <c r="A37" s="134"/>
      <c r="B37" s="83" t="s">
        <v>634</v>
      </c>
      <c r="C37" s="84"/>
      <c r="D37" s="85"/>
      <c r="E37" s="261"/>
      <c r="F37" s="320"/>
      <c r="G37" s="148"/>
      <c r="H37" s="148"/>
      <c r="I37" s="148"/>
      <c r="J37" s="148"/>
      <c r="K37" s="148"/>
      <c r="L37" s="148"/>
    </row>
    <row r="38" spans="1:12" ht="14.25" customHeight="1" x14ac:dyDescent="0.2">
      <c r="A38" s="250"/>
      <c r="B38" s="83" t="s">
        <v>688</v>
      </c>
      <c r="C38" s="84"/>
      <c r="D38" s="85"/>
      <c r="E38" s="259"/>
      <c r="F38" s="320"/>
      <c r="G38" s="148"/>
      <c r="H38" s="148"/>
      <c r="I38" s="148"/>
      <c r="J38" s="148"/>
      <c r="K38" s="148"/>
      <c r="L38" s="148"/>
    </row>
    <row r="39" spans="1:12" ht="14.25" customHeight="1" x14ac:dyDescent="0.2">
      <c r="A39" s="134"/>
      <c r="B39" s="83" t="s">
        <v>265</v>
      </c>
      <c r="C39" s="84"/>
      <c r="D39" s="85"/>
      <c r="E39" s="259"/>
      <c r="F39" s="320"/>
      <c r="G39" s="148"/>
      <c r="H39" s="148"/>
      <c r="I39" s="148"/>
      <c r="J39" s="148"/>
      <c r="K39" s="148"/>
      <c r="L39" s="148"/>
    </row>
    <row r="40" spans="1:12" ht="14.25" customHeight="1" x14ac:dyDescent="0.2">
      <c r="A40" s="134"/>
      <c r="B40" s="83" t="s">
        <v>266</v>
      </c>
      <c r="C40" s="84"/>
      <c r="D40" s="85"/>
      <c r="E40" s="259"/>
      <c r="F40" s="320"/>
      <c r="G40" s="148"/>
      <c r="H40" s="148"/>
      <c r="I40" s="148"/>
      <c r="J40" s="148"/>
      <c r="K40" s="148"/>
      <c r="L40" s="148"/>
    </row>
    <row r="41" spans="1:12" ht="14.25" customHeight="1" x14ac:dyDescent="0.2">
      <c r="A41" s="134"/>
      <c r="B41" s="83" t="s">
        <v>547</v>
      </c>
      <c r="C41" s="84"/>
      <c r="D41" s="85"/>
      <c r="E41" s="259"/>
      <c r="F41" s="320"/>
      <c r="G41" s="148"/>
      <c r="H41" s="148"/>
      <c r="I41" s="148"/>
      <c r="J41" s="148"/>
      <c r="K41" s="148"/>
      <c r="L41" s="148"/>
    </row>
    <row r="42" spans="1:12" ht="14.25" customHeight="1" x14ac:dyDescent="0.2">
      <c r="A42" s="238"/>
      <c r="B42" s="83" t="s">
        <v>630</v>
      </c>
      <c r="C42" s="84"/>
      <c r="D42" s="85"/>
      <c r="E42" s="259"/>
      <c r="F42" s="320"/>
      <c r="G42" s="148"/>
      <c r="H42" s="148"/>
      <c r="I42" s="148"/>
      <c r="J42" s="148"/>
      <c r="K42" s="148"/>
      <c r="L42" s="148"/>
    </row>
    <row r="43" spans="1:12" ht="14.25" customHeight="1" x14ac:dyDescent="0.2">
      <c r="A43" s="134"/>
      <c r="B43" s="87" t="s">
        <v>689</v>
      </c>
      <c r="C43" s="80"/>
      <c r="D43" s="298"/>
      <c r="E43" s="263"/>
      <c r="F43" s="320"/>
      <c r="G43" s="148"/>
      <c r="H43" s="148"/>
      <c r="I43" s="148"/>
      <c r="J43" s="148"/>
      <c r="K43" s="148"/>
      <c r="L43" s="148"/>
    </row>
    <row r="44" spans="1:12" ht="14.25" customHeight="1" x14ac:dyDescent="0.2">
      <c r="A44" s="134"/>
      <c r="B44" s="79" t="s">
        <v>690</v>
      </c>
      <c r="C44" s="80"/>
      <c r="D44" s="85"/>
      <c r="E44" s="259"/>
      <c r="F44" s="320"/>
      <c r="G44" s="148"/>
      <c r="H44" s="148"/>
      <c r="I44" s="148"/>
      <c r="J44" s="148"/>
      <c r="K44" s="148"/>
      <c r="L44" s="148"/>
    </row>
    <row r="45" spans="1:12" ht="14.25" customHeight="1" x14ac:dyDescent="0.2">
      <c r="A45" s="134"/>
      <c r="B45" s="79" t="s">
        <v>691</v>
      </c>
      <c r="C45" s="80"/>
      <c r="D45" s="85"/>
      <c r="E45" s="259"/>
      <c r="F45" s="320"/>
      <c r="G45" s="148"/>
      <c r="H45" s="148"/>
      <c r="I45" s="148"/>
      <c r="J45" s="148"/>
      <c r="K45" s="148"/>
      <c r="L45" s="148"/>
    </row>
    <row r="46" spans="1:12" ht="14.25" customHeight="1" x14ac:dyDescent="0.2">
      <c r="A46" s="134"/>
      <c r="B46" s="79" t="s">
        <v>268</v>
      </c>
      <c r="C46" s="80"/>
      <c r="D46" s="85"/>
      <c r="E46" s="259"/>
      <c r="F46" s="320"/>
      <c r="G46" s="148"/>
      <c r="H46" s="148"/>
      <c r="I46" s="148"/>
      <c r="J46" s="148"/>
      <c r="K46" s="148"/>
      <c r="L46" s="148"/>
    </row>
    <row r="47" spans="1:12" ht="14.25" customHeight="1" x14ac:dyDescent="0.2">
      <c r="A47" s="134"/>
      <c r="B47" s="81" t="s">
        <v>311</v>
      </c>
      <c r="C47" s="82"/>
      <c r="D47" s="299"/>
      <c r="E47" s="82"/>
      <c r="F47" s="324"/>
      <c r="G47" s="148"/>
      <c r="H47" s="148"/>
      <c r="I47" s="148"/>
      <c r="J47" s="148"/>
      <c r="K47" s="148"/>
      <c r="L47" s="148"/>
    </row>
    <row r="48" spans="1:12" x14ac:dyDescent="0.2">
      <c r="A48" s="134"/>
      <c r="B48" s="83" t="s">
        <v>269</v>
      </c>
      <c r="C48" s="84"/>
      <c r="D48" s="85"/>
      <c r="E48" s="259"/>
      <c r="F48" s="320"/>
      <c r="G48" s="148"/>
      <c r="H48" s="148"/>
      <c r="I48" s="148"/>
      <c r="J48" s="148"/>
      <c r="K48" s="148"/>
      <c r="L48" s="148"/>
    </row>
    <row r="49" spans="1:12" x14ac:dyDescent="0.2">
      <c r="A49" s="134"/>
      <c r="B49" s="83" t="s">
        <v>693</v>
      </c>
      <c r="C49" s="84"/>
      <c r="D49" s="85"/>
      <c r="E49" s="259"/>
      <c r="F49" s="320"/>
      <c r="G49" s="148"/>
      <c r="H49" s="148"/>
      <c r="I49" s="148"/>
      <c r="J49" s="148"/>
      <c r="K49" s="148"/>
      <c r="L49" s="148"/>
    </row>
    <row r="50" spans="1:12" x14ac:dyDescent="0.2">
      <c r="A50" s="134"/>
      <c r="B50" s="83" t="s">
        <v>270</v>
      </c>
      <c r="C50" s="84"/>
      <c r="D50" s="85"/>
      <c r="E50" s="259"/>
      <c r="F50" s="320"/>
      <c r="G50" s="148"/>
      <c r="H50" s="148"/>
      <c r="I50" s="148"/>
      <c r="J50" s="148"/>
      <c r="K50" s="148"/>
      <c r="L50" s="148"/>
    </row>
    <row r="51" spans="1:12" x14ac:dyDescent="0.2">
      <c r="A51" s="134"/>
      <c r="B51" s="83" t="s">
        <v>634</v>
      </c>
      <c r="C51" s="84"/>
      <c r="D51" s="85"/>
      <c r="E51" s="259"/>
      <c r="F51" s="320"/>
      <c r="G51" s="148"/>
      <c r="H51" s="148"/>
      <c r="I51" s="148"/>
      <c r="J51" s="148"/>
      <c r="K51" s="148"/>
      <c r="L51" s="148"/>
    </row>
    <row r="52" spans="1:12" x14ac:dyDescent="0.2">
      <c r="A52" s="134"/>
      <c r="B52" s="81" t="s">
        <v>310</v>
      </c>
      <c r="C52" s="82"/>
      <c r="D52" s="299"/>
      <c r="E52" s="82"/>
      <c r="F52" s="324"/>
      <c r="G52" s="148"/>
      <c r="H52" s="148"/>
      <c r="I52" s="148"/>
      <c r="J52" s="148"/>
      <c r="K52" s="148"/>
      <c r="L52" s="148"/>
    </row>
    <row r="53" spans="1:12" x14ac:dyDescent="0.2">
      <c r="A53" s="134"/>
      <c r="B53" s="79" t="s">
        <v>271</v>
      </c>
      <c r="C53" s="88"/>
      <c r="D53" s="85"/>
      <c r="E53" s="259"/>
      <c r="F53" s="320"/>
      <c r="G53" s="148"/>
      <c r="H53" s="148"/>
      <c r="I53" s="148"/>
      <c r="J53" s="148"/>
      <c r="K53" s="148"/>
      <c r="L53" s="148"/>
    </row>
    <row r="54" spans="1:12" x14ac:dyDescent="0.2">
      <c r="A54" s="134"/>
      <c r="B54" s="79" t="s">
        <v>272</v>
      </c>
      <c r="C54" s="88"/>
      <c r="D54" s="85"/>
      <c r="E54" s="261"/>
      <c r="F54" s="320"/>
      <c r="G54" s="148"/>
      <c r="H54" s="154"/>
      <c r="I54" s="148"/>
      <c r="J54" s="148"/>
      <c r="K54" s="148"/>
      <c r="L54" s="148"/>
    </row>
    <row r="55" spans="1:12" x14ac:dyDescent="0.2">
      <c r="A55" s="134"/>
      <c r="B55" s="89" t="s">
        <v>309</v>
      </c>
      <c r="C55" s="90"/>
      <c r="D55" s="302"/>
      <c r="E55" s="90"/>
      <c r="F55" s="325"/>
      <c r="G55" s="148"/>
      <c r="H55" s="148"/>
      <c r="I55" s="148"/>
      <c r="J55" s="148"/>
      <c r="K55" s="148"/>
      <c r="L55" s="148"/>
    </row>
    <row r="56" spans="1:12" x14ac:dyDescent="0.2">
      <c r="A56" s="134"/>
      <c r="B56" s="91" t="s">
        <v>273</v>
      </c>
      <c r="C56" s="92"/>
      <c r="D56" s="303"/>
      <c r="E56" s="264"/>
      <c r="F56" s="321"/>
      <c r="G56" s="148"/>
      <c r="H56" s="148"/>
      <c r="I56" s="148"/>
      <c r="J56" s="148"/>
      <c r="K56" s="148"/>
      <c r="L56" s="148"/>
    </row>
    <row r="57" spans="1:12" x14ac:dyDescent="0.2">
      <c r="A57" s="134"/>
      <c r="B57" s="91" t="s">
        <v>274</v>
      </c>
      <c r="C57" s="92"/>
      <c r="D57" s="304"/>
      <c r="E57" s="262"/>
      <c r="F57" s="326"/>
      <c r="G57" s="148"/>
      <c r="H57" s="148"/>
      <c r="I57" s="148"/>
      <c r="J57" s="148"/>
      <c r="K57" s="148"/>
      <c r="L57" s="148"/>
    </row>
    <row r="58" spans="1:12" x14ac:dyDescent="0.2">
      <c r="A58" s="134"/>
      <c r="B58" s="91" t="s">
        <v>275</v>
      </c>
      <c r="C58" s="92"/>
      <c r="D58" s="304"/>
      <c r="E58" s="262"/>
      <c r="F58" s="326"/>
      <c r="G58" s="148"/>
      <c r="H58" s="148"/>
      <c r="I58" s="148"/>
      <c r="J58" s="148"/>
      <c r="K58" s="148"/>
      <c r="L58" s="148"/>
    </row>
    <row r="59" spans="1:12" x14ac:dyDescent="0.2">
      <c r="A59" s="134"/>
      <c r="B59" s="91" t="s">
        <v>276</v>
      </c>
      <c r="C59" s="84"/>
      <c r="D59" s="85"/>
      <c r="E59" s="259"/>
      <c r="F59" s="320"/>
      <c r="G59" s="148"/>
      <c r="H59" s="148"/>
      <c r="I59" s="148"/>
      <c r="J59" s="148"/>
      <c r="K59" s="148"/>
      <c r="L59" s="148"/>
    </row>
    <row r="60" spans="1:12" x14ac:dyDescent="0.2">
      <c r="A60" s="134"/>
      <c r="B60" s="91" t="s">
        <v>548</v>
      </c>
      <c r="C60" s="84"/>
      <c r="D60" s="85"/>
      <c r="E60" s="259"/>
      <c r="F60" s="320"/>
      <c r="G60" s="148"/>
      <c r="H60" s="148"/>
      <c r="I60" s="148"/>
      <c r="J60" s="148"/>
      <c r="K60" s="148"/>
      <c r="L60" s="148"/>
    </row>
    <row r="61" spans="1:12" x14ac:dyDescent="0.2">
      <c r="A61" s="134"/>
      <c r="B61" s="91" t="s">
        <v>446</v>
      </c>
      <c r="C61" s="84"/>
      <c r="D61" s="85"/>
      <c r="E61" s="259"/>
      <c r="F61" s="320"/>
      <c r="G61" s="148"/>
      <c r="H61" s="148"/>
      <c r="I61" s="148"/>
      <c r="J61" s="148"/>
      <c r="K61" s="148"/>
      <c r="L61" s="148"/>
    </row>
    <row r="62" spans="1:12" x14ac:dyDescent="0.2">
      <c r="A62" s="134"/>
      <c r="B62" s="91" t="s">
        <v>447</v>
      </c>
      <c r="C62" s="84"/>
      <c r="D62" s="85"/>
      <c r="E62" s="259"/>
      <c r="F62" s="320"/>
      <c r="G62" s="148"/>
      <c r="H62" s="148"/>
      <c r="I62" s="148"/>
      <c r="J62" s="148"/>
      <c r="K62" s="148"/>
      <c r="L62" s="148"/>
    </row>
    <row r="63" spans="1:12" x14ac:dyDescent="0.2">
      <c r="A63" s="134"/>
      <c r="B63" s="91" t="s">
        <v>448</v>
      </c>
      <c r="C63" s="84"/>
      <c r="D63" s="85"/>
      <c r="E63" s="259"/>
      <c r="F63" s="320"/>
      <c r="G63" s="148"/>
      <c r="H63" s="148"/>
      <c r="I63" s="148"/>
      <c r="J63" s="148"/>
      <c r="K63" s="148"/>
      <c r="L63" s="148"/>
    </row>
    <row r="64" spans="1:12" x14ac:dyDescent="0.2">
      <c r="A64" s="134"/>
      <c r="B64" s="91" t="s">
        <v>590</v>
      </c>
      <c r="C64" s="84"/>
      <c r="D64" s="85"/>
      <c r="E64" s="265"/>
      <c r="F64" s="320"/>
      <c r="G64" s="148"/>
      <c r="H64" s="148"/>
      <c r="I64" s="148"/>
      <c r="J64" s="148"/>
      <c r="K64" s="148"/>
      <c r="L64" s="148"/>
    </row>
    <row r="65" spans="1:13" x14ac:dyDescent="0.2">
      <c r="A65" s="134"/>
      <c r="B65" s="91" t="s">
        <v>445</v>
      </c>
      <c r="C65" s="84"/>
      <c r="D65" s="301"/>
      <c r="E65" s="259"/>
      <c r="F65" s="320"/>
      <c r="G65" s="148"/>
      <c r="H65" s="148"/>
      <c r="I65" s="148"/>
      <c r="J65" s="148"/>
      <c r="K65" s="148"/>
      <c r="L65" s="148"/>
    </row>
    <row r="66" spans="1:13" x14ac:dyDescent="0.2">
      <c r="A66" s="134"/>
      <c r="B66" s="91" t="s">
        <v>277</v>
      </c>
      <c r="C66" s="84"/>
      <c r="D66" s="85"/>
      <c r="E66" s="259"/>
      <c r="F66" s="320"/>
      <c r="G66" s="148"/>
      <c r="H66" s="148"/>
      <c r="I66" s="148"/>
      <c r="J66" s="148"/>
      <c r="K66" s="148"/>
      <c r="L66" s="148"/>
    </row>
    <row r="67" spans="1:13" x14ac:dyDescent="0.2">
      <c r="A67" s="134"/>
      <c r="B67" s="91" t="s">
        <v>278</v>
      </c>
      <c r="C67" s="84"/>
      <c r="D67" s="85"/>
      <c r="E67" s="259"/>
      <c r="F67" s="320"/>
      <c r="G67" s="148"/>
      <c r="H67" s="148"/>
      <c r="I67" s="148"/>
      <c r="J67" s="148"/>
      <c r="K67" s="148"/>
      <c r="L67" s="148"/>
    </row>
    <row r="68" spans="1:13" x14ac:dyDescent="0.2">
      <c r="A68" s="134"/>
      <c r="B68" s="89" t="s">
        <v>312</v>
      </c>
      <c r="C68" s="90"/>
      <c r="D68" s="302"/>
      <c r="E68" s="90"/>
      <c r="F68" s="325"/>
      <c r="G68" s="148"/>
      <c r="H68" s="148"/>
      <c r="I68" s="148"/>
      <c r="J68" s="148"/>
      <c r="K68" s="148"/>
      <c r="L68" s="148"/>
    </row>
    <row r="69" spans="1:13" x14ac:dyDescent="0.2">
      <c r="A69" s="134"/>
      <c r="B69" s="284" t="s">
        <v>2259</v>
      </c>
      <c r="C69" s="283"/>
      <c r="D69" s="305"/>
      <c r="E69" s="259"/>
      <c r="F69" s="320"/>
      <c r="G69" s="148"/>
      <c r="H69" s="148"/>
      <c r="I69" s="148"/>
      <c r="J69" s="148"/>
      <c r="K69" s="148"/>
      <c r="L69" s="148"/>
    </row>
    <row r="70" spans="1:13" x14ac:dyDescent="0.2">
      <c r="A70" s="134"/>
      <c r="B70" s="285" t="s">
        <v>2258</v>
      </c>
      <c r="C70" s="85"/>
      <c r="D70" s="85"/>
      <c r="E70" s="343" t="s">
        <v>672</v>
      </c>
      <c r="F70" s="306"/>
      <c r="G70" s="148"/>
      <c r="H70" s="148"/>
      <c r="I70" s="148"/>
      <c r="J70" s="148"/>
      <c r="K70" s="148"/>
      <c r="L70" s="148"/>
    </row>
    <row r="71" spans="1:13" x14ac:dyDescent="0.2">
      <c r="A71" s="134"/>
      <c r="B71" s="285" t="s">
        <v>2258</v>
      </c>
      <c r="C71" s="85"/>
      <c r="D71" s="85"/>
      <c r="E71" s="343" t="s">
        <v>672</v>
      </c>
      <c r="F71" s="306"/>
      <c r="G71" s="148"/>
      <c r="H71" s="148"/>
      <c r="I71" s="148"/>
      <c r="J71" s="148"/>
      <c r="K71" s="148"/>
      <c r="L71" s="148"/>
    </row>
    <row r="72" spans="1:13" x14ac:dyDescent="0.2">
      <c r="A72" s="134"/>
      <c r="B72" s="285" t="s">
        <v>2258</v>
      </c>
      <c r="C72" s="85"/>
      <c r="D72" s="85"/>
      <c r="E72" s="343" t="s">
        <v>672</v>
      </c>
      <c r="F72" s="306"/>
      <c r="G72" s="148"/>
      <c r="H72" s="148"/>
      <c r="I72" s="148"/>
      <c r="J72" s="148"/>
      <c r="K72" s="148"/>
      <c r="L72" s="148"/>
    </row>
    <row r="73" spans="1:13" x14ac:dyDescent="0.2">
      <c r="A73" s="134"/>
      <c r="B73" s="285" t="s">
        <v>2258</v>
      </c>
      <c r="C73" s="85"/>
      <c r="D73" s="85"/>
      <c r="E73" s="343" t="s">
        <v>672</v>
      </c>
      <c r="F73" s="306"/>
      <c r="G73" s="148"/>
      <c r="H73" s="148"/>
      <c r="I73" s="148"/>
      <c r="J73" s="148"/>
      <c r="K73" s="148"/>
      <c r="L73" s="148"/>
    </row>
    <row r="74" spans="1:13" x14ac:dyDescent="0.2">
      <c r="A74" s="134"/>
      <c r="B74" s="285" t="s">
        <v>2258</v>
      </c>
      <c r="C74" s="85"/>
      <c r="D74" s="85"/>
      <c r="E74" s="343" t="s">
        <v>672</v>
      </c>
      <c r="F74" s="306"/>
      <c r="G74" s="148"/>
      <c r="H74" s="148"/>
      <c r="I74" s="148"/>
      <c r="J74" s="148"/>
      <c r="K74" s="148"/>
      <c r="L74" s="148"/>
    </row>
    <row r="75" spans="1:13" x14ac:dyDescent="0.2">
      <c r="A75" s="134"/>
      <c r="B75" s="383" t="s">
        <v>558</v>
      </c>
      <c r="C75" s="383"/>
      <c r="D75" s="306"/>
      <c r="E75" s="262"/>
      <c r="F75" s="326" t="str">
        <f>_xlfn.IFNA(HLOOKUP(D75,const!B32:Q33,2,FALSE),"")</f>
        <v/>
      </c>
      <c r="G75" s="148"/>
      <c r="H75" s="148"/>
      <c r="I75" s="148"/>
      <c r="J75" s="148"/>
      <c r="K75" s="148"/>
      <c r="L75" s="148"/>
    </row>
    <row r="76" spans="1:13" x14ac:dyDescent="0.2">
      <c r="A76" s="134"/>
      <c r="B76" s="86" t="s">
        <v>313</v>
      </c>
      <c r="C76" s="52"/>
      <c r="D76" s="300"/>
      <c r="E76" s="52"/>
      <c r="F76" s="322"/>
      <c r="G76" s="148"/>
      <c r="H76" s="148"/>
      <c r="I76" s="148"/>
      <c r="J76" s="148"/>
      <c r="K76" s="148"/>
      <c r="L76" s="148"/>
    </row>
    <row r="77" spans="1:13" x14ac:dyDescent="0.2">
      <c r="A77" s="134"/>
      <c r="B77" s="83" t="s">
        <v>298</v>
      </c>
      <c r="C77" s="84"/>
      <c r="D77" s="85"/>
      <c r="E77" s="259"/>
      <c r="F77" s="320"/>
      <c r="G77" s="148"/>
      <c r="H77" s="148"/>
      <c r="I77" s="148"/>
      <c r="J77" s="148"/>
      <c r="K77" s="148"/>
      <c r="L77" s="148"/>
    </row>
    <row r="78" spans="1:13" x14ac:dyDescent="0.2">
      <c r="A78" s="134"/>
      <c r="B78" s="83" t="s">
        <v>297</v>
      </c>
      <c r="C78" s="84"/>
      <c r="D78" s="85"/>
      <c r="E78" s="259"/>
      <c r="F78" s="320"/>
      <c r="G78" s="148"/>
      <c r="H78" s="148"/>
      <c r="I78" s="148"/>
      <c r="J78" s="148"/>
      <c r="K78" s="148"/>
      <c r="L78" s="148"/>
    </row>
    <row r="79" spans="1:13" x14ac:dyDescent="0.2">
      <c r="A79" s="134"/>
      <c r="B79" s="83" t="s">
        <v>261</v>
      </c>
      <c r="C79" s="84"/>
      <c r="D79" s="298"/>
      <c r="E79" s="266"/>
      <c r="F79" s="320"/>
      <c r="G79" s="148"/>
      <c r="H79" s="148"/>
    </row>
    <row r="80" spans="1:13" x14ac:dyDescent="0.2">
      <c r="A80" s="120"/>
      <c r="B80" s="95" t="s">
        <v>471</v>
      </c>
      <c r="C80" s="96"/>
      <c r="D80" s="307"/>
      <c r="E80" s="96"/>
      <c r="F80" s="328"/>
      <c r="G80" s="148"/>
      <c r="H80" s="148"/>
      <c r="I80" s="248"/>
      <c r="J80" s="248"/>
      <c r="K80" s="248"/>
      <c r="L80" s="248"/>
      <c r="M80" s="65"/>
    </row>
    <row r="81" spans="1:13" x14ac:dyDescent="0.2">
      <c r="A81" s="120"/>
      <c r="B81" s="97"/>
      <c r="C81" s="53"/>
      <c r="D81" s="308"/>
      <c r="E81" s="53"/>
      <c r="F81" s="329"/>
      <c r="G81" s="148"/>
      <c r="H81" s="148"/>
      <c r="I81" s="248"/>
      <c r="J81" s="248"/>
      <c r="K81" s="248"/>
      <c r="L81" s="248"/>
      <c r="M81" s="65"/>
    </row>
    <row r="82" spans="1:13" x14ac:dyDescent="0.2">
      <c r="A82" s="120"/>
      <c r="B82" s="287" t="s">
        <v>2263</v>
      </c>
      <c r="C82" s="288" t="s">
        <v>2262</v>
      </c>
      <c r="D82" s="309" t="s">
        <v>636</v>
      </c>
      <c r="E82" s="286" t="s">
        <v>637</v>
      </c>
      <c r="F82" s="330" t="s">
        <v>299</v>
      </c>
      <c r="G82" s="148"/>
      <c r="H82" s="148"/>
      <c r="I82" s="148"/>
      <c r="J82" s="148"/>
      <c r="K82" s="148"/>
      <c r="L82" s="148"/>
    </row>
    <row r="83" spans="1:13" x14ac:dyDescent="0.2">
      <c r="A83" s="120"/>
      <c r="B83" s="312"/>
      <c r="C83" s="306"/>
      <c r="D83" s="306"/>
      <c r="E83" s="316"/>
      <c r="F83" s="317"/>
      <c r="G83" s="148"/>
      <c r="H83" s="148"/>
      <c r="I83" s="148" t="str">
        <f>_xlfn.IFNA(HLOOKUP(E83,const!$B$9:$E$10,2,FALSE),"")</f>
        <v/>
      </c>
      <c r="J83" s="148"/>
      <c r="K83" s="148"/>
      <c r="L83" s="148"/>
    </row>
    <row r="84" spans="1:13" x14ac:dyDescent="0.2">
      <c r="A84" s="120"/>
      <c r="B84" s="312"/>
      <c r="C84" s="306"/>
      <c r="D84" s="310"/>
      <c r="E84" s="316"/>
      <c r="F84" s="317"/>
      <c r="G84" s="148"/>
      <c r="H84" s="148"/>
      <c r="I84" s="148" t="str">
        <f>_xlfn.IFNA(HLOOKUP(E84,const!$B$9:$E$10,2,FALSE),"")</f>
        <v/>
      </c>
      <c r="J84" s="148"/>
      <c r="K84" s="148"/>
      <c r="L84" s="148"/>
    </row>
    <row r="85" spans="1:13" x14ac:dyDescent="0.2">
      <c r="A85" s="120"/>
      <c r="B85" s="312"/>
      <c r="C85" s="306"/>
      <c r="D85" s="310"/>
      <c r="E85" s="316"/>
      <c r="F85" s="317"/>
      <c r="G85" s="148"/>
      <c r="H85" s="148"/>
      <c r="I85" s="148" t="str">
        <f>_xlfn.IFNA(HLOOKUP(E85,const!$B$9:$E$10,2,FALSE),"")</f>
        <v/>
      </c>
      <c r="J85" s="148"/>
      <c r="K85" s="148"/>
      <c r="L85" s="148"/>
    </row>
    <row r="86" spans="1:13" x14ac:dyDescent="0.2">
      <c r="A86" s="120"/>
      <c r="B86" s="312"/>
      <c r="C86" s="306"/>
      <c r="D86" s="310"/>
      <c r="E86" s="316"/>
      <c r="F86" s="317"/>
      <c r="G86" s="148"/>
      <c r="H86" s="148"/>
      <c r="I86" s="148" t="str">
        <f>_xlfn.IFNA(HLOOKUP(E86,const!$B$9:$E$10,2,FALSE),"")</f>
        <v/>
      </c>
      <c r="J86" s="148"/>
      <c r="K86" s="148"/>
      <c r="L86" s="148"/>
    </row>
    <row r="87" spans="1:13" x14ac:dyDescent="0.2">
      <c r="A87" s="120"/>
      <c r="B87" s="312"/>
      <c r="C87" s="306"/>
      <c r="D87" s="310"/>
      <c r="E87" s="316"/>
      <c r="F87" s="317"/>
      <c r="G87" s="148"/>
      <c r="H87" s="148"/>
      <c r="I87" s="148" t="str">
        <f>_xlfn.IFNA(HLOOKUP(E87,const!$B$9:$E$10,2,FALSE),"")</f>
        <v/>
      </c>
      <c r="J87" s="148"/>
      <c r="K87" s="148"/>
      <c r="L87" s="148"/>
    </row>
    <row r="88" spans="1:13" x14ac:dyDescent="0.2">
      <c r="A88" s="120"/>
      <c r="B88" s="98" t="s">
        <v>593</v>
      </c>
      <c r="C88" s="99"/>
      <c r="D88" s="311"/>
      <c r="E88" s="243"/>
      <c r="F88" s="331"/>
      <c r="G88" s="148"/>
      <c r="H88" s="148"/>
      <c r="I88" s="148"/>
      <c r="J88" s="148"/>
      <c r="K88" s="148"/>
      <c r="L88" s="148"/>
    </row>
    <row r="89" spans="1:13" x14ac:dyDescent="0.2">
      <c r="A89" s="120"/>
      <c r="B89" s="100" t="s">
        <v>306</v>
      </c>
      <c r="C89" s="101"/>
      <c r="D89" s="312"/>
      <c r="E89" s="267"/>
      <c r="F89" s="332"/>
      <c r="G89" s="148"/>
      <c r="H89" s="148"/>
      <c r="I89" s="148"/>
      <c r="J89" s="148"/>
      <c r="K89" s="148"/>
      <c r="L89" s="148"/>
    </row>
    <row r="90" spans="1:13" x14ac:dyDescent="0.2">
      <c r="A90" s="120"/>
      <c r="B90" s="100" t="s">
        <v>307</v>
      </c>
      <c r="C90" s="101"/>
      <c r="D90" s="312"/>
      <c r="E90" s="267"/>
      <c r="F90" s="332"/>
      <c r="G90" s="148"/>
      <c r="H90" s="148"/>
      <c r="I90" s="148"/>
      <c r="J90" s="148"/>
      <c r="K90" s="148"/>
      <c r="L90" s="148"/>
    </row>
    <row r="91" spans="1:13" x14ac:dyDescent="0.2">
      <c r="A91" s="120"/>
      <c r="B91" s="375" t="s">
        <v>279</v>
      </c>
      <c r="C91" s="376"/>
      <c r="D91" s="376"/>
      <c r="E91" s="376"/>
      <c r="F91" s="377"/>
      <c r="G91" s="148"/>
      <c r="H91" s="148"/>
      <c r="I91" s="148"/>
      <c r="J91" s="148"/>
      <c r="K91" s="148"/>
      <c r="L91" s="148"/>
    </row>
    <row r="92" spans="1:13" x14ac:dyDescent="0.2">
      <c r="A92" s="120"/>
      <c r="B92" s="378"/>
      <c r="C92" s="378"/>
      <c r="D92" s="378"/>
      <c r="E92" s="378"/>
      <c r="F92" s="378"/>
      <c r="G92" s="148"/>
      <c r="H92" s="148"/>
      <c r="I92" s="148"/>
      <c r="J92" s="148"/>
      <c r="K92" s="148"/>
      <c r="L92" s="148"/>
    </row>
    <row r="93" spans="1:13" x14ac:dyDescent="0.2">
      <c r="A93" s="120"/>
      <c r="B93" s="148"/>
      <c r="C93" s="155"/>
      <c r="D93" s="339"/>
      <c r="E93" s="155"/>
      <c r="F93" s="339"/>
      <c r="G93" s="148"/>
      <c r="H93" s="148"/>
      <c r="I93" s="148"/>
      <c r="J93" s="148"/>
      <c r="K93" s="148"/>
      <c r="L93" s="148"/>
    </row>
    <row r="94" spans="1:13" x14ac:dyDescent="0.2">
      <c r="A94" s="2"/>
      <c r="B94" s="200" t="s">
        <v>552</v>
      </c>
      <c r="C94" s="2"/>
      <c r="D94" s="314" t="str">
        <f>'Dane personalne'!D94</f>
        <v/>
      </c>
      <c r="E94" s="199"/>
      <c r="F94" s="350" t="str">
        <f>'Dane personalne'!F94</f>
        <v/>
      </c>
      <c r="M94"/>
    </row>
    <row r="95" spans="1:13" x14ac:dyDescent="0.2">
      <c r="A95" s="120"/>
      <c r="B95" s="120"/>
      <c r="C95" s="120"/>
      <c r="D95" s="340"/>
      <c r="E95" s="120"/>
      <c r="F95" s="340"/>
      <c r="G95" s="148"/>
      <c r="H95" s="148"/>
      <c r="I95" s="148"/>
      <c r="J95" s="148"/>
      <c r="K95" s="148"/>
      <c r="L95" s="148"/>
    </row>
    <row r="96" spans="1:13" x14ac:dyDescent="0.2">
      <c r="A96" s="120"/>
      <c r="B96" s="120"/>
      <c r="C96" s="120"/>
      <c r="D96" s="340"/>
      <c r="E96" s="120"/>
      <c r="F96" s="340"/>
      <c r="G96" s="148"/>
      <c r="H96" s="148"/>
      <c r="I96" s="148"/>
      <c r="J96" s="148"/>
      <c r="K96" s="148"/>
      <c r="L96" s="148"/>
    </row>
    <row r="97" spans="1:12" x14ac:dyDescent="0.2">
      <c r="A97" s="120"/>
      <c r="B97" s="120"/>
      <c r="C97" s="120"/>
      <c r="D97" s="340"/>
      <c r="E97" s="120"/>
      <c r="F97" s="340"/>
      <c r="G97" s="148"/>
      <c r="H97" s="148"/>
      <c r="I97" s="148"/>
      <c r="J97" s="148"/>
      <c r="K97" s="148"/>
      <c r="L97" s="148"/>
    </row>
    <row r="98" spans="1:12" x14ac:dyDescent="0.2">
      <c r="A98" s="120"/>
      <c r="B98" s="148"/>
      <c r="C98" s="120"/>
      <c r="D98" s="339"/>
      <c r="E98" s="155"/>
      <c r="F98" s="340"/>
      <c r="G98" s="148"/>
      <c r="H98" s="148"/>
      <c r="I98" s="148"/>
      <c r="J98" s="148"/>
      <c r="K98" s="148"/>
      <c r="L98" s="148"/>
    </row>
    <row r="99" spans="1:12" x14ac:dyDescent="0.2">
      <c r="A99" s="120"/>
      <c r="B99" s="120"/>
      <c r="C99" s="120"/>
      <c r="D99" s="340"/>
      <c r="E99" s="120"/>
      <c r="F99" s="340"/>
      <c r="G99" s="148"/>
      <c r="H99" s="148"/>
      <c r="I99" s="148"/>
      <c r="J99" s="148"/>
      <c r="K99" s="148"/>
      <c r="L99" s="148"/>
    </row>
    <row r="100" spans="1:12" x14ac:dyDescent="0.2">
      <c r="A100" s="120"/>
      <c r="B100" s="120"/>
      <c r="C100" s="120"/>
      <c r="D100" s="340"/>
      <c r="E100" s="120"/>
      <c r="F100" s="340"/>
      <c r="G100" s="148"/>
      <c r="H100" s="148"/>
      <c r="I100" s="148"/>
      <c r="J100" s="148"/>
      <c r="K100" s="148"/>
      <c r="L100" s="148"/>
    </row>
    <row r="101" spans="1:12" x14ac:dyDescent="0.2">
      <c r="A101" s="120"/>
      <c r="B101" s="120"/>
      <c r="C101" s="120"/>
      <c r="D101" s="340"/>
      <c r="E101" s="120"/>
      <c r="F101" s="340"/>
      <c r="G101" s="148"/>
      <c r="H101" s="148"/>
      <c r="I101" s="148"/>
      <c r="J101" s="148"/>
      <c r="K101" s="148"/>
      <c r="L101" s="148"/>
    </row>
    <row r="102" spans="1:12" x14ac:dyDescent="0.2">
      <c r="A102" s="120"/>
      <c r="B102" s="120"/>
      <c r="C102" s="120"/>
      <c r="D102" s="340"/>
      <c r="E102" s="120"/>
      <c r="F102" s="340"/>
      <c r="G102" s="148"/>
      <c r="H102" s="148"/>
      <c r="I102" s="148"/>
      <c r="J102" s="148"/>
      <c r="K102" s="148"/>
      <c r="L102" s="148"/>
    </row>
    <row r="103" spans="1:12" x14ac:dyDescent="0.2">
      <c r="A103" s="120"/>
      <c r="B103" s="120"/>
      <c r="C103" s="120"/>
      <c r="D103" s="340"/>
      <c r="E103" s="120"/>
      <c r="F103" s="340"/>
      <c r="G103" s="148"/>
      <c r="H103" s="148"/>
      <c r="I103" s="148"/>
      <c r="J103" s="148"/>
      <c r="K103" s="148"/>
      <c r="L103" s="148"/>
    </row>
    <row r="104" spans="1:12" x14ac:dyDescent="0.2">
      <c r="A104" s="120"/>
      <c r="B104" s="120"/>
      <c r="C104" s="120"/>
      <c r="D104" s="340"/>
      <c r="E104" s="120"/>
      <c r="F104" s="340"/>
      <c r="G104" s="148"/>
      <c r="H104" s="148"/>
      <c r="I104" s="148"/>
      <c r="J104" s="148"/>
      <c r="K104" s="148"/>
      <c r="L104" s="148"/>
    </row>
    <row r="105" spans="1:12" x14ac:dyDescent="0.2">
      <c r="A105" s="120"/>
      <c r="B105" s="120"/>
      <c r="C105" s="120"/>
      <c r="D105" s="340"/>
      <c r="E105" s="120"/>
      <c r="F105" s="340"/>
      <c r="G105" s="148"/>
      <c r="H105" s="148"/>
      <c r="I105" s="148"/>
      <c r="J105" s="148"/>
      <c r="K105" s="148"/>
      <c r="L105" s="148"/>
    </row>
    <row r="106" spans="1:12" x14ac:dyDescent="0.2">
      <c r="A106" s="120"/>
      <c r="B106" s="120"/>
      <c r="C106" s="120"/>
      <c r="D106" s="340"/>
      <c r="E106" s="120"/>
      <c r="F106" s="340"/>
      <c r="G106" s="148"/>
      <c r="H106" s="148"/>
      <c r="I106" s="148"/>
      <c r="J106" s="148"/>
      <c r="K106" s="148"/>
      <c r="L106" s="148"/>
    </row>
    <row r="107" spans="1:12" x14ac:dyDescent="0.2">
      <c r="A107" s="120"/>
      <c r="B107" s="120"/>
      <c r="C107" s="120"/>
      <c r="D107" s="340"/>
      <c r="E107" s="120"/>
      <c r="F107" s="340"/>
      <c r="G107" s="148"/>
      <c r="H107" s="148"/>
      <c r="I107" s="148"/>
      <c r="J107" s="148"/>
      <c r="K107" s="148"/>
      <c r="L107" s="148"/>
    </row>
    <row r="108" spans="1:12" x14ac:dyDescent="0.2">
      <c r="A108" s="120"/>
      <c r="B108" s="120"/>
      <c r="C108" s="120"/>
      <c r="D108" s="340"/>
      <c r="E108" s="120"/>
      <c r="F108" s="340"/>
      <c r="G108" s="148"/>
      <c r="H108" s="148"/>
      <c r="I108" s="148"/>
      <c r="J108" s="148"/>
      <c r="K108" s="148"/>
      <c r="L108" s="148"/>
    </row>
    <row r="109" spans="1:12" x14ac:dyDescent="0.2">
      <c r="A109" s="120"/>
      <c r="B109" s="120"/>
      <c r="C109" s="120"/>
      <c r="D109" s="340"/>
      <c r="E109" s="120"/>
      <c r="F109" s="340"/>
      <c r="G109" s="148"/>
      <c r="H109" s="148"/>
      <c r="I109" s="148"/>
      <c r="J109" s="148"/>
      <c r="K109" s="148"/>
      <c r="L109" s="148"/>
    </row>
    <row r="110" spans="1:12" x14ac:dyDescent="0.2">
      <c r="A110" s="120"/>
      <c r="B110" s="120"/>
      <c r="C110" s="120"/>
      <c r="D110" s="340"/>
      <c r="E110" s="120"/>
      <c r="F110" s="340"/>
      <c r="G110" s="148"/>
      <c r="H110" s="148"/>
      <c r="I110" s="148"/>
      <c r="J110" s="148"/>
      <c r="K110" s="148"/>
      <c r="L110" s="148"/>
    </row>
    <row r="111" spans="1:12" x14ac:dyDescent="0.2">
      <c r="A111" s="120"/>
      <c r="B111" s="120"/>
      <c r="C111" s="120"/>
      <c r="D111" s="340"/>
      <c r="E111" s="120"/>
      <c r="F111" s="340"/>
      <c r="G111" s="148"/>
      <c r="H111" s="148"/>
      <c r="I111" s="148"/>
      <c r="J111" s="148"/>
      <c r="K111" s="148"/>
      <c r="L111" s="148"/>
    </row>
    <row r="112" spans="1:12" x14ac:dyDescent="0.2">
      <c r="A112" s="120"/>
      <c r="B112" s="120"/>
      <c r="C112" s="120"/>
      <c r="D112" s="340"/>
      <c r="E112" s="120"/>
      <c r="F112" s="340"/>
      <c r="G112" s="148"/>
      <c r="H112" s="148"/>
      <c r="I112" s="148"/>
      <c r="J112" s="148"/>
      <c r="K112" s="148"/>
      <c r="L112" s="148"/>
    </row>
    <row r="113" spans="1:12" x14ac:dyDescent="0.2">
      <c r="A113" s="120"/>
      <c r="B113" s="120"/>
      <c r="C113" s="120"/>
      <c r="D113" s="340"/>
      <c r="E113" s="120"/>
      <c r="F113" s="340"/>
      <c r="G113" s="148"/>
      <c r="H113" s="148"/>
      <c r="I113" s="148"/>
      <c r="J113" s="148"/>
      <c r="K113" s="148"/>
      <c r="L113" s="148"/>
    </row>
    <row r="114" spans="1:12" x14ac:dyDescent="0.2">
      <c r="A114" s="120"/>
      <c r="B114" s="120"/>
      <c r="C114" s="120"/>
      <c r="D114" s="340"/>
      <c r="E114" s="120"/>
      <c r="F114" s="340"/>
      <c r="G114" s="148"/>
      <c r="H114" s="148"/>
      <c r="I114" s="148"/>
      <c r="J114" s="148"/>
      <c r="K114" s="148"/>
      <c r="L114" s="148"/>
    </row>
    <row r="115" spans="1:12" x14ac:dyDescent="0.2">
      <c r="A115" s="120"/>
      <c r="B115" s="120"/>
      <c r="C115" s="120"/>
      <c r="D115" s="340"/>
      <c r="E115" s="120"/>
      <c r="F115" s="340"/>
      <c r="G115" s="148"/>
      <c r="H115" s="148"/>
      <c r="I115" s="148"/>
      <c r="J115" s="148"/>
      <c r="K115" s="148"/>
      <c r="L115" s="148"/>
    </row>
    <row r="116" spans="1:12" x14ac:dyDescent="0.2">
      <c r="A116" s="120"/>
      <c r="B116" s="120"/>
      <c r="C116" s="120"/>
      <c r="D116" s="340"/>
      <c r="E116" s="120"/>
      <c r="F116" s="340"/>
      <c r="G116" s="148"/>
      <c r="H116" s="148"/>
      <c r="I116" s="148"/>
      <c r="J116" s="148"/>
      <c r="K116" s="148"/>
      <c r="L116" s="148"/>
    </row>
    <row r="117" spans="1:12" x14ac:dyDescent="0.2">
      <c r="A117" s="120"/>
      <c r="B117" s="120"/>
      <c r="C117" s="120"/>
      <c r="D117" s="340"/>
      <c r="E117" s="120"/>
      <c r="F117" s="340"/>
      <c r="G117" s="148"/>
      <c r="H117" s="148"/>
      <c r="I117" s="148"/>
      <c r="J117" s="148"/>
      <c r="K117" s="148"/>
      <c r="L117" s="148"/>
    </row>
    <row r="118" spans="1:12" x14ac:dyDescent="0.2">
      <c r="A118" s="120"/>
      <c r="B118" s="120"/>
      <c r="C118" s="120"/>
      <c r="D118" s="340"/>
      <c r="E118" s="120"/>
      <c r="F118" s="340"/>
      <c r="G118" s="148"/>
      <c r="H118" s="148"/>
      <c r="I118" s="148"/>
      <c r="J118" s="148"/>
      <c r="K118" s="148"/>
      <c r="L118" s="148"/>
    </row>
    <row r="119" spans="1:12" x14ac:dyDescent="0.2">
      <c r="A119" s="120"/>
      <c r="B119" s="120"/>
      <c r="C119" s="120"/>
      <c r="D119" s="340"/>
      <c r="E119" s="120"/>
      <c r="F119" s="340"/>
      <c r="G119" s="148"/>
      <c r="H119" s="148"/>
      <c r="I119" s="148"/>
      <c r="J119" s="148"/>
      <c r="K119" s="148"/>
      <c r="L119" s="148"/>
    </row>
    <row r="120" spans="1:12" x14ac:dyDescent="0.2">
      <c r="A120" s="120"/>
      <c r="B120" s="120"/>
      <c r="C120" s="120"/>
      <c r="D120" s="340"/>
      <c r="E120" s="120"/>
      <c r="F120" s="340"/>
      <c r="G120" s="148"/>
      <c r="H120" s="148"/>
      <c r="I120" s="148"/>
      <c r="J120" s="148"/>
      <c r="K120" s="148"/>
      <c r="L120" s="148"/>
    </row>
    <row r="121" spans="1:12" x14ac:dyDescent="0.2">
      <c r="A121" s="120"/>
      <c r="B121" s="120"/>
      <c r="C121" s="120"/>
      <c r="D121" s="340"/>
      <c r="E121" s="120"/>
      <c r="F121" s="340"/>
      <c r="G121" s="148"/>
      <c r="H121" s="148"/>
      <c r="I121" s="148"/>
      <c r="J121" s="148"/>
      <c r="K121" s="148"/>
      <c r="L121" s="148"/>
    </row>
    <row r="122" spans="1:12" x14ac:dyDescent="0.2">
      <c r="A122" s="120"/>
      <c r="B122" s="120"/>
      <c r="C122" s="120"/>
      <c r="D122" s="340"/>
      <c r="E122" s="120"/>
      <c r="F122" s="340"/>
      <c r="G122" s="148"/>
      <c r="H122" s="148"/>
      <c r="I122" s="148"/>
      <c r="J122" s="148"/>
      <c r="K122" s="148"/>
      <c r="L122" s="148"/>
    </row>
    <row r="123" spans="1:12" x14ac:dyDescent="0.2">
      <c r="A123" s="120"/>
      <c r="B123" s="120"/>
      <c r="C123" s="120"/>
      <c r="D123" s="340"/>
      <c r="E123" s="120"/>
      <c r="F123" s="340"/>
      <c r="G123" s="148"/>
      <c r="H123" s="148"/>
      <c r="I123" s="148"/>
      <c r="J123" s="148"/>
      <c r="K123" s="148"/>
      <c r="L123" s="148"/>
    </row>
    <row r="124" spans="1:12" x14ac:dyDescent="0.2">
      <c r="A124" s="120"/>
      <c r="B124" s="120"/>
      <c r="C124" s="120"/>
      <c r="D124" s="340"/>
      <c r="E124" s="120"/>
      <c r="F124" s="340"/>
      <c r="G124" s="148"/>
      <c r="H124" s="148"/>
      <c r="I124" s="148"/>
      <c r="J124" s="148"/>
      <c r="K124" s="148"/>
      <c r="L124" s="148"/>
    </row>
    <row r="125" spans="1:12" x14ac:dyDescent="0.2">
      <c r="A125" s="120"/>
      <c r="B125" s="120"/>
      <c r="C125" s="120"/>
      <c r="D125" s="340"/>
      <c r="E125" s="120"/>
      <c r="F125" s="340"/>
      <c r="G125" s="148"/>
      <c r="H125" s="148"/>
      <c r="I125" s="148"/>
      <c r="J125" s="148"/>
      <c r="K125" s="148"/>
      <c r="L125" s="148"/>
    </row>
    <row r="126" spans="1:12" x14ac:dyDescent="0.2">
      <c r="A126" s="120"/>
      <c r="B126" s="120"/>
      <c r="C126" s="120"/>
      <c r="D126" s="340"/>
      <c r="E126" s="120"/>
      <c r="F126" s="340"/>
      <c r="G126" s="148"/>
      <c r="H126" s="148"/>
      <c r="I126" s="148"/>
      <c r="J126" s="148"/>
      <c r="K126" s="148"/>
      <c r="L126" s="148"/>
    </row>
    <row r="127" spans="1:12" x14ac:dyDescent="0.2">
      <c r="A127" s="120"/>
      <c r="B127" s="120"/>
      <c r="C127" s="120"/>
      <c r="D127" s="340"/>
      <c r="E127" s="120"/>
      <c r="F127" s="340"/>
      <c r="G127" s="148"/>
      <c r="H127" s="148"/>
      <c r="I127" s="148"/>
      <c r="J127" s="148"/>
      <c r="K127" s="148"/>
      <c r="L127" s="148"/>
    </row>
    <row r="128" spans="1:12" x14ac:dyDescent="0.2">
      <c r="A128" s="120"/>
      <c r="B128" s="120"/>
      <c r="C128" s="120"/>
      <c r="D128" s="340"/>
      <c r="E128" s="120"/>
      <c r="F128" s="340"/>
      <c r="G128" s="148"/>
      <c r="H128" s="148"/>
      <c r="I128" s="148"/>
      <c r="J128" s="148"/>
      <c r="K128" s="148"/>
      <c r="L128" s="148"/>
    </row>
    <row r="129" spans="1:12" x14ac:dyDescent="0.2">
      <c r="A129" s="120"/>
      <c r="B129" s="120"/>
      <c r="C129" s="120"/>
      <c r="D129" s="340"/>
      <c r="E129" s="120"/>
      <c r="F129" s="340"/>
      <c r="G129" s="148"/>
      <c r="H129" s="148"/>
      <c r="I129" s="148"/>
      <c r="J129" s="148"/>
      <c r="K129" s="148"/>
      <c r="L129" s="148"/>
    </row>
    <row r="130" spans="1:12" x14ac:dyDescent="0.2">
      <c r="A130" s="120"/>
      <c r="B130" s="120"/>
      <c r="C130" s="120"/>
      <c r="D130" s="340"/>
      <c r="E130" s="120"/>
      <c r="F130" s="340"/>
      <c r="G130" s="148"/>
      <c r="H130" s="148"/>
      <c r="I130" s="148"/>
      <c r="J130" s="148"/>
      <c r="K130" s="148"/>
      <c r="L130" s="148"/>
    </row>
    <row r="131" spans="1:12" x14ac:dyDescent="0.2">
      <c r="A131" s="120"/>
      <c r="B131" s="120"/>
      <c r="C131" s="120"/>
      <c r="D131" s="340"/>
      <c r="E131" s="120"/>
      <c r="F131" s="340"/>
      <c r="G131" s="148"/>
      <c r="H131" s="148"/>
      <c r="I131" s="148"/>
      <c r="J131" s="148"/>
      <c r="K131" s="148"/>
      <c r="L131" s="148"/>
    </row>
    <row r="132" spans="1:12" x14ac:dyDescent="0.2">
      <c r="A132" s="120"/>
      <c r="B132" s="120"/>
      <c r="C132" s="120"/>
      <c r="D132" s="340"/>
      <c r="E132" s="120"/>
      <c r="F132" s="340"/>
      <c r="G132" s="148"/>
      <c r="H132" s="148"/>
      <c r="I132" s="148"/>
      <c r="J132" s="148"/>
      <c r="K132" s="148"/>
      <c r="L132" s="148"/>
    </row>
    <row r="133" spans="1:12" x14ac:dyDescent="0.2">
      <c r="A133" s="120"/>
      <c r="B133" s="120"/>
      <c r="C133" s="120"/>
      <c r="D133" s="340"/>
      <c r="E133" s="120"/>
      <c r="F133" s="340"/>
      <c r="G133" s="148"/>
      <c r="H133" s="148"/>
      <c r="I133" s="148"/>
      <c r="J133" s="148"/>
      <c r="K133" s="148"/>
      <c r="L133" s="148"/>
    </row>
    <row r="134" spans="1:12" x14ac:dyDescent="0.2">
      <c r="A134" s="120"/>
      <c r="B134" s="120"/>
      <c r="C134" s="120"/>
      <c r="D134" s="340"/>
      <c r="E134" s="120"/>
      <c r="F134" s="340"/>
      <c r="G134" s="148"/>
      <c r="H134" s="148"/>
      <c r="I134" s="148"/>
      <c r="J134" s="148"/>
      <c r="K134" s="148"/>
      <c r="L134" s="148"/>
    </row>
    <row r="135" spans="1:12" x14ac:dyDescent="0.2">
      <c r="A135" s="120"/>
      <c r="B135" s="120"/>
      <c r="C135" s="120"/>
      <c r="D135" s="340"/>
      <c r="E135" s="120"/>
      <c r="F135" s="340"/>
      <c r="G135" s="148"/>
      <c r="H135" s="148"/>
      <c r="I135" s="148"/>
      <c r="J135" s="148"/>
      <c r="K135" s="148"/>
      <c r="L135" s="148"/>
    </row>
    <row r="136" spans="1:12" x14ac:dyDescent="0.2">
      <c r="A136" s="120"/>
      <c r="B136" s="120"/>
      <c r="C136" s="120"/>
      <c r="D136" s="340"/>
      <c r="E136" s="120"/>
      <c r="F136" s="340"/>
      <c r="G136" s="148"/>
      <c r="H136" s="148"/>
      <c r="I136" s="148"/>
      <c r="J136" s="148"/>
      <c r="K136" s="148"/>
      <c r="L136" s="148"/>
    </row>
    <row r="137" spans="1:12" x14ac:dyDescent="0.2">
      <c r="A137" s="120"/>
      <c r="B137" s="120"/>
      <c r="C137" s="120"/>
      <c r="D137" s="340"/>
      <c r="E137" s="120"/>
      <c r="F137" s="340"/>
      <c r="G137" s="148"/>
      <c r="H137" s="148"/>
      <c r="I137" s="148"/>
      <c r="J137" s="148"/>
      <c r="K137" s="148"/>
      <c r="L137" s="148"/>
    </row>
    <row r="138" spans="1:12" x14ac:dyDescent="0.2">
      <c r="A138" s="120"/>
      <c r="B138" s="120"/>
      <c r="C138" s="120"/>
      <c r="D138" s="340"/>
      <c r="E138" s="120"/>
      <c r="F138" s="340"/>
      <c r="G138" s="148"/>
      <c r="H138" s="148"/>
      <c r="I138" s="148"/>
      <c r="J138" s="148"/>
      <c r="K138" s="148"/>
      <c r="L138" s="148"/>
    </row>
    <row r="139" spans="1:12" x14ac:dyDescent="0.2">
      <c r="A139" s="120"/>
      <c r="B139" s="120"/>
      <c r="C139" s="120"/>
      <c r="D139" s="340"/>
      <c r="E139" s="120"/>
      <c r="F139" s="340"/>
      <c r="G139" s="148"/>
      <c r="H139" s="148"/>
      <c r="I139" s="148"/>
      <c r="J139" s="148"/>
      <c r="K139" s="148"/>
      <c r="L139" s="148"/>
    </row>
    <row r="140" spans="1:12" x14ac:dyDescent="0.2">
      <c r="A140" s="120"/>
      <c r="B140" s="120"/>
      <c r="C140" s="120"/>
      <c r="D140" s="340"/>
      <c r="E140" s="120"/>
      <c r="F140" s="340"/>
      <c r="G140" s="148"/>
      <c r="H140" s="148"/>
      <c r="I140" s="148"/>
      <c r="J140" s="148"/>
      <c r="K140" s="148"/>
      <c r="L140" s="148"/>
    </row>
    <row r="141" spans="1:12" x14ac:dyDescent="0.2">
      <c r="A141" s="120"/>
      <c r="B141" s="120"/>
      <c r="C141" s="120"/>
      <c r="D141" s="340"/>
      <c r="E141" s="120"/>
      <c r="F141" s="340"/>
      <c r="G141" s="148"/>
      <c r="H141" s="148"/>
      <c r="I141" s="148"/>
      <c r="J141" s="148"/>
      <c r="K141" s="148"/>
      <c r="L141" s="148"/>
    </row>
    <row r="142" spans="1:12" x14ac:dyDescent="0.2">
      <c r="A142" s="120"/>
      <c r="B142" s="120"/>
      <c r="C142" s="120"/>
      <c r="D142" s="340"/>
      <c r="E142" s="120"/>
      <c r="F142" s="340"/>
      <c r="G142" s="148"/>
      <c r="H142" s="148"/>
      <c r="I142" s="148"/>
      <c r="J142" s="148"/>
      <c r="K142" s="148"/>
      <c r="L142" s="148"/>
    </row>
    <row r="143" spans="1:12" x14ac:dyDescent="0.2">
      <c r="A143" s="120"/>
      <c r="B143" s="120"/>
      <c r="C143" s="120"/>
      <c r="D143" s="340"/>
      <c r="E143" s="120"/>
      <c r="F143" s="340"/>
      <c r="G143" s="148"/>
      <c r="H143" s="148"/>
      <c r="I143" s="148"/>
      <c r="J143" s="148"/>
      <c r="K143" s="148"/>
      <c r="L143" s="148"/>
    </row>
    <row r="144" spans="1:12" x14ac:dyDescent="0.2">
      <c r="A144" s="120"/>
      <c r="B144" s="120"/>
      <c r="C144" s="120"/>
      <c r="D144" s="340"/>
      <c r="E144" s="120"/>
      <c r="F144" s="340"/>
      <c r="G144" s="148"/>
      <c r="H144" s="148"/>
      <c r="I144" s="148"/>
      <c r="J144" s="148"/>
      <c r="K144" s="148"/>
      <c r="L144" s="148"/>
    </row>
    <row r="145" spans="1:12" x14ac:dyDescent="0.2">
      <c r="A145" s="120"/>
      <c r="B145" s="120"/>
      <c r="C145" s="120"/>
      <c r="D145" s="340"/>
      <c r="E145" s="120"/>
      <c r="F145" s="340"/>
      <c r="G145" s="148"/>
      <c r="H145" s="148"/>
      <c r="I145" s="148"/>
      <c r="J145" s="148"/>
      <c r="K145" s="148"/>
      <c r="L145" s="148"/>
    </row>
    <row r="146" spans="1:12" x14ac:dyDescent="0.2">
      <c r="A146" s="120"/>
      <c r="B146" s="120"/>
      <c r="C146" s="120"/>
      <c r="D146" s="340"/>
      <c r="E146" s="120"/>
      <c r="F146" s="340"/>
      <c r="G146" s="148"/>
      <c r="H146" s="148"/>
      <c r="I146" s="148"/>
      <c r="J146" s="148"/>
      <c r="K146" s="148"/>
      <c r="L146" s="148"/>
    </row>
    <row r="147" spans="1:12" x14ac:dyDescent="0.2">
      <c r="A147" s="120"/>
      <c r="B147" s="120"/>
      <c r="C147" s="120"/>
      <c r="D147" s="340"/>
      <c r="E147" s="120"/>
      <c r="F147" s="340"/>
      <c r="G147" s="148"/>
      <c r="H147" s="148"/>
      <c r="I147" s="148"/>
      <c r="J147" s="148"/>
      <c r="K147" s="148"/>
      <c r="L147" s="148"/>
    </row>
    <row r="148" spans="1:12" x14ac:dyDescent="0.2">
      <c r="A148" s="120"/>
      <c r="B148" s="120"/>
      <c r="C148" s="120"/>
      <c r="D148" s="340"/>
      <c r="E148" s="120"/>
      <c r="F148" s="340"/>
      <c r="G148" s="148"/>
      <c r="H148" s="148"/>
      <c r="I148" s="148"/>
      <c r="J148" s="148"/>
      <c r="K148" s="148"/>
      <c r="L148" s="148"/>
    </row>
    <row r="149" spans="1:12" x14ac:dyDescent="0.2">
      <c r="A149" s="120"/>
      <c r="B149" s="120"/>
      <c r="C149" s="120"/>
      <c r="D149" s="340"/>
      <c r="E149" s="120"/>
      <c r="F149" s="340"/>
      <c r="G149" s="148"/>
      <c r="H149" s="148"/>
      <c r="I149" s="148"/>
      <c r="J149" s="148"/>
      <c r="K149" s="148"/>
      <c r="L149" s="148"/>
    </row>
    <row r="150" spans="1:12" x14ac:dyDescent="0.2">
      <c r="A150" s="120"/>
      <c r="B150" s="120"/>
      <c r="C150" s="120"/>
      <c r="D150" s="340"/>
      <c r="E150" s="120"/>
      <c r="F150" s="340"/>
      <c r="G150" s="148"/>
      <c r="H150" s="148"/>
      <c r="I150" s="148"/>
      <c r="J150" s="148"/>
      <c r="K150" s="148"/>
      <c r="L150" s="148"/>
    </row>
    <row r="151" spans="1:12" x14ac:dyDescent="0.2">
      <c r="A151" s="120"/>
      <c r="B151" s="120"/>
      <c r="C151" s="120"/>
      <c r="D151" s="340"/>
      <c r="E151" s="120"/>
      <c r="F151" s="340"/>
      <c r="G151" s="148"/>
      <c r="H151" s="148"/>
      <c r="I151" s="148"/>
      <c r="J151" s="148"/>
      <c r="K151" s="148"/>
      <c r="L151" s="148"/>
    </row>
    <row r="152" spans="1:12" x14ac:dyDescent="0.2">
      <c r="A152" s="120"/>
      <c r="B152" s="120"/>
      <c r="C152" s="120"/>
      <c r="D152" s="340"/>
      <c r="E152" s="120"/>
      <c r="F152" s="340"/>
      <c r="G152" s="148"/>
      <c r="H152" s="148"/>
      <c r="I152" s="148"/>
      <c r="J152" s="148"/>
      <c r="K152" s="148"/>
      <c r="L152" s="148"/>
    </row>
    <row r="153" spans="1:12" x14ac:dyDescent="0.2">
      <c r="A153" s="120"/>
      <c r="B153" s="120"/>
      <c r="C153" s="120"/>
      <c r="D153" s="340"/>
      <c r="E153" s="120"/>
      <c r="F153" s="340"/>
      <c r="G153" s="148"/>
      <c r="H153" s="148"/>
      <c r="I153" s="148"/>
      <c r="J153" s="148"/>
      <c r="K153" s="148"/>
      <c r="L153" s="148"/>
    </row>
    <row r="154" spans="1:12" x14ac:dyDescent="0.2">
      <c r="A154" s="120"/>
      <c r="B154" s="120"/>
      <c r="C154" s="120"/>
      <c r="D154" s="340"/>
      <c r="E154" s="120"/>
      <c r="F154" s="340"/>
      <c r="G154" s="148"/>
      <c r="H154" s="148"/>
      <c r="I154" s="148"/>
      <c r="J154" s="148"/>
      <c r="K154" s="148"/>
      <c r="L154" s="148"/>
    </row>
    <row r="155" spans="1:12" x14ac:dyDescent="0.2">
      <c r="A155" s="120"/>
      <c r="B155" s="120"/>
      <c r="C155" s="120"/>
      <c r="D155" s="340"/>
      <c r="E155" s="120"/>
      <c r="F155" s="340"/>
      <c r="G155" s="148"/>
      <c r="H155" s="148"/>
      <c r="I155" s="148"/>
      <c r="J155" s="148"/>
      <c r="K155" s="148"/>
      <c r="L155" s="148"/>
    </row>
    <row r="156" spans="1:12" x14ac:dyDescent="0.2">
      <c r="A156" s="120"/>
      <c r="B156" s="120"/>
      <c r="C156" s="120"/>
      <c r="D156" s="340"/>
      <c r="E156" s="120"/>
      <c r="F156" s="340"/>
      <c r="G156" s="148"/>
      <c r="H156" s="148"/>
      <c r="I156" s="148"/>
      <c r="J156" s="148"/>
      <c r="K156" s="148"/>
      <c r="L156" s="148"/>
    </row>
    <row r="157" spans="1:12" x14ac:dyDescent="0.2">
      <c r="A157" s="120"/>
      <c r="B157" s="120"/>
      <c r="C157" s="120"/>
      <c r="D157" s="340"/>
      <c r="E157" s="120"/>
      <c r="F157" s="340"/>
      <c r="G157" s="148"/>
      <c r="H157" s="148"/>
      <c r="I157" s="148"/>
      <c r="J157" s="148"/>
      <c r="K157" s="148"/>
      <c r="L157" s="148"/>
    </row>
    <row r="158" spans="1:12" x14ac:dyDescent="0.2">
      <c r="A158" s="120"/>
      <c r="B158" s="120"/>
      <c r="C158" s="120"/>
      <c r="D158" s="340"/>
      <c r="E158" s="120"/>
      <c r="F158" s="340"/>
      <c r="G158" s="148"/>
      <c r="H158" s="148"/>
      <c r="I158" s="148"/>
      <c r="J158" s="148"/>
      <c r="K158" s="148"/>
      <c r="L158" s="148"/>
    </row>
    <row r="159" spans="1:12" x14ac:dyDescent="0.2">
      <c r="A159" s="120"/>
      <c r="B159" s="120"/>
      <c r="C159" s="120"/>
      <c r="D159" s="340"/>
      <c r="E159" s="120"/>
      <c r="F159" s="340"/>
      <c r="G159" s="148"/>
      <c r="H159" s="148"/>
      <c r="I159" s="148"/>
      <c r="J159" s="148"/>
      <c r="K159" s="148"/>
      <c r="L159" s="148"/>
    </row>
    <row r="160" spans="1:12" x14ac:dyDescent="0.2">
      <c r="A160" s="120"/>
      <c r="B160" s="120"/>
      <c r="C160" s="120"/>
      <c r="D160" s="340"/>
      <c r="E160" s="120"/>
      <c r="F160" s="340"/>
      <c r="G160" s="148"/>
      <c r="H160" s="148"/>
      <c r="I160" s="148"/>
      <c r="J160" s="148"/>
      <c r="K160" s="148"/>
      <c r="L160" s="148"/>
    </row>
    <row r="161" spans="1:12" x14ac:dyDescent="0.2">
      <c r="A161" s="120"/>
      <c r="B161" s="120"/>
      <c r="C161" s="120"/>
      <c r="D161" s="340"/>
      <c r="E161" s="120"/>
      <c r="F161" s="340"/>
      <c r="G161" s="148"/>
      <c r="H161" s="148"/>
      <c r="I161" s="148"/>
      <c r="J161" s="148"/>
      <c r="K161" s="148"/>
      <c r="L161" s="148"/>
    </row>
    <row r="162" spans="1:12" x14ac:dyDescent="0.2">
      <c r="A162" s="120"/>
      <c r="B162" s="120"/>
      <c r="C162" s="120"/>
      <c r="D162" s="340"/>
      <c r="E162" s="120"/>
      <c r="F162" s="340"/>
      <c r="G162" s="148"/>
      <c r="H162" s="148"/>
      <c r="I162" s="148"/>
      <c r="J162" s="148"/>
      <c r="K162" s="148"/>
      <c r="L162" s="148"/>
    </row>
    <row r="163" spans="1:12" x14ac:dyDescent="0.2">
      <c r="A163" s="120"/>
      <c r="B163" s="120"/>
      <c r="C163" s="120"/>
      <c r="D163" s="340"/>
      <c r="E163" s="120"/>
      <c r="F163" s="340"/>
      <c r="G163" s="148"/>
      <c r="H163" s="148"/>
      <c r="I163" s="148"/>
      <c r="J163" s="148"/>
      <c r="K163" s="148"/>
      <c r="L163" s="148"/>
    </row>
    <row r="164" spans="1:12" x14ac:dyDescent="0.2">
      <c r="A164" s="120"/>
      <c r="B164" s="120"/>
      <c r="C164" s="120"/>
      <c r="D164" s="340"/>
      <c r="E164" s="120"/>
      <c r="F164" s="340"/>
      <c r="G164" s="148"/>
      <c r="H164" s="148"/>
      <c r="I164" s="148"/>
      <c r="J164" s="148"/>
      <c r="K164" s="148"/>
      <c r="L164" s="148"/>
    </row>
    <row r="165" spans="1:12" x14ac:dyDescent="0.2">
      <c r="A165" s="120"/>
      <c r="B165" s="120"/>
      <c r="C165" s="120"/>
      <c r="D165" s="340"/>
      <c r="E165" s="120"/>
      <c r="F165" s="340"/>
      <c r="G165" s="148"/>
      <c r="H165" s="148"/>
      <c r="I165" s="148"/>
      <c r="J165" s="148"/>
      <c r="K165" s="148"/>
      <c r="L165" s="148"/>
    </row>
    <row r="166" spans="1:12" x14ac:dyDescent="0.2">
      <c r="A166" s="120"/>
      <c r="B166" s="120"/>
      <c r="C166" s="120"/>
      <c r="D166" s="340"/>
      <c r="E166" s="120"/>
      <c r="F166" s="340"/>
      <c r="G166" s="148"/>
      <c r="H166" s="148"/>
      <c r="I166" s="148"/>
      <c r="J166" s="148"/>
      <c r="K166" s="148"/>
      <c r="L166" s="148"/>
    </row>
    <row r="167" spans="1:12" x14ac:dyDescent="0.2">
      <c r="A167" s="120"/>
      <c r="B167" s="120"/>
      <c r="C167" s="120"/>
      <c r="D167" s="340"/>
      <c r="E167" s="120"/>
      <c r="F167" s="340"/>
      <c r="G167" s="148"/>
      <c r="H167" s="148"/>
      <c r="I167" s="148"/>
      <c r="J167" s="148"/>
      <c r="K167" s="148"/>
      <c r="L167" s="148"/>
    </row>
    <row r="168" spans="1:12" x14ac:dyDescent="0.2">
      <c r="A168" s="120"/>
      <c r="B168" s="120"/>
      <c r="C168" s="120"/>
      <c r="D168" s="340"/>
      <c r="E168" s="120"/>
      <c r="F168" s="340"/>
      <c r="G168" s="148"/>
      <c r="H168" s="148"/>
      <c r="I168" s="148"/>
      <c r="J168" s="148"/>
      <c r="K168" s="148"/>
      <c r="L168" s="148"/>
    </row>
    <row r="169" spans="1:12" x14ac:dyDescent="0.2">
      <c r="A169" s="120"/>
      <c r="B169" s="120"/>
      <c r="C169" s="120"/>
      <c r="D169" s="340"/>
      <c r="E169" s="120"/>
      <c r="F169" s="340"/>
      <c r="G169" s="148"/>
      <c r="H169" s="148"/>
      <c r="I169" s="148"/>
      <c r="J169" s="148"/>
      <c r="K169" s="148"/>
      <c r="L169" s="148"/>
    </row>
    <row r="170" spans="1:12" x14ac:dyDescent="0.2">
      <c r="A170" s="120"/>
      <c r="B170" s="120"/>
      <c r="C170" s="120"/>
      <c r="D170" s="340"/>
      <c r="E170" s="120"/>
      <c r="F170" s="340"/>
      <c r="G170" s="148"/>
      <c r="H170" s="148"/>
      <c r="I170" s="148"/>
      <c r="J170" s="148"/>
      <c r="K170" s="148"/>
      <c r="L170" s="148"/>
    </row>
    <row r="171" spans="1:12" x14ac:dyDescent="0.2">
      <c r="A171" s="120"/>
      <c r="B171" s="120"/>
      <c r="C171" s="120"/>
      <c r="D171" s="340"/>
      <c r="E171" s="120"/>
      <c r="F171" s="340"/>
      <c r="G171" s="148"/>
      <c r="H171" s="148"/>
      <c r="I171" s="148"/>
      <c r="J171" s="148"/>
      <c r="K171" s="148"/>
      <c r="L171" s="148"/>
    </row>
    <row r="172" spans="1:12" x14ac:dyDescent="0.2">
      <c r="A172" s="120"/>
      <c r="B172" s="120"/>
      <c r="C172" s="120"/>
      <c r="D172" s="340"/>
      <c r="E172" s="120"/>
      <c r="F172" s="340"/>
      <c r="G172" s="148"/>
      <c r="H172" s="148"/>
      <c r="I172" s="148"/>
      <c r="J172" s="148"/>
      <c r="K172" s="148"/>
      <c r="L172" s="148"/>
    </row>
    <row r="173" spans="1:12" x14ac:dyDescent="0.2">
      <c r="A173" s="120"/>
      <c r="B173" s="120"/>
      <c r="C173" s="120"/>
      <c r="D173" s="340"/>
      <c r="E173" s="120"/>
      <c r="F173" s="340"/>
      <c r="G173" s="148"/>
      <c r="H173" s="148"/>
      <c r="I173" s="148"/>
      <c r="J173" s="148"/>
      <c r="K173" s="148"/>
      <c r="L173" s="148"/>
    </row>
    <row r="174" spans="1:12" x14ac:dyDescent="0.2">
      <c r="A174" s="120"/>
      <c r="B174" s="120"/>
      <c r="C174" s="120"/>
      <c r="D174" s="340"/>
      <c r="E174" s="120"/>
      <c r="F174" s="340"/>
      <c r="G174" s="148"/>
      <c r="H174" s="148"/>
      <c r="I174" s="148"/>
      <c r="J174" s="148"/>
      <c r="K174" s="148"/>
      <c r="L174" s="148"/>
    </row>
    <row r="175" spans="1:12" x14ac:dyDescent="0.2">
      <c r="A175" s="120"/>
      <c r="B175" s="2"/>
      <c r="C175" s="2"/>
      <c r="D175" s="315"/>
      <c r="E175" s="2"/>
      <c r="F175" s="315"/>
    </row>
    <row r="176" spans="1:12" x14ac:dyDescent="0.2">
      <c r="A176" s="120"/>
      <c r="B176" s="2"/>
      <c r="C176" s="2"/>
      <c r="D176" s="315"/>
      <c r="E176" s="2"/>
      <c r="F176" s="315"/>
    </row>
    <row r="177" spans="1:6" x14ac:dyDescent="0.2">
      <c r="A177" s="120"/>
      <c r="B177" s="2"/>
      <c r="C177" s="2"/>
      <c r="D177" s="315"/>
      <c r="E177" s="2"/>
      <c r="F177" s="315"/>
    </row>
    <row r="178" spans="1:6" x14ac:dyDescent="0.2">
      <c r="A178" s="120"/>
      <c r="B178" s="2"/>
      <c r="C178" s="2"/>
      <c r="D178" s="315"/>
      <c r="E178" s="2"/>
      <c r="F178" s="315"/>
    </row>
    <row r="179" spans="1:6" x14ac:dyDescent="0.2">
      <c r="A179" s="120"/>
      <c r="B179" s="2"/>
      <c r="C179" s="2"/>
      <c r="D179" s="315"/>
      <c r="E179" s="2"/>
      <c r="F179" s="315"/>
    </row>
    <row r="180" spans="1:6" x14ac:dyDescent="0.2">
      <c r="A180" s="120"/>
      <c r="B180" s="2"/>
      <c r="C180" s="2"/>
      <c r="D180" s="315"/>
      <c r="E180" s="2"/>
      <c r="F180" s="315"/>
    </row>
    <row r="181" spans="1:6" x14ac:dyDescent="0.2">
      <c r="A181" s="120"/>
      <c r="B181" s="2"/>
      <c r="C181" s="2"/>
      <c r="D181" s="315"/>
      <c r="E181" s="2"/>
      <c r="F181" s="315"/>
    </row>
    <row r="182" spans="1:6" x14ac:dyDescent="0.2">
      <c r="A182" s="120"/>
      <c r="B182" s="2"/>
      <c r="C182" s="2"/>
      <c r="D182" s="315"/>
      <c r="E182" s="2"/>
      <c r="F182" s="315"/>
    </row>
    <row r="183" spans="1:6" x14ac:dyDescent="0.2">
      <c r="A183" s="120"/>
      <c r="B183" s="2"/>
      <c r="C183" s="2"/>
      <c r="D183" s="315"/>
      <c r="E183" s="2"/>
      <c r="F183" s="315"/>
    </row>
    <row r="184" spans="1:6" x14ac:dyDescent="0.2">
      <c r="A184" s="120"/>
      <c r="B184" s="2"/>
      <c r="C184" s="2"/>
      <c r="D184" s="315"/>
      <c r="E184" s="2"/>
      <c r="F184" s="315"/>
    </row>
    <row r="185" spans="1:6" x14ac:dyDescent="0.2">
      <c r="A185" s="120"/>
      <c r="B185" s="2"/>
      <c r="C185" s="2"/>
      <c r="D185" s="315"/>
      <c r="E185" s="2"/>
      <c r="F185" s="315"/>
    </row>
    <row r="186" spans="1:6" x14ac:dyDescent="0.2">
      <c r="A186" s="120"/>
      <c r="B186" s="2"/>
      <c r="C186" s="2"/>
      <c r="D186" s="315"/>
      <c r="E186" s="2"/>
      <c r="F186" s="315"/>
    </row>
    <row r="187" spans="1:6" x14ac:dyDescent="0.2">
      <c r="A187" s="120"/>
      <c r="B187" s="2"/>
      <c r="C187" s="2"/>
      <c r="D187" s="315"/>
      <c r="E187" s="2"/>
      <c r="F187" s="315"/>
    </row>
    <row r="188" spans="1:6" x14ac:dyDescent="0.2">
      <c r="A188" s="120"/>
      <c r="B188" s="2"/>
      <c r="C188" s="2"/>
      <c r="D188" s="315"/>
      <c r="E188" s="2"/>
      <c r="F188" s="315"/>
    </row>
    <row r="189" spans="1:6" x14ac:dyDescent="0.2">
      <c r="A189" s="120"/>
      <c r="B189" s="2"/>
      <c r="C189" s="2"/>
      <c r="D189" s="315"/>
      <c r="E189" s="2"/>
      <c r="F189" s="315"/>
    </row>
    <row r="190" spans="1:6" x14ac:dyDescent="0.2">
      <c r="A190" s="120"/>
      <c r="B190" s="2"/>
      <c r="C190" s="2"/>
      <c r="D190" s="315"/>
      <c r="E190" s="2"/>
      <c r="F190" s="315"/>
    </row>
    <row r="191" spans="1:6" x14ac:dyDescent="0.2">
      <c r="A191" s="120"/>
      <c r="B191" s="2"/>
      <c r="C191" s="2"/>
      <c r="D191" s="315"/>
      <c r="E191" s="2"/>
      <c r="F191" s="315"/>
    </row>
  </sheetData>
  <mergeCells count="4">
    <mergeCell ref="B91:F91"/>
    <mergeCell ref="B92:F92"/>
    <mergeCell ref="A7:F7"/>
    <mergeCell ref="B75:C75"/>
  </mergeCells>
  <pageMargins left="0.7" right="0.7" top="0.75" bottom="0.75" header="0.3" footer="0.3"/>
  <pageSetup paperSize="9" scale="59" orientation="portrait" r:id="rId1"/>
  <drawing r:id="rId2"/>
  <legacyDrawing r:id="rId3"/>
  <controls>
    <mc:AlternateContent xmlns:mc="http://schemas.openxmlformats.org/markup-compatibility/2006">
      <mc:Choice Requires="x14">
        <control shapeId="5121" r:id="rId4" name="CommandButton1">
          <controlPr defaultSize="0" print="0" autoLine="0" autoPict="0" r:id="rId5">
            <anchor moveWithCells="1">
              <from>
                <xdr:col>1</xdr:col>
                <xdr:colOff>2209800</xdr:colOff>
                <xdr:row>95</xdr:row>
                <xdr:rowOff>0</xdr:rowOff>
              </from>
              <to>
                <xdr:col>2</xdr:col>
                <xdr:colOff>733425</xdr:colOff>
                <xdr:row>96</xdr:row>
                <xdr:rowOff>104775</xdr:rowOff>
              </to>
            </anchor>
          </controlPr>
        </control>
      </mc:Choice>
      <mc:Fallback>
        <control shapeId="5121" r:id="rId4" name="CommandButto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const!$B$9:$E$9</xm:f>
          </x14:formula1>
          <xm:sqref>E83:E87</xm:sqref>
        </x14:dataValidation>
        <x14:dataValidation type="list" allowBlank="1" showInputMessage="1" showErrorMessage="1">
          <x14:formula1>
            <xm:f>const!$B$32:$S$32</xm:f>
          </x14:formula1>
          <xm:sqref>D75</xm:sqref>
        </x14:dataValidation>
        <x14:dataValidation type="list" allowBlank="1" showInputMessage="1" showErrorMessage="1">
          <x14:formula1>
            <xm:f>const!$B$34:$C$34</xm:f>
          </x14:formula1>
          <xm:sqref>D43</xm:sqref>
        </x14:dataValidation>
        <x14:dataValidation type="list" allowBlank="1" showInputMessage="1" showErrorMessage="1">
          <x14:formula1>
            <xm:f>const!$B$36:$C$36</xm:f>
          </x14:formula1>
          <xm:sqref>F23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5:AD94"/>
  <sheetViews>
    <sheetView showGridLines="0" zoomScaleNormal="100" zoomScaleSheetLayoutView="80" workbookViewId="0"/>
  </sheetViews>
  <sheetFormatPr defaultColWidth="9.140625" defaultRowHeight="12.75" x14ac:dyDescent="0.2"/>
  <cols>
    <col min="1" max="1" width="5.140625" style="2" customWidth="1"/>
    <col min="2" max="2" width="26.42578125" style="2" customWidth="1"/>
    <col min="3" max="7" width="2.7109375" style="2" customWidth="1"/>
    <col min="8" max="8" width="2.85546875" style="2" customWidth="1"/>
    <col min="9" max="10" width="2.7109375" style="2" customWidth="1"/>
    <col min="11" max="11" width="7.42578125" style="2" customWidth="1"/>
    <col min="12" max="12" width="2.28515625" style="2" customWidth="1"/>
    <col min="13" max="13" width="1.28515625" style="2" customWidth="1"/>
    <col min="14" max="14" width="1.42578125" style="2" customWidth="1"/>
    <col min="15" max="20" width="2.7109375" style="2" customWidth="1"/>
    <col min="21" max="21" width="3.85546875" style="2" customWidth="1"/>
    <col min="22" max="22" width="2.85546875" style="2" customWidth="1"/>
    <col min="23" max="27" width="2.7109375" style="2" customWidth="1"/>
    <col min="28" max="28" width="11.28515625" style="2" customWidth="1"/>
    <col min="29" max="29" width="18.7109375" style="2" customWidth="1"/>
    <col min="30" max="30" width="2.85546875" style="2" customWidth="1"/>
    <col min="31" max="16384" width="9.140625" style="2"/>
  </cols>
  <sheetData>
    <row r="5" spans="1:30" ht="13.5" thickBot="1" x14ac:dyDescent="0.25"/>
    <row r="6" spans="1:30" x14ac:dyDescent="0.2">
      <c r="A6" s="7"/>
      <c r="B6" s="7"/>
      <c r="C6" s="7"/>
      <c r="D6" s="7"/>
      <c r="E6" s="7"/>
      <c r="F6" s="7"/>
      <c r="G6" s="7"/>
      <c r="H6" s="7"/>
      <c r="I6" s="7"/>
      <c r="J6" s="7"/>
      <c r="K6" s="7"/>
      <c r="L6" s="7"/>
      <c r="M6" s="7"/>
      <c r="N6" s="7"/>
      <c r="O6" s="7"/>
      <c r="P6" s="7"/>
      <c r="Q6" s="7"/>
      <c r="R6" s="7"/>
      <c r="S6" s="7"/>
      <c r="T6" s="7"/>
      <c r="U6" s="7"/>
      <c r="V6" s="7"/>
      <c r="W6" s="7"/>
      <c r="X6" s="7"/>
      <c r="Y6" s="7"/>
      <c r="Z6" s="7"/>
      <c r="AA6" s="7"/>
      <c r="AB6" s="7"/>
      <c r="AC6" s="7"/>
    </row>
    <row r="7" spans="1:30" ht="7.5" customHeight="1" x14ac:dyDescent="0.2"/>
    <row r="8" spans="1:30" ht="4.7" hidden="1" customHeight="1" x14ac:dyDescent="0.2"/>
    <row r="9" spans="1:30" ht="23.25" customHeight="1" x14ac:dyDescent="0.25">
      <c r="A9" s="411" t="s">
        <v>615</v>
      </c>
      <c r="B9" s="41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8"/>
    </row>
    <row r="10" spans="1:30" ht="9" customHeight="1" thickBot="1" x14ac:dyDescent="0.25"/>
    <row r="11" spans="1:30" ht="21.2" customHeight="1" x14ac:dyDescent="0.2">
      <c r="A11" s="446" t="s">
        <v>449</v>
      </c>
      <c r="B11" s="447"/>
      <c r="C11" s="447"/>
      <c r="D11" s="447"/>
      <c r="E11" s="447"/>
      <c r="F11" s="447"/>
      <c r="G11" s="447"/>
      <c r="H11" s="447"/>
      <c r="I11" s="447"/>
      <c r="J11" s="62"/>
      <c r="K11" s="63"/>
      <c r="L11" s="63"/>
      <c r="M11" s="63"/>
      <c r="N11" s="448" t="str">
        <f>IF('Dane personalne'!D11="","",'Dane personalne'!D11)</f>
        <v/>
      </c>
      <c r="O11" s="448"/>
      <c r="P11" s="448"/>
      <c r="Q11" s="448"/>
      <c r="R11" s="448"/>
      <c r="S11" s="448"/>
      <c r="T11" s="448"/>
      <c r="U11" s="448"/>
      <c r="V11" s="448"/>
      <c r="W11" s="449" t="str">
        <f>IF('Dane personalne'!D12="","",'Dane personalne'!D12)</f>
        <v/>
      </c>
      <c r="X11" s="449"/>
      <c r="Y11" s="449"/>
      <c r="Z11" s="449"/>
      <c r="AA11" s="449"/>
      <c r="AB11" s="449"/>
      <c r="AC11" s="450"/>
      <c r="AD11" s="9"/>
    </row>
    <row r="12" spans="1:30" ht="25.5" customHeight="1" x14ac:dyDescent="0.2">
      <c r="A12" s="401" t="s">
        <v>450</v>
      </c>
      <c r="B12" s="393"/>
      <c r="C12" s="393"/>
      <c r="D12" s="393"/>
      <c r="E12" s="393"/>
      <c r="F12" s="393"/>
      <c r="G12" s="393"/>
      <c r="H12" s="393"/>
      <c r="I12" s="405" t="str">
        <f>IF('Dane personalne'!D13="","",'Dane personalne'!D13)</f>
        <v/>
      </c>
      <c r="J12" s="405"/>
      <c r="K12" s="405"/>
      <c r="L12" s="405"/>
      <c r="M12" s="405"/>
      <c r="N12" s="405"/>
      <c r="O12" s="405"/>
      <c r="P12" s="405"/>
      <c r="Q12" s="405"/>
      <c r="R12" s="405"/>
      <c r="S12" s="405"/>
      <c r="T12" s="405"/>
      <c r="U12" s="405"/>
      <c r="V12" s="405"/>
      <c r="W12" s="405"/>
      <c r="X12" s="405"/>
      <c r="Y12" s="405"/>
      <c r="Z12" s="405"/>
      <c r="AA12" s="405"/>
      <c r="AB12" s="405"/>
      <c r="AC12" s="406"/>
    </row>
    <row r="13" spans="1:30" ht="24" customHeight="1" x14ac:dyDescent="0.2">
      <c r="A13" s="401" t="s">
        <v>451</v>
      </c>
      <c r="B13" s="393"/>
      <c r="C13" s="393"/>
      <c r="D13" s="393"/>
      <c r="E13" s="393"/>
      <c r="F13" s="393"/>
      <c r="G13" s="55" t="s">
        <v>452</v>
      </c>
      <c r="H13" s="55"/>
      <c r="I13" s="405" t="str">
        <f>IF('Dane personalne'!D20="","",'Dane personalne'!D20)</f>
        <v/>
      </c>
      <c r="J13" s="405"/>
      <c r="K13" s="405"/>
      <c r="L13" s="405"/>
      <c r="M13" s="405"/>
      <c r="N13" s="405"/>
      <c r="O13" s="405"/>
      <c r="P13" s="393" t="s">
        <v>453</v>
      </c>
      <c r="Q13" s="393"/>
      <c r="R13" s="405" t="str">
        <f>IF('Dane personalne'!D19="","",'Dane personalne'!D19)</f>
        <v/>
      </c>
      <c r="S13" s="405"/>
      <c r="T13" s="405"/>
      <c r="U13" s="405"/>
      <c r="V13" s="405"/>
      <c r="W13" s="405"/>
      <c r="X13" s="405"/>
      <c r="Y13" s="405"/>
      <c r="Z13" s="405"/>
      <c r="AA13" s="405"/>
      <c r="AB13" s="405"/>
      <c r="AC13" s="406"/>
    </row>
    <row r="14" spans="1:30" s="12" customFormat="1" ht="24.75" customHeight="1" x14ac:dyDescent="0.2">
      <c r="A14" s="451" t="s">
        <v>454</v>
      </c>
      <c r="B14" s="452"/>
      <c r="C14" s="452"/>
      <c r="D14" s="452"/>
      <c r="E14" s="452"/>
      <c r="F14" s="452"/>
      <c r="G14" s="452"/>
      <c r="H14" s="452"/>
      <c r="I14" s="453" t="str">
        <f>IF('Dane personalne'!D21="","",'Dane personalne'!D21)</f>
        <v/>
      </c>
      <c r="J14" s="453"/>
      <c r="K14" s="453"/>
      <c r="L14" s="453"/>
      <c r="M14" s="453"/>
      <c r="N14" s="453"/>
      <c r="O14" s="453"/>
      <c r="P14" s="453"/>
      <c r="Q14" s="453"/>
      <c r="R14" s="453"/>
      <c r="S14" s="453"/>
      <c r="T14" s="453"/>
      <c r="U14" s="453"/>
      <c r="V14" s="453"/>
      <c r="W14" s="453"/>
      <c r="X14" s="453"/>
      <c r="Y14" s="453"/>
      <c r="Z14" s="453"/>
      <c r="AA14" s="453"/>
      <c r="AB14" s="453"/>
      <c r="AC14" s="454"/>
    </row>
    <row r="15" spans="1:30" ht="19.5" customHeight="1" x14ac:dyDescent="0.2">
      <c r="A15" s="431" t="s">
        <v>455</v>
      </c>
      <c r="B15" s="432"/>
      <c r="C15" s="432"/>
      <c r="D15" s="432"/>
      <c r="E15" s="432"/>
      <c r="F15" s="433"/>
      <c r="G15" s="438" t="str">
        <f>IF('Dane personalne'!D14="","",'Dane personalne'!D14)</f>
        <v/>
      </c>
      <c r="H15" s="439"/>
      <c r="I15" s="439"/>
      <c r="J15" s="439"/>
      <c r="K15" s="439"/>
      <c r="L15" s="439"/>
      <c r="M15" s="439"/>
      <c r="N15" s="439"/>
      <c r="O15" s="440"/>
      <c r="P15" s="434" t="s">
        <v>456</v>
      </c>
      <c r="Q15" s="432"/>
      <c r="R15" s="432"/>
      <c r="S15" s="432"/>
      <c r="T15" s="432"/>
      <c r="U15" s="433"/>
      <c r="V15" s="435" t="str">
        <f>IF('Dane personalne'!D15="","",'Dane personalne'!D15)</f>
        <v/>
      </c>
      <c r="W15" s="436"/>
      <c r="X15" s="436"/>
      <c r="Y15" s="436"/>
      <c r="Z15" s="437"/>
      <c r="AA15" s="429" t="s">
        <v>457</v>
      </c>
      <c r="AB15" s="429"/>
      <c r="AC15" s="156" t="str">
        <f>IF('Dane personalne'!D16="","",'Dane personalne'!D16)</f>
        <v/>
      </c>
    </row>
    <row r="16" spans="1:30" x14ac:dyDescent="0.2">
      <c r="A16" s="398" t="s">
        <v>458</v>
      </c>
      <c r="B16" s="399"/>
      <c r="C16" s="399"/>
      <c r="D16" s="399"/>
      <c r="E16" s="399"/>
      <c r="F16" s="399"/>
      <c r="G16" s="399"/>
      <c r="H16" s="399"/>
      <c r="I16" s="399"/>
      <c r="J16" s="399"/>
      <c r="K16" s="399"/>
      <c r="L16" s="399"/>
      <c r="M16" s="430"/>
      <c r="N16" s="399" t="s">
        <v>459</v>
      </c>
      <c r="O16" s="396"/>
      <c r="P16" s="399"/>
      <c r="Q16" s="399"/>
      <c r="R16" s="399"/>
      <c r="S16" s="399"/>
      <c r="T16" s="399"/>
      <c r="U16" s="399"/>
      <c r="V16" s="399"/>
      <c r="W16" s="399"/>
      <c r="X16" s="399"/>
      <c r="Y16" s="399"/>
      <c r="Z16" s="399"/>
      <c r="AA16" s="399"/>
      <c r="AB16" s="399"/>
      <c r="AC16" s="400"/>
    </row>
    <row r="17" spans="1:29" ht="6.75" customHeight="1" x14ac:dyDescent="0.2">
      <c r="A17" s="401"/>
      <c r="B17" s="393"/>
      <c r="C17" s="393"/>
      <c r="D17" s="393"/>
      <c r="E17" s="393"/>
      <c r="F17" s="393"/>
      <c r="G17" s="393"/>
      <c r="H17" s="393"/>
      <c r="I17" s="393"/>
      <c r="J17" s="393"/>
      <c r="K17" s="393"/>
      <c r="L17" s="393"/>
      <c r="M17" s="418"/>
      <c r="N17" s="393"/>
      <c r="O17" s="393"/>
      <c r="P17" s="393"/>
      <c r="Q17" s="393"/>
      <c r="R17" s="393"/>
      <c r="S17" s="393"/>
      <c r="T17" s="393"/>
      <c r="U17" s="393"/>
      <c r="V17" s="393"/>
      <c r="W17" s="393"/>
      <c r="X17" s="393"/>
      <c r="Y17" s="393"/>
      <c r="Z17" s="393"/>
      <c r="AA17" s="393"/>
      <c r="AB17" s="393"/>
      <c r="AC17" s="394"/>
    </row>
    <row r="18" spans="1:29" ht="18.75" customHeight="1" x14ac:dyDescent="0.2">
      <c r="A18" s="58"/>
      <c r="B18" s="442" t="str">
        <f>IF('Dane personalne'!D17="","",'Dane personalne'!D17)</f>
        <v/>
      </c>
      <c r="C18" s="443"/>
      <c r="D18" s="443"/>
      <c r="E18" s="443"/>
      <c r="F18" s="443"/>
      <c r="G18" s="443"/>
      <c r="H18" s="443"/>
      <c r="I18" s="443"/>
      <c r="J18" s="443"/>
      <c r="K18" s="443"/>
      <c r="L18" s="444"/>
      <c r="M18" s="59"/>
      <c r="N18" s="60"/>
      <c r="O18" s="442" t="str">
        <f>IF('Dane personalne'!D18="","",'Dane personalne'!D18)</f>
        <v/>
      </c>
      <c r="P18" s="443"/>
      <c r="Q18" s="443"/>
      <c r="R18" s="443"/>
      <c r="S18" s="443"/>
      <c r="T18" s="443"/>
      <c r="U18" s="443"/>
      <c r="V18" s="443"/>
      <c r="W18" s="443"/>
      <c r="X18" s="443"/>
      <c r="Y18" s="443"/>
      <c r="Z18" s="443"/>
      <c r="AA18" s="444"/>
      <c r="AB18" s="419"/>
      <c r="AC18" s="394"/>
    </row>
    <row r="19" spans="1:29" ht="6" customHeight="1" x14ac:dyDescent="0.2">
      <c r="A19" s="388"/>
      <c r="B19" s="389"/>
      <c r="C19" s="389"/>
      <c r="D19" s="389"/>
      <c r="E19" s="389"/>
      <c r="F19" s="389"/>
      <c r="G19" s="389"/>
      <c r="H19" s="389"/>
      <c r="I19" s="389"/>
      <c r="J19" s="389"/>
      <c r="K19" s="389"/>
      <c r="L19" s="389"/>
      <c r="M19" s="414"/>
      <c r="N19" s="389"/>
      <c r="O19" s="389"/>
      <c r="P19" s="389"/>
      <c r="Q19" s="389"/>
      <c r="R19" s="389"/>
      <c r="S19" s="389"/>
      <c r="T19" s="389"/>
      <c r="U19" s="389"/>
      <c r="V19" s="389"/>
      <c r="W19" s="389"/>
      <c r="X19" s="389"/>
      <c r="Y19" s="389"/>
      <c r="Z19" s="389"/>
      <c r="AA19" s="389"/>
      <c r="AB19" s="389"/>
      <c r="AC19" s="390"/>
    </row>
    <row r="20" spans="1:29" ht="19.5" customHeight="1" x14ac:dyDescent="0.2">
      <c r="A20" s="240" t="s">
        <v>460</v>
      </c>
      <c r="B20" s="55"/>
      <c r="C20" s="402" t="str">
        <f>IF('Dane personalne'!D32="","",'Dane personalne'!D32)</f>
        <v/>
      </c>
      <c r="D20" s="402"/>
      <c r="E20" s="402"/>
      <c r="F20" s="402"/>
      <c r="G20" s="402"/>
      <c r="H20" s="402"/>
      <c r="I20" s="402"/>
      <c r="J20" s="402"/>
      <c r="L20" s="402" t="str">
        <f>IF('Dane personalne'!D26="","",'Dane personalne'!D26)</f>
        <v/>
      </c>
      <c r="M20" s="402"/>
      <c r="N20" s="402"/>
      <c r="O20" s="402"/>
      <c r="P20" s="402"/>
      <c r="Q20" s="402"/>
      <c r="R20" s="402"/>
      <c r="S20" s="402"/>
      <c r="T20" s="402"/>
      <c r="U20" s="402"/>
      <c r="V20" s="402"/>
      <c r="W20" s="402"/>
      <c r="X20" s="402"/>
      <c r="Y20" s="402"/>
      <c r="Z20" s="393"/>
      <c r="AA20" s="393"/>
      <c r="AB20" s="405" t="str">
        <f>IF('Dane personalne'!D27="","",'Dane personalne'!D27)</f>
        <v/>
      </c>
      <c r="AC20" s="406"/>
    </row>
    <row r="21" spans="1:29" ht="12.75" customHeight="1" x14ac:dyDescent="0.2">
      <c r="A21" s="240"/>
      <c r="B21" s="55"/>
      <c r="C21" s="441" t="s">
        <v>631</v>
      </c>
      <c r="D21" s="441"/>
      <c r="E21" s="441"/>
      <c r="F21" s="441"/>
      <c r="G21" s="441"/>
      <c r="H21" s="441"/>
      <c r="I21" s="441"/>
      <c r="J21" s="441"/>
      <c r="L21" s="404" t="s">
        <v>88</v>
      </c>
      <c r="M21" s="404"/>
      <c r="N21" s="404"/>
      <c r="O21" s="404"/>
      <c r="P21" s="404"/>
      <c r="Q21" s="404"/>
      <c r="R21" s="404"/>
      <c r="S21" s="404"/>
      <c r="T21" s="404"/>
      <c r="U21" s="404"/>
      <c r="V21" s="404"/>
      <c r="W21" s="404"/>
      <c r="X21" s="404"/>
      <c r="Y21" s="404"/>
      <c r="Z21" s="393"/>
      <c r="AA21" s="393"/>
      <c r="AB21" s="393" t="s">
        <v>461</v>
      </c>
      <c r="AC21" s="394"/>
    </row>
    <row r="22" spans="1:29" ht="7.5" customHeight="1" x14ac:dyDescent="0.2">
      <c r="A22" s="401"/>
      <c r="B22" s="393"/>
      <c r="C22" s="393"/>
      <c r="D22" s="393"/>
      <c r="E22" s="393"/>
      <c r="F22" s="393"/>
      <c r="G22" s="393"/>
      <c r="H22" s="393"/>
      <c r="I22" s="393"/>
      <c r="J22" s="393"/>
      <c r="K22" s="393"/>
      <c r="L22" s="393"/>
      <c r="M22" s="393"/>
      <c r="N22" s="393"/>
      <c r="O22" s="393"/>
      <c r="P22" s="393"/>
      <c r="Q22" s="393"/>
      <c r="R22" s="393"/>
      <c r="S22" s="393"/>
      <c r="T22" s="393"/>
      <c r="U22" s="393"/>
      <c r="V22" s="393"/>
      <c r="W22" s="393"/>
      <c r="X22" s="393"/>
      <c r="Y22" s="393"/>
      <c r="Z22" s="393"/>
      <c r="AA22" s="393"/>
      <c r="AB22" s="393"/>
      <c r="AC22" s="394"/>
    </row>
    <row r="23" spans="1:29" ht="12.75" customHeight="1" x14ac:dyDescent="0.2">
      <c r="A23" s="445" t="str">
        <f>IF('Dane personalne'!D24="","",'Dane personalne'!D24)</f>
        <v/>
      </c>
      <c r="B23" s="405"/>
      <c r="C23" s="405"/>
      <c r="D23" s="405"/>
      <c r="E23" s="405"/>
      <c r="F23" s="405"/>
      <c r="G23" s="405"/>
      <c r="H23" s="405"/>
      <c r="I23" s="405"/>
      <c r="J23" s="405"/>
      <c r="K23" s="405"/>
      <c r="L23" s="405"/>
      <c r="M23" s="405"/>
      <c r="N23" s="405"/>
      <c r="O23" s="54"/>
      <c r="P23" s="409" t="str">
        <f>IF('Dane personalne'!D25="","",'Dane personalne'!D25)</f>
        <v/>
      </c>
      <c r="Q23" s="409"/>
      <c r="R23" s="409"/>
      <c r="S23" s="409"/>
      <c r="T23" s="409"/>
      <c r="U23" s="409"/>
      <c r="V23" s="410" t="str">
        <f>IF('Dane personalne'!F25="","",'Dane personalne'!F25)</f>
        <v/>
      </c>
      <c r="W23" s="410"/>
      <c r="X23" s="228"/>
      <c r="Y23" s="228"/>
      <c r="Z23" s="228"/>
      <c r="AA23" s="228"/>
      <c r="AB23" s="405" t="str">
        <f>IF('Dane personalne'!D29="","",'Dane personalne'!D29)</f>
        <v/>
      </c>
      <c r="AC23" s="406"/>
    </row>
    <row r="24" spans="1:29" ht="12.75" customHeight="1" x14ac:dyDescent="0.2">
      <c r="A24" s="401" t="s">
        <v>462</v>
      </c>
      <c r="B24" s="393"/>
      <c r="C24" s="393"/>
      <c r="D24" s="393"/>
      <c r="E24" s="393"/>
      <c r="F24" s="393"/>
      <c r="G24" s="393"/>
      <c r="H24" s="393"/>
      <c r="I24" s="393"/>
      <c r="J24" s="393"/>
      <c r="K24" s="393"/>
      <c r="L24" s="393"/>
      <c r="M24" s="393"/>
      <c r="N24" s="393"/>
      <c r="O24" s="54"/>
      <c r="P24" s="393" t="s">
        <v>463</v>
      </c>
      <c r="Q24" s="393"/>
      <c r="R24" s="393"/>
      <c r="S24" s="393"/>
      <c r="T24" s="393"/>
      <c r="U24" s="393"/>
      <c r="V24" s="403"/>
      <c r="W24" s="403"/>
      <c r="X24" s="55"/>
      <c r="Y24" s="55"/>
      <c r="Z24" s="55"/>
      <c r="AA24" s="55"/>
      <c r="AB24" s="393" t="s">
        <v>617</v>
      </c>
      <c r="AC24" s="394"/>
    </row>
    <row r="25" spans="1:29" ht="7.5" customHeight="1" x14ac:dyDescent="0.2">
      <c r="A25" s="388"/>
      <c r="B25" s="389"/>
      <c r="C25" s="389"/>
      <c r="D25" s="389"/>
      <c r="E25" s="389"/>
      <c r="F25" s="389"/>
      <c r="G25" s="389"/>
      <c r="H25" s="389"/>
      <c r="I25" s="389"/>
      <c r="J25" s="389"/>
      <c r="K25" s="389"/>
      <c r="L25" s="389"/>
      <c r="M25" s="389"/>
      <c r="N25" s="389"/>
      <c r="O25" s="389"/>
      <c r="P25" s="389"/>
      <c r="Q25" s="389"/>
      <c r="R25" s="389"/>
      <c r="S25" s="389"/>
      <c r="T25" s="389"/>
      <c r="U25" s="389"/>
      <c r="V25" s="389"/>
      <c r="W25" s="389"/>
      <c r="X25" s="389"/>
      <c r="Y25" s="389"/>
      <c r="Z25" s="389"/>
      <c r="AA25" s="389"/>
      <c r="AB25" s="389"/>
      <c r="AC25" s="390"/>
    </row>
    <row r="26" spans="1:29" ht="5.25" customHeight="1" x14ac:dyDescent="0.2">
      <c r="A26" s="498"/>
      <c r="B26" s="492"/>
      <c r="C26" s="492"/>
      <c r="D26" s="492"/>
      <c r="E26" s="492"/>
      <c r="F26" s="492"/>
      <c r="G26" s="492"/>
      <c r="H26" s="492"/>
      <c r="I26" s="492"/>
      <c r="J26" s="492"/>
      <c r="K26" s="492"/>
      <c r="L26" s="492"/>
      <c r="M26" s="492"/>
      <c r="N26" s="492"/>
      <c r="O26" s="492"/>
      <c r="P26" s="492"/>
      <c r="Q26" s="492"/>
      <c r="R26" s="492"/>
      <c r="S26" s="492"/>
      <c r="T26" s="492"/>
      <c r="U26" s="492"/>
      <c r="V26" s="492"/>
      <c r="W26" s="492"/>
      <c r="X26" s="492"/>
      <c r="Y26" s="492"/>
      <c r="Z26" s="492"/>
      <c r="AA26" s="492"/>
      <c r="AB26" s="492"/>
      <c r="AC26" s="499"/>
    </row>
    <row r="27" spans="1:29" ht="12.75" customHeight="1" x14ac:dyDescent="0.2">
      <c r="A27" s="401" t="s">
        <v>464</v>
      </c>
      <c r="B27" s="393"/>
      <c r="C27" s="393"/>
      <c r="D27" s="393"/>
      <c r="E27" s="393"/>
      <c r="F27" s="55"/>
      <c r="G27" s="157" t="str">
        <f>IF('Dane personalne'!C56="","",'Dane personalne'!C56)</f>
        <v/>
      </c>
      <c r="H27" s="419" t="s">
        <v>89</v>
      </c>
      <c r="I27" s="393"/>
      <c r="J27" s="393"/>
      <c r="K27" s="393"/>
      <c r="L27" s="54"/>
      <c r="M27" s="496" t="str">
        <f>IF('Dane personalne'!C57="","",'Dane personalne'!C57)</f>
        <v/>
      </c>
      <c r="N27" s="497"/>
      <c r="O27" s="419" t="s">
        <v>465</v>
      </c>
      <c r="P27" s="393"/>
      <c r="Q27" s="393"/>
      <c r="R27" s="393"/>
      <c r="S27" s="393"/>
      <c r="T27" s="393"/>
      <c r="U27" s="393"/>
      <c r="V27" s="132" t="str">
        <f>IF('Dane personalne'!C58="","",'Dane personalne'!C58)</f>
        <v/>
      </c>
      <c r="W27" s="64"/>
      <c r="X27" s="56" t="s">
        <v>160</v>
      </c>
      <c r="Y27" s="54"/>
      <c r="Z27" s="54"/>
      <c r="AA27" s="54"/>
      <c r="AB27" s="54"/>
      <c r="AC27" s="57"/>
    </row>
    <row r="28" spans="1:29" ht="6.75" customHeight="1" x14ac:dyDescent="0.2">
      <c r="A28" s="401"/>
      <c r="B28" s="393"/>
      <c r="C28" s="393"/>
      <c r="D28" s="393"/>
      <c r="E28" s="393"/>
      <c r="F28" s="393"/>
      <c r="G28" s="393"/>
      <c r="H28" s="393"/>
      <c r="I28" s="393"/>
      <c r="J28" s="393"/>
      <c r="K28" s="393"/>
      <c r="L28" s="393"/>
      <c r="M28" s="393"/>
      <c r="N28" s="393"/>
      <c r="O28" s="393"/>
      <c r="P28" s="393"/>
      <c r="Q28" s="393"/>
      <c r="R28" s="393"/>
      <c r="S28" s="393"/>
      <c r="T28" s="393"/>
      <c r="U28" s="393"/>
      <c r="V28" s="393"/>
      <c r="W28" s="393"/>
      <c r="X28" s="393"/>
      <c r="Y28" s="393"/>
      <c r="Z28" s="393"/>
      <c r="AA28" s="393"/>
      <c r="AB28" s="393"/>
      <c r="AC28" s="394"/>
    </row>
    <row r="29" spans="1:29" ht="12.75" customHeight="1" x14ac:dyDescent="0.2">
      <c r="A29" s="488" t="s">
        <v>466</v>
      </c>
      <c r="B29" s="393"/>
      <c r="C29" s="393"/>
      <c r="D29" s="393"/>
      <c r="E29" s="393"/>
      <c r="F29" s="393"/>
      <c r="G29" s="393"/>
      <c r="H29" s="393"/>
      <c r="I29" s="393"/>
      <c r="J29" s="393"/>
      <c r="K29" s="393"/>
      <c r="L29" s="393"/>
      <c r="M29" s="405" t="str">
        <f>IF('Dane personalne'!D59="","",'Dane personalne'!D59)</f>
        <v/>
      </c>
      <c r="N29" s="405"/>
      <c r="O29" s="405"/>
      <c r="P29" s="405"/>
      <c r="Q29" s="405"/>
      <c r="R29" s="405"/>
      <c r="S29" s="405"/>
      <c r="T29" s="405"/>
      <c r="U29" s="405"/>
      <c r="V29" s="405"/>
      <c r="W29" s="405"/>
      <c r="X29" s="405"/>
      <c r="Y29" s="405"/>
      <c r="Z29" s="405"/>
      <c r="AA29" s="405"/>
      <c r="AB29" s="405"/>
      <c r="AC29" s="406"/>
    </row>
    <row r="30" spans="1:29" ht="8.4499999999999993" customHeight="1" x14ac:dyDescent="0.2">
      <c r="A30" s="388"/>
      <c r="B30" s="389"/>
      <c r="C30" s="389"/>
      <c r="D30" s="389"/>
      <c r="E30" s="389"/>
      <c r="F30" s="389"/>
      <c r="G30" s="389"/>
      <c r="H30" s="389"/>
      <c r="I30" s="389"/>
      <c r="J30" s="389"/>
      <c r="K30" s="389"/>
      <c r="L30" s="389"/>
      <c r="M30" s="389"/>
      <c r="N30" s="389"/>
      <c r="O30" s="389"/>
      <c r="P30" s="389"/>
      <c r="Q30" s="389"/>
      <c r="R30" s="389"/>
      <c r="S30" s="389"/>
      <c r="T30" s="389"/>
      <c r="U30" s="389"/>
      <c r="V30" s="389"/>
      <c r="W30" s="389"/>
      <c r="X30" s="389"/>
      <c r="Y30" s="389"/>
      <c r="Z30" s="389"/>
      <c r="AA30" s="389"/>
      <c r="AB30" s="389"/>
      <c r="AC30" s="390"/>
    </row>
    <row r="31" spans="1:29" ht="6.75" customHeight="1" x14ac:dyDescent="0.2">
      <c r="A31" s="398" t="s">
        <v>90</v>
      </c>
      <c r="B31" s="399"/>
      <c r="C31" s="492"/>
      <c r="D31" s="492"/>
      <c r="E31" s="492"/>
      <c r="F31" s="492"/>
      <c r="G31" s="492"/>
      <c r="H31" s="493"/>
      <c r="I31" s="494" t="s">
        <v>91</v>
      </c>
      <c r="J31" s="492"/>
      <c r="K31" s="492"/>
      <c r="L31" s="492"/>
      <c r="M31" s="492"/>
      <c r="N31" s="492"/>
      <c r="O31" s="492"/>
      <c r="P31" s="492"/>
      <c r="Q31" s="492"/>
      <c r="R31" s="492"/>
      <c r="S31" s="492"/>
      <c r="T31" s="492"/>
      <c r="U31" s="492"/>
      <c r="V31" s="492"/>
      <c r="W31" s="492"/>
      <c r="X31" s="493"/>
      <c r="Y31" s="423" t="s">
        <v>467</v>
      </c>
      <c r="Z31" s="399"/>
      <c r="AA31" s="399"/>
      <c r="AB31" s="399"/>
      <c r="AC31" s="400"/>
    </row>
    <row r="32" spans="1:29" ht="12.75" customHeight="1" x14ac:dyDescent="0.2">
      <c r="A32" s="395"/>
      <c r="B32" s="396"/>
      <c r="C32" s="393"/>
      <c r="D32" s="393"/>
      <c r="E32" s="393"/>
      <c r="F32" s="393"/>
      <c r="G32" s="393"/>
      <c r="H32" s="418"/>
      <c r="I32" s="419"/>
      <c r="J32" s="393"/>
      <c r="K32" s="393"/>
      <c r="L32" s="393"/>
      <c r="M32" s="393"/>
      <c r="N32" s="393"/>
      <c r="O32" s="393"/>
      <c r="P32" s="393"/>
      <c r="Q32" s="393"/>
      <c r="R32" s="393"/>
      <c r="S32" s="393"/>
      <c r="T32" s="393"/>
      <c r="U32" s="393"/>
      <c r="V32" s="393"/>
      <c r="W32" s="393"/>
      <c r="X32" s="418"/>
      <c r="Y32" s="495"/>
      <c r="Z32" s="396"/>
      <c r="AA32" s="396"/>
      <c r="AB32" s="396"/>
      <c r="AC32" s="412"/>
    </row>
    <row r="33" spans="1:29" ht="6" customHeight="1" x14ac:dyDescent="0.2">
      <c r="A33" s="401"/>
      <c r="B33" s="393"/>
      <c r="C33" s="393"/>
      <c r="D33" s="393"/>
      <c r="E33" s="393"/>
      <c r="F33" s="393"/>
      <c r="G33" s="393"/>
      <c r="H33" s="418"/>
      <c r="I33" s="419"/>
      <c r="J33" s="393"/>
      <c r="K33" s="393"/>
      <c r="L33" s="393"/>
      <c r="M33" s="393"/>
      <c r="N33" s="393"/>
      <c r="O33" s="393"/>
      <c r="P33" s="393"/>
      <c r="Q33" s="393"/>
      <c r="R33" s="393"/>
      <c r="S33" s="393"/>
      <c r="T33" s="393"/>
      <c r="U33" s="393"/>
      <c r="V33" s="393"/>
      <c r="W33" s="393"/>
      <c r="X33" s="418"/>
      <c r="Y33" s="419"/>
      <c r="Z33" s="393"/>
      <c r="AA33" s="393"/>
      <c r="AB33" s="393"/>
      <c r="AC33" s="394"/>
    </row>
    <row r="34" spans="1:29" ht="12.2" customHeight="1" x14ac:dyDescent="0.2">
      <c r="A34" s="415" t="str">
        <f>IF('Dane personalne'!D60="","",'Dane personalne'!D60)</f>
        <v/>
      </c>
      <c r="B34" s="416"/>
      <c r="C34" s="416"/>
      <c r="D34" s="416"/>
      <c r="E34" s="416"/>
      <c r="F34" s="416"/>
      <c r="G34" s="416"/>
      <c r="H34" s="417"/>
      <c r="I34" s="424" t="str">
        <f>IF('Dane personalne'!D61="","",'Dane personalne'!D61)</f>
        <v/>
      </c>
      <c r="J34" s="416"/>
      <c r="K34" s="416"/>
      <c r="L34" s="416"/>
      <c r="M34" s="416"/>
      <c r="N34" s="416"/>
      <c r="O34" s="416"/>
      <c r="P34" s="416"/>
      <c r="Q34" s="416"/>
      <c r="R34" s="416"/>
      <c r="S34" s="416"/>
      <c r="T34" s="416"/>
      <c r="U34" s="416"/>
      <c r="V34" s="416"/>
      <c r="W34" s="416"/>
      <c r="X34" s="417"/>
      <c r="Y34" s="424" t="str">
        <f>IF('Dane personalne'!D62="","",'Dane personalne'!D62)</f>
        <v/>
      </c>
      <c r="Z34" s="416"/>
      <c r="AA34" s="416"/>
      <c r="AB34" s="416"/>
      <c r="AC34" s="425"/>
    </row>
    <row r="35" spans="1:29" ht="12.2" customHeight="1" x14ac:dyDescent="0.2">
      <c r="A35" s="108"/>
      <c r="B35" s="64"/>
      <c r="C35" s="64"/>
      <c r="D35" s="64"/>
      <c r="E35" s="64"/>
      <c r="F35" s="64"/>
      <c r="G35" s="64"/>
      <c r="H35" s="109"/>
      <c r="I35" s="110"/>
      <c r="J35" s="64"/>
      <c r="K35" s="64"/>
      <c r="L35" s="64"/>
      <c r="M35" s="64"/>
      <c r="N35" s="64"/>
      <c r="O35" s="64"/>
      <c r="P35" s="64"/>
      <c r="Q35" s="64"/>
      <c r="R35" s="64"/>
      <c r="S35" s="64"/>
      <c r="T35" s="64"/>
      <c r="U35" s="64"/>
      <c r="V35" s="64"/>
      <c r="W35" s="64"/>
      <c r="X35" s="109"/>
      <c r="Y35" s="110"/>
      <c r="Z35" s="64"/>
      <c r="AA35" s="64"/>
      <c r="AB35" s="64"/>
      <c r="AC35" s="111"/>
    </row>
    <row r="36" spans="1:29" ht="12.2" customHeight="1" x14ac:dyDescent="0.2">
      <c r="A36" s="108"/>
      <c r="B36" s="64"/>
      <c r="C36" s="64"/>
      <c r="D36" s="64"/>
      <c r="E36" s="64"/>
      <c r="F36" s="64"/>
      <c r="G36" s="64"/>
      <c r="H36" s="109"/>
      <c r="I36" s="110"/>
      <c r="J36" s="64"/>
      <c r="K36" s="64"/>
      <c r="L36" s="64"/>
      <c r="M36" s="64"/>
      <c r="N36" s="64"/>
      <c r="O36" s="64"/>
      <c r="P36" s="64"/>
      <c r="Q36" s="64"/>
      <c r="R36" s="64"/>
      <c r="S36" s="64"/>
      <c r="T36" s="64"/>
      <c r="U36" s="64"/>
      <c r="V36" s="64"/>
      <c r="W36" s="64"/>
      <c r="X36" s="109"/>
      <c r="Y36" s="110"/>
      <c r="Z36" s="64"/>
      <c r="AA36" s="64"/>
      <c r="AB36" s="64"/>
      <c r="AC36" s="111"/>
    </row>
    <row r="37" spans="1:29" x14ac:dyDescent="0.2">
      <c r="A37" s="388"/>
      <c r="B37" s="389"/>
      <c r="C37" s="389"/>
      <c r="D37" s="389"/>
      <c r="E37" s="389"/>
      <c r="F37" s="389"/>
      <c r="G37" s="389"/>
      <c r="H37" s="414"/>
      <c r="I37" s="413"/>
      <c r="J37" s="389"/>
      <c r="K37" s="389"/>
      <c r="L37" s="389"/>
      <c r="M37" s="389"/>
      <c r="N37" s="389"/>
      <c r="O37" s="389"/>
      <c r="P37" s="389"/>
      <c r="Q37" s="389"/>
      <c r="R37" s="389"/>
      <c r="S37" s="389"/>
      <c r="T37" s="389"/>
      <c r="U37" s="389"/>
      <c r="V37" s="389"/>
      <c r="W37" s="389"/>
      <c r="X37" s="414"/>
      <c r="Y37" s="413"/>
      <c r="Z37" s="389"/>
      <c r="AA37" s="389"/>
      <c r="AB37" s="389"/>
      <c r="AC37" s="390"/>
    </row>
    <row r="38" spans="1:29" ht="12.75" customHeight="1" x14ac:dyDescent="0.2">
      <c r="A38" s="398" t="s">
        <v>468</v>
      </c>
      <c r="B38" s="399"/>
      <c r="C38" s="399"/>
      <c r="D38" s="399"/>
      <c r="E38" s="399"/>
      <c r="F38" s="399"/>
      <c r="G38" s="399"/>
      <c r="H38" s="399"/>
      <c r="I38" s="399"/>
      <c r="J38" s="399"/>
      <c r="K38" s="399"/>
      <c r="L38" s="399"/>
      <c r="M38" s="399"/>
      <c r="N38" s="399"/>
      <c r="O38" s="399"/>
      <c r="P38" s="399"/>
      <c r="Q38" s="399"/>
      <c r="R38" s="399"/>
      <c r="S38" s="399"/>
      <c r="T38" s="399"/>
      <c r="U38" s="399"/>
      <c r="V38" s="399"/>
      <c r="W38" s="399"/>
      <c r="X38" s="399"/>
      <c r="Y38" s="399"/>
      <c r="Z38" s="399"/>
      <c r="AA38" s="399"/>
      <c r="AB38" s="399"/>
      <c r="AC38" s="400"/>
    </row>
    <row r="39" spans="1:29" ht="4.7" customHeight="1" x14ac:dyDescent="0.2">
      <c r="A39" s="401"/>
      <c r="B39" s="393"/>
      <c r="C39" s="393"/>
      <c r="D39" s="393"/>
      <c r="E39" s="393"/>
      <c r="F39" s="393"/>
      <c r="G39" s="393"/>
      <c r="H39" s="393"/>
      <c r="I39" s="393"/>
      <c r="J39" s="393"/>
      <c r="K39" s="393"/>
      <c r="L39" s="393"/>
      <c r="M39" s="393"/>
      <c r="N39" s="393"/>
      <c r="O39" s="393"/>
      <c r="P39" s="393"/>
      <c r="Q39" s="393"/>
      <c r="R39" s="393"/>
      <c r="S39" s="393"/>
      <c r="T39" s="393"/>
      <c r="U39" s="393"/>
      <c r="V39" s="393"/>
      <c r="W39" s="393"/>
      <c r="X39" s="393"/>
      <c r="Y39" s="393"/>
      <c r="Z39" s="393"/>
      <c r="AA39" s="393"/>
      <c r="AB39" s="393"/>
      <c r="AC39" s="394"/>
    </row>
    <row r="40" spans="1:29" ht="12.75" customHeight="1" x14ac:dyDescent="0.2">
      <c r="A40" s="445" t="str">
        <f>IF('Dane personalne'!D63="","",'Dane personalne'!D63)</f>
        <v/>
      </c>
      <c r="B40" s="405"/>
      <c r="C40" s="405"/>
      <c r="D40" s="405"/>
      <c r="E40" s="405"/>
      <c r="F40" s="405"/>
      <c r="G40" s="405"/>
      <c r="H40" s="405"/>
      <c r="I40" s="405"/>
      <c r="J40" s="405"/>
      <c r="K40" s="405"/>
      <c r="L40" s="405"/>
      <c r="M40" s="405"/>
      <c r="N40" s="405"/>
      <c r="O40" s="405"/>
      <c r="P40" s="405"/>
      <c r="Q40" s="405"/>
      <c r="R40" s="405"/>
      <c r="S40" s="405"/>
      <c r="T40" s="405"/>
      <c r="U40" s="405"/>
      <c r="V40" s="405"/>
      <c r="W40" s="405"/>
      <c r="X40" s="405"/>
      <c r="Y40" s="405"/>
      <c r="Z40" s="405"/>
      <c r="AA40" s="405"/>
      <c r="AB40" s="405"/>
      <c r="AC40" s="406"/>
    </row>
    <row r="41" spans="1:29" ht="12.75" customHeight="1" x14ac:dyDescent="0.2">
      <c r="A41" s="489" t="str">
        <f>IF('Dane personalne'!D64="","",'Dane personalne'!D64)</f>
        <v/>
      </c>
      <c r="B41" s="490"/>
      <c r="C41" s="490"/>
      <c r="D41" s="490"/>
      <c r="E41" s="490"/>
      <c r="F41" s="490"/>
      <c r="G41" s="490"/>
      <c r="H41" s="490"/>
      <c r="I41" s="490"/>
      <c r="J41" s="490"/>
      <c r="K41" s="490"/>
      <c r="L41" s="490"/>
      <c r="M41" s="490"/>
      <c r="N41" s="490"/>
      <c r="O41" s="490"/>
      <c r="P41" s="490"/>
      <c r="Q41" s="490"/>
      <c r="R41" s="490"/>
      <c r="S41" s="490"/>
      <c r="T41" s="490"/>
      <c r="U41" s="490"/>
      <c r="V41" s="490"/>
      <c r="W41" s="490"/>
      <c r="X41" s="490"/>
      <c r="Y41" s="490"/>
      <c r="Z41" s="490"/>
      <c r="AA41" s="490"/>
      <c r="AB41" s="490"/>
      <c r="AC41" s="491"/>
    </row>
    <row r="42" spans="1:29" ht="9.75" customHeight="1" x14ac:dyDescent="0.2">
      <c r="A42" s="388"/>
      <c r="B42" s="389"/>
      <c r="C42" s="389"/>
      <c r="D42" s="389"/>
      <c r="E42" s="389"/>
      <c r="F42" s="389"/>
      <c r="G42" s="389"/>
      <c r="H42" s="389"/>
      <c r="I42" s="389"/>
      <c r="J42" s="389"/>
      <c r="K42" s="389"/>
      <c r="L42" s="389"/>
      <c r="M42" s="389"/>
      <c r="N42" s="389"/>
      <c r="O42" s="389"/>
      <c r="P42" s="389"/>
      <c r="Q42" s="389"/>
      <c r="R42" s="389"/>
      <c r="S42" s="389"/>
      <c r="T42" s="389"/>
      <c r="U42" s="389"/>
      <c r="V42" s="389"/>
      <c r="W42" s="389"/>
      <c r="X42" s="389"/>
      <c r="Y42" s="389"/>
      <c r="Z42" s="389"/>
      <c r="AA42" s="389"/>
      <c r="AB42" s="389"/>
      <c r="AC42" s="390"/>
    </row>
    <row r="43" spans="1:29" ht="12.75" customHeight="1" x14ac:dyDescent="0.2">
      <c r="A43" s="398" t="s">
        <v>92</v>
      </c>
      <c r="B43" s="399"/>
      <c r="C43" s="402" t="str">
        <f>IF('Dane personalne'!D66="","",'Dane personalne'!D66)</f>
        <v/>
      </c>
      <c r="D43" s="402"/>
      <c r="E43" s="402"/>
      <c r="F43" s="402"/>
      <c r="G43" s="402"/>
      <c r="H43" s="402"/>
      <c r="I43" s="402"/>
      <c r="J43" s="402"/>
      <c r="K43" s="402"/>
      <c r="L43" s="402"/>
      <c r="M43" s="402"/>
      <c r="N43" s="402"/>
      <c r="O43" s="402"/>
      <c r="P43" s="402"/>
      <c r="Q43" s="402"/>
      <c r="R43" s="402"/>
      <c r="S43" s="402"/>
      <c r="T43" s="402"/>
      <c r="U43" s="422"/>
      <c r="V43" s="423" t="s">
        <v>93</v>
      </c>
      <c r="W43" s="399"/>
      <c r="X43" s="399"/>
      <c r="Y43" s="399"/>
      <c r="Z43" s="399"/>
      <c r="AA43" s="399"/>
      <c r="AB43" s="399"/>
      <c r="AC43" s="57"/>
    </row>
    <row r="44" spans="1:29" ht="16.5" customHeight="1" x14ac:dyDescent="0.2">
      <c r="A44" s="401"/>
      <c r="B44" s="393"/>
      <c r="C44" s="393"/>
      <c r="D44" s="393"/>
      <c r="E44" s="393"/>
      <c r="F44" s="393"/>
      <c r="G44" s="393"/>
      <c r="H44" s="393"/>
      <c r="I44" s="393"/>
      <c r="J44" s="393"/>
      <c r="K44" s="393"/>
      <c r="L44" s="393"/>
      <c r="M44" s="393"/>
      <c r="N44" s="393"/>
      <c r="O44" s="393"/>
      <c r="P44" s="393"/>
      <c r="Q44" s="393"/>
      <c r="R44" s="393"/>
      <c r="S44" s="393"/>
      <c r="T44" s="393"/>
      <c r="U44" s="418"/>
      <c r="V44" s="419"/>
      <c r="W44" s="393"/>
      <c r="X44" s="393"/>
      <c r="Y44" s="393"/>
      <c r="Z44" s="393"/>
      <c r="AA44" s="393"/>
      <c r="AB44" s="393"/>
      <c r="AC44" s="394"/>
    </row>
    <row r="45" spans="1:29" ht="15" customHeight="1" x14ac:dyDescent="0.2">
      <c r="A45" s="415"/>
      <c r="B45" s="416"/>
      <c r="C45" s="416"/>
      <c r="D45" s="416"/>
      <c r="E45" s="416"/>
      <c r="F45" s="416"/>
      <c r="G45" s="416"/>
      <c r="H45" s="416"/>
      <c r="I45" s="416"/>
      <c r="J45" s="416"/>
      <c r="K45" s="416"/>
      <c r="L45" s="416"/>
      <c r="M45" s="416"/>
      <c r="N45" s="416"/>
      <c r="O45" s="416"/>
      <c r="P45" s="416"/>
      <c r="Q45" s="416"/>
      <c r="R45" s="416"/>
      <c r="S45" s="416"/>
      <c r="T45" s="416"/>
      <c r="U45" s="417"/>
      <c r="V45" s="424" t="str">
        <f>IF('Dane personalne'!D67="","",'Dane personalne'!D67)</f>
        <v/>
      </c>
      <c r="W45" s="416"/>
      <c r="X45" s="416"/>
      <c r="Y45" s="416"/>
      <c r="Z45" s="416"/>
      <c r="AA45" s="416"/>
      <c r="AB45" s="416"/>
      <c r="AC45" s="425"/>
    </row>
    <row r="46" spans="1:29" ht="23.25" customHeight="1" x14ac:dyDescent="0.2">
      <c r="A46" s="388"/>
      <c r="B46" s="389"/>
      <c r="C46" s="389"/>
      <c r="D46" s="389"/>
      <c r="E46" s="389"/>
      <c r="F46" s="389"/>
      <c r="G46" s="389"/>
      <c r="H46" s="389"/>
      <c r="I46" s="389"/>
      <c r="J46" s="389"/>
      <c r="K46" s="389"/>
      <c r="L46" s="389"/>
      <c r="M46" s="389"/>
      <c r="N46" s="389"/>
      <c r="O46" s="389"/>
      <c r="P46" s="389"/>
      <c r="Q46" s="389"/>
      <c r="R46" s="389"/>
      <c r="S46" s="389"/>
      <c r="T46" s="389"/>
      <c r="U46" s="414"/>
      <c r="V46" s="413"/>
      <c r="W46" s="389"/>
      <c r="X46" s="389"/>
      <c r="Y46" s="389"/>
      <c r="Z46" s="389"/>
      <c r="AA46" s="389"/>
      <c r="AB46" s="389"/>
      <c r="AC46" s="390"/>
    </row>
    <row r="47" spans="1:29" ht="7.5" customHeight="1" x14ac:dyDescent="0.2">
      <c r="A47" s="498"/>
      <c r="B47" s="492"/>
      <c r="C47" s="492"/>
      <c r="D47" s="492"/>
      <c r="E47" s="492"/>
      <c r="F47" s="492"/>
      <c r="G47" s="492"/>
      <c r="H47" s="492"/>
      <c r="I47" s="492"/>
      <c r="J47" s="492"/>
      <c r="K47" s="492"/>
      <c r="L47" s="492"/>
      <c r="M47" s="492"/>
      <c r="N47" s="492"/>
      <c r="O47" s="492"/>
      <c r="P47" s="492"/>
      <c r="Q47" s="492"/>
      <c r="R47" s="492"/>
      <c r="S47" s="492"/>
      <c r="T47" s="492"/>
      <c r="U47" s="492"/>
      <c r="V47" s="492"/>
      <c r="W47" s="492"/>
      <c r="X47" s="492"/>
      <c r="Y47" s="492"/>
      <c r="Z47" s="492"/>
      <c r="AA47" s="492"/>
      <c r="AB47" s="492"/>
      <c r="AC47" s="499"/>
    </row>
    <row r="48" spans="1:29" ht="13.7" customHeight="1" x14ac:dyDescent="0.2">
      <c r="A48" s="395" t="s">
        <v>124</v>
      </c>
      <c r="B48" s="396"/>
      <c r="C48" s="396"/>
      <c r="D48" s="396"/>
      <c r="E48" s="396"/>
      <c r="F48" s="396"/>
      <c r="G48" s="396"/>
      <c r="H48" s="396"/>
      <c r="I48" s="396"/>
      <c r="J48" s="396"/>
      <c r="K48" s="396"/>
      <c r="L48" s="396"/>
      <c r="M48" s="396"/>
      <c r="N48" s="396"/>
      <c r="O48" s="396"/>
      <c r="P48" s="396"/>
      <c r="Q48" s="396"/>
      <c r="R48" s="396"/>
      <c r="S48" s="396"/>
      <c r="T48" s="396"/>
      <c r="U48" s="396"/>
      <c r="V48" s="396"/>
      <c r="W48" s="396"/>
      <c r="X48" s="396"/>
      <c r="Y48" s="396"/>
      <c r="Z48" s="396"/>
      <c r="AA48" s="396"/>
      <c r="AB48" s="396"/>
      <c r="AC48" s="412"/>
    </row>
    <row r="49" spans="1:29" ht="6" customHeight="1" x14ac:dyDescent="0.2">
      <c r="A49" s="388"/>
      <c r="B49" s="389"/>
      <c r="C49" s="389"/>
      <c r="D49" s="389"/>
      <c r="E49" s="389"/>
      <c r="F49" s="389"/>
      <c r="G49" s="389"/>
      <c r="H49" s="389"/>
      <c r="I49" s="389"/>
      <c r="J49" s="389"/>
      <c r="K49" s="389"/>
      <c r="L49" s="389"/>
      <c r="M49" s="389"/>
      <c r="N49" s="389"/>
      <c r="O49" s="389"/>
      <c r="P49" s="389"/>
      <c r="Q49" s="389"/>
      <c r="R49" s="389"/>
      <c r="S49" s="389"/>
      <c r="T49" s="389"/>
      <c r="U49" s="389"/>
      <c r="V49" s="389"/>
      <c r="W49" s="389"/>
      <c r="X49" s="389"/>
      <c r="Y49" s="389"/>
      <c r="Z49" s="389"/>
      <c r="AA49" s="389"/>
      <c r="AB49" s="389"/>
      <c r="AC49" s="390"/>
    </row>
    <row r="50" spans="1:29" ht="16.5" customHeight="1" x14ac:dyDescent="0.2">
      <c r="A50" s="420" t="s">
        <v>98</v>
      </c>
      <c r="B50" s="421"/>
      <c r="C50" s="421"/>
      <c r="D50" s="421"/>
      <c r="E50" s="421"/>
      <c r="F50" s="421"/>
      <c r="G50" s="421"/>
      <c r="H50" s="504" t="s">
        <v>96</v>
      </c>
      <c r="I50" s="505"/>
      <c r="J50" s="505"/>
      <c r="K50" s="505"/>
      <c r="L50" s="505"/>
      <c r="M50" s="505"/>
      <c r="N50" s="505"/>
      <c r="O50" s="505"/>
      <c r="P50" s="505"/>
      <c r="Q50" s="505"/>
      <c r="R50" s="506"/>
      <c r="S50" s="504" t="s">
        <v>649</v>
      </c>
      <c r="T50" s="505"/>
      <c r="U50" s="505"/>
      <c r="V50" s="505"/>
      <c r="W50" s="505"/>
      <c r="X50" s="505"/>
      <c r="Y50" s="505"/>
      <c r="Z50" s="505"/>
      <c r="AA50" s="506"/>
      <c r="AB50" s="504" t="s">
        <v>97</v>
      </c>
      <c r="AC50" s="510"/>
    </row>
    <row r="51" spans="1:29" ht="13.7" customHeight="1" x14ac:dyDescent="0.2">
      <c r="A51" s="500" t="s">
        <v>94</v>
      </c>
      <c r="B51" s="501"/>
      <c r="C51" s="502" t="s">
        <v>95</v>
      </c>
      <c r="D51" s="503"/>
      <c r="E51" s="503"/>
      <c r="F51" s="503"/>
      <c r="G51" s="501"/>
      <c r="H51" s="507"/>
      <c r="I51" s="508"/>
      <c r="J51" s="508"/>
      <c r="K51" s="508"/>
      <c r="L51" s="508"/>
      <c r="M51" s="508"/>
      <c r="N51" s="508"/>
      <c r="O51" s="508"/>
      <c r="P51" s="508"/>
      <c r="Q51" s="508"/>
      <c r="R51" s="509"/>
      <c r="S51" s="507"/>
      <c r="T51" s="508"/>
      <c r="U51" s="508"/>
      <c r="V51" s="508"/>
      <c r="W51" s="508"/>
      <c r="X51" s="508"/>
      <c r="Y51" s="508"/>
      <c r="Z51" s="508"/>
      <c r="AA51" s="509"/>
      <c r="AB51" s="507"/>
      <c r="AC51" s="511"/>
    </row>
    <row r="52" spans="1:29" ht="24.75" customHeight="1" x14ac:dyDescent="0.2">
      <c r="A52" s="426" t="str">
        <f>IF('Dane personalne'!B83="","",'Dane personalne'!B83)</f>
        <v/>
      </c>
      <c r="B52" s="427"/>
      <c r="C52" s="428" t="str">
        <f>IF('Dane personalne'!C83="","",'Dane personalne'!C83)</f>
        <v/>
      </c>
      <c r="D52" s="428"/>
      <c r="E52" s="428"/>
      <c r="F52" s="428"/>
      <c r="G52" s="428"/>
      <c r="H52" s="478" t="str">
        <f>IF('Dane personalne'!D83="","",'Dane personalne'!D83)</f>
        <v/>
      </c>
      <c r="I52" s="479"/>
      <c r="J52" s="479"/>
      <c r="K52" s="479"/>
      <c r="L52" s="479"/>
      <c r="M52" s="479"/>
      <c r="N52" s="479"/>
      <c r="O52" s="479"/>
      <c r="P52" s="479"/>
      <c r="Q52" s="479"/>
      <c r="R52" s="480"/>
      <c r="S52" s="481" t="str">
        <f>IF('Dane personalne'!E83="","",'Dane personalne'!E83)</f>
        <v/>
      </c>
      <c r="T52" s="482"/>
      <c r="U52" s="482"/>
      <c r="V52" s="482"/>
      <c r="W52" s="482"/>
      <c r="X52" s="482"/>
      <c r="Y52" s="482"/>
      <c r="Z52" s="482"/>
      <c r="AA52" s="483"/>
      <c r="AB52" s="478" t="str">
        <f>IF('Dane personalne'!F83="","",'Dane personalne'!F83)</f>
        <v/>
      </c>
      <c r="AC52" s="484"/>
    </row>
    <row r="53" spans="1:29" ht="26.45" customHeight="1" x14ac:dyDescent="0.2">
      <c r="A53" s="426" t="str">
        <f>IF('Dane personalne'!B84="","",'Dane personalne'!B84)</f>
        <v/>
      </c>
      <c r="B53" s="427"/>
      <c r="C53" s="428" t="str">
        <f>IF('Dane personalne'!C84="","",'Dane personalne'!C84)</f>
        <v/>
      </c>
      <c r="D53" s="428"/>
      <c r="E53" s="428"/>
      <c r="F53" s="428"/>
      <c r="G53" s="428"/>
      <c r="H53" s="478" t="str">
        <f>IF('Dane personalne'!D84="","",'Dane personalne'!D84)</f>
        <v/>
      </c>
      <c r="I53" s="479"/>
      <c r="J53" s="479"/>
      <c r="K53" s="479"/>
      <c r="L53" s="479"/>
      <c r="M53" s="479"/>
      <c r="N53" s="479"/>
      <c r="O53" s="479"/>
      <c r="P53" s="479"/>
      <c r="Q53" s="479"/>
      <c r="R53" s="480"/>
      <c r="S53" s="481" t="str">
        <f>IF('Dane personalne'!E84="","",'Dane personalne'!E84)</f>
        <v/>
      </c>
      <c r="T53" s="482"/>
      <c r="U53" s="482"/>
      <c r="V53" s="482"/>
      <c r="W53" s="482"/>
      <c r="X53" s="482"/>
      <c r="Y53" s="482"/>
      <c r="Z53" s="482"/>
      <c r="AA53" s="483"/>
      <c r="AB53" s="478" t="str">
        <f>IF('Dane personalne'!F84="","",'Dane personalne'!F84)</f>
        <v/>
      </c>
      <c r="AC53" s="484"/>
    </row>
    <row r="54" spans="1:29" ht="24" customHeight="1" x14ac:dyDescent="0.2">
      <c r="A54" s="426" t="str">
        <f>IF('Dane personalne'!B85="","",'Dane personalne'!B85)</f>
        <v/>
      </c>
      <c r="B54" s="427"/>
      <c r="C54" s="428" t="str">
        <f>IF('Dane personalne'!C85="","",'Dane personalne'!C85)</f>
        <v/>
      </c>
      <c r="D54" s="428"/>
      <c r="E54" s="428"/>
      <c r="F54" s="428"/>
      <c r="G54" s="428"/>
      <c r="H54" s="478" t="str">
        <f>IF('Dane personalne'!D85="","",'Dane personalne'!D85)</f>
        <v/>
      </c>
      <c r="I54" s="479"/>
      <c r="J54" s="479"/>
      <c r="K54" s="479"/>
      <c r="L54" s="479"/>
      <c r="M54" s="479"/>
      <c r="N54" s="479"/>
      <c r="O54" s="479"/>
      <c r="P54" s="479"/>
      <c r="Q54" s="479"/>
      <c r="R54" s="480"/>
      <c r="S54" s="481" t="str">
        <f>IF('Dane personalne'!E85="","",'Dane personalne'!E85)</f>
        <v/>
      </c>
      <c r="T54" s="482"/>
      <c r="U54" s="482"/>
      <c r="V54" s="482"/>
      <c r="W54" s="482"/>
      <c r="X54" s="482"/>
      <c r="Y54" s="482"/>
      <c r="Z54" s="482"/>
      <c r="AA54" s="483"/>
      <c r="AB54" s="478" t="str">
        <f>IF('Dane personalne'!F85="","",'Dane personalne'!F85)</f>
        <v/>
      </c>
      <c r="AC54" s="484"/>
    </row>
    <row r="55" spans="1:29" ht="24" customHeight="1" x14ac:dyDescent="0.2">
      <c r="A55" s="426" t="str">
        <f>IF('Dane personalne'!B86="","",'Dane personalne'!B86)</f>
        <v/>
      </c>
      <c r="B55" s="427"/>
      <c r="C55" s="428" t="str">
        <f>IF('Dane personalne'!C86="","",'Dane personalne'!C86)</f>
        <v/>
      </c>
      <c r="D55" s="428"/>
      <c r="E55" s="428"/>
      <c r="F55" s="428"/>
      <c r="G55" s="428"/>
      <c r="H55" s="478" t="str">
        <f>IF('Dane personalne'!D86="","",'Dane personalne'!D86)</f>
        <v/>
      </c>
      <c r="I55" s="479"/>
      <c r="J55" s="479"/>
      <c r="K55" s="479"/>
      <c r="L55" s="479"/>
      <c r="M55" s="479"/>
      <c r="N55" s="479"/>
      <c r="O55" s="479"/>
      <c r="P55" s="479"/>
      <c r="Q55" s="479"/>
      <c r="R55" s="480"/>
      <c r="S55" s="481" t="str">
        <f>IF('Dane personalne'!E86="","",'Dane personalne'!E86)</f>
        <v/>
      </c>
      <c r="T55" s="482"/>
      <c r="U55" s="482"/>
      <c r="V55" s="482"/>
      <c r="W55" s="482"/>
      <c r="X55" s="482"/>
      <c r="Y55" s="482"/>
      <c r="Z55" s="482"/>
      <c r="AA55" s="483"/>
      <c r="AB55" s="478" t="str">
        <f>IF('Dane personalne'!F86="","",'Dane personalne'!F86)</f>
        <v/>
      </c>
      <c r="AC55" s="484"/>
    </row>
    <row r="56" spans="1:29" ht="22.7" customHeight="1" x14ac:dyDescent="0.2">
      <c r="A56" s="426" t="str">
        <f>IF('Dane personalne'!B87="","",'Dane personalne'!B87)</f>
        <v/>
      </c>
      <c r="B56" s="427"/>
      <c r="C56" s="428" t="str">
        <f>IF('Dane personalne'!C87="","",'Dane personalne'!C87)</f>
        <v/>
      </c>
      <c r="D56" s="428"/>
      <c r="E56" s="428"/>
      <c r="F56" s="428"/>
      <c r="G56" s="428"/>
      <c r="H56" s="478" t="str">
        <f>IF('Dane personalne'!D87="","",'Dane personalne'!D87)</f>
        <v/>
      </c>
      <c r="I56" s="479"/>
      <c r="J56" s="479"/>
      <c r="K56" s="479"/>
      <c r="L56" s="479"/>
      <c r="M56" s="479"/>
      <c r="N56" s="479"/>
      <c r="O56" s="479"/>
      <c r="P56" s="479"/>
      <c r="Q56" s="479"/>
      <c r="R56" s="480"/>
      <c r="S56" s="481" t="str">
        <f>IF('Dane personalne'!E87="","",'Dane personalne'!E87)</f>
        <v/>
      </c>
      <c r="T56" s="482"/>
      <c r="U56" s="482"/>
      <c r="V56" s="482"/>
      <c r="W56" s="482"/>
      <c r="X56" s="482"/>
      <c r="Y56" s="482"/>
      <c r="Z56" s="482"/>
      <c r="AA56" s="483"/>
      <c r="AB56" s="478" t="str">
        <f>IF('Dane personalne'!F87="","",'Dane personalne'!F87)</f>
        <v/>
      </c>
      <c r="AC56" s="484"/>
    </row>
    <row r="57" spans="1:29" ht="12.75" customHeight="1" x14ac:dyDescent="0.2">
      <c r="A57" s="398" t="s">
        <v>125</v>
      </c>
      <c r="B57" s="399"/>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400"/>
    </row>
    <row r="58" spans="1:29" ht="12.75" customHeight="1" x14ac:dyDescent="0.2">
      <c r="A58" s="385"/>
      <c r="B58" s="386"/>
      <c r="C58" s="386"/>
      <c r="D58" s="386"/>
      <c r="E58" s="386"/>
      <c r="F58" s="386"/>
      <c r="G58" s="386"/>
      <c r="H58" s="386"/>
      <c r="I58" s="386"/>
      <c r="J58" s="386"/>
      <c r="K58" s="386"/>
      <c r="L58" s="386"/>
      <c r="M58" s="386"/>
      <c r="N58" s="386"/>
      <c r="O58" s="386"/>
      <c r="P58" s="386"/>
      <c r="Q58" s="386"/>
      <c r="R58" s="386"/>
      <c r="S58" s="386"/>
      <c r="T58" s="386"/>
      <c r="U58" s="386"/>
      <c r="V58" s="386"/>
      <c r="W58" s="386"/>
      <c r="X58" s="386"/>
      <c r="Y58" s="386"/>
      <c r="Z58" s="386"/>
      <c r="AA58" s="386"/>
      <c r="AB58" s="386"/>
      <c r="AC58" s="387"/>
    </row>
    <row r="59" spans="1:29" ht="16.5" customHeight="1" x14ac:dyDescent="0.2">
      <c r="A59" s="385"/>
      <c r="B59" s="386"/>
      <c r="C59" s="386"/>
      <c r="D59" s="386"/>
      <c r="E59" s="386"/>
      <c r="F59" s="386"/>
      <c r="G59" s="386"/>
      <c r="H59" s="386"/>
      <c r="I59" s="386"/>
      <c r="J59" s="386"/>
      <c r="K59" s="386"/>
      <c r="L59" s="386"/>
      <c r="M59" s="386"/>
      <c r="N59" s="386"/>
      <c r="O59" s="386"/>
      <c r="P59" s="386"/>
      <c r="Q59" s="386"/>
      <c r="R59" s="386"/>
      <c r="S59" s="386"/>
      <c r="T59" s="386"/>
      <c r="U59" s="386"/>
      <c r="V59" s="386"/>
      <c r="W59" s="386"/>
      <c r="X59" s="386"/>
      <c r="Y59" s="386"/>
      <c r="Z59" s="386"/>
      <c r="AA59" s="386"/>
      <c r="AB59" s="386"/>
      <c r="AC59" s="387"/>
    </row>
    <row r="60" spans="1:29" ht="17.45" customHeight="1" x14ac:dyDescent="0.2">
      <c r="A60" s="395" t="s">
        <v>101</v>
      </c>
      <c r="B60" s="396"/>
      <c r="C60" s="396"/>
      <c r="D60" s="396"/>
      <c r="E60" s="396"/>
      <c r="F60" s="396"/>
      <c r="G60" s="396"/>
      <c r="H60" s="396"/>
      <c r="I60" s="396"/>
      <c r="J60" s="396"/>
      <c r="K60" s="396"/>
      <c r="L60" s="396"/>
      <c r="M60" s="396"/>
      <c r="N60" s="396"/>
      <c r="O60" s="396"/>
      <c r="P60" s="396"/>
      <c r="Q60" s="396"/>
      <c r="R60" s="396"/>
      <c r="S60" s="396"/>
      <c r="T60" s="396"/>
      <c r="U60" s="396"/>
      <c r="V60" s="396"/>
      <c r="W60" s="396"/>
      <c r="X60" s="396"/>
      <c r="Y60" s="396"/>
      <c r="Z60" s="396"/>
      <c r="AA60" s="396"/>
      <c r="AB60" s="396"/>
      <c r="AC60" s="412"/>
    </row>
    <row r="61" spans="1:29" ht="16.5" customHeight="1" x14ac:dyDescent="0.2">
      <c r="A61" s="385" t="str">
        <f>IF('Dane personalne'!D89="","",'Dane personalne'!D89)</f>
        <v/>
      </c>
      <c r="B61" s="386"/>
      <c r="C61" s="386"/>
      <c r="D61" s="386"/>
      <c r="E61" s="386"/>
      <c r="F61" s="386"/>
      <c r="G61" s="386"/>
      <c r="H61" s="386"/>
      <c r="I61" s="386"/>
      <c r="J61" s="386"/>
      <c r="K61" s="386"/>
      <c r="L61" s="386"/>
      <c r="M61" s="386"/>
      <c r="N61" s="386"/>
      <c r="O61" s="386"/>
      <c r="P61" s="386"/>
      <c r="Q61" s="386"/>
      <c r="R61" s="386"/>
      <c r="S61" s="386"/>
      <c r="T61" s="386"/>
      <c r="U61" s="386"/>
      <c r="V61" s="386"/>
      <c r="W61" s="386"/>
      <c r="X61" s="386"/>
      <c r="Y61" s="386"/>
      <c r="Z61" s="386"/>
      <c r="AA61" s="386"/>
      <c r="AB61" s="386"/>
      <c r="AC61" s="387"/>
    </row>
    <row r="62" spans="1:29" ht="17.45" customHeight="1" x14ac:dyDescent="0.2">
      <c r="A62" s="395" t="s">
        <v>102</v>
      </c>
      <c r="B62" s="396"/>
      <c r="C62" s="396"/>
      <c r="D62" s="396"/>
      <c r="E62" s="396"/>
      <c r="F62" s="396"/>
      <c r="G62" s="396"/>
      <c r="H62" s="396"/>
      <c r="I62" s="396"/>
      <c r="J62" s="396"/>
      <c r="K62" s="396"/>
      <c r="L62" s="396"/>
      <c r="M62" s="396"/>
      <c r="N62" s="396"/>
      <c r="O62" s="396"/>
      <c r="P62" s="396"/>
      <c r="Q62" s="396"/>
      <c r="R62" s="396"/>
      <c r="S62" s="396"/>
      <c r="T62" s="396"/>
      <c r="U62" s="396"/>
      <c r="V62" s="396"/>
      <c r="W62" s="396"/>
      <c r="X62" s="396"/>
      <c r="Y62" s="396"/>
      <c r="Z62" s="396"/>
      <c r="AA62" s="396"/>
      <c r="AB62" s="396"/>
      <c r="AC62" s="412"/>
    </row>
    <row r="63" spans="1:29" ht="12.75" customHeight="1" x14ac:dyDescent="0.2">
      <c r="A63" s="385" t="str">
        <f>IF('Dane personalne'!D90="","",'Dane personalne'!D90)</f>
        <v/>
      </c>
      <c r="B63" s="386"/>
      <c r="C63" s="386"/>
      <c r="D63" s="386"/>
      <c r="E63" s="386"/>
      <c r="F63" s="386"/>
      <c r="G63" s="386"/>
      <c r="H63" s="386"/>
      <c r="I63" s="386"/>
      <c r="J63" s="386"/>
      <c r="K63" s="386"/>
      <c r="L63" s="386"/>
      <c r="M63" s="386"/>
      <c r="N63" s="386"/>
      <c r="O63" s="386"/>
      <c r="P63" s="386"/>
      <c r="Q63" s="386"/>
      <c r="R63" s="386"/>
      <c r="S63" s="386"/>
      <c r="T63" s="386"/>
      <c r="U63" s="386"/>
      <c r="V63" s="386"/>
      <c r="W63" s="386"/>
      <c r="X63" s="386"/>
      <c r="Y63" s="386"/>
      <c r="Z63" s="386"/>
      <c r="AA63" s="386"/>
      <c r="AB63" s="386"/>
      <c r="AC63" s="387"/>
    </row>
    <row r="64" spans="1:29" ht="4.7" customHeight="1" x14ac:dyDescent="0.2">
      <c r="A64" s="388"/>
      <c r="B64" s="389"/>
      <c r="C64" s="389"/>
      <c r="D64" s="389"/>
      <c r="E64" s="389"/>
      <c r="F64" s="389"/>
      <c r="G64" s="389"/>
      <c r="H64" s="389"/>
      <c r="I64" s="389"/>
      <c r="J64" s="389"/>
      <c r="K64" s="389"/>
      <c r="L64" s="389"/>
      <c r="M64" s="389"/>
      <c r="N64" s="389"/>
      <c r="O64" s="389"/>
      <c r="P64" s="389"/>
      <c r="Q64" s="389"/>
      <c r="R64" s="389"/>
      <c r="S64" s="389"/>
      <c r="T64" s="389"/>
      <c r="U64" s="389"/>
      <c r="V64" s="389"/>
      <c r="W64" s="389"/>
      <c r="X64" s="389"/>
      <c r="Y64" s="389"/>
      <c r="Z64" s="389"/>
      <c r="AA64" s="389"/>
      <c r="AB64" s="389"/>
      <c r="AC64" s="390"/>
    </row>
    <row r="65" spans="1:30" ht="15.75" customHeight="1" x14ac:dyDescent="0.2">
      <c r="A65" s="240" t="s">
        <v>616</v>
      </c>
      <c r="B65" s="55"/>
      <c r="C65" s="402" t="str">
        <f>IF('Dane personalne'!D42="",IF('Dane personalne'!D32="","",'Dane personalne'!D32),'Dane personalne'!D42)</f>
        <v/>
      </c>
      <c r="D65" s="402"/>
      <c r="E65" s="402"/>
      <c r="F65" s="402"/>
      <c r="G65" s="402"/>
      <c r="H65" s="402"/>
      <c r="I65" s="402"/>
      <c r="J65" s="402"/>
      <c r="L65" s="402" t="str">
        <f>IF('Dane personalne'!D36="",IF('Dane personalne'!D26="","",'Dane personalne'!D26),'Dane personalne'!D36)</f>
        <v/>
      </c>
      <c r="M65" s="402"/>
      <c r="N65" s="402"/>
      <c r="O65" s="402"/>
      <c r="P65" s="402"/>
      <c r="Q65" s="402"/>
      <c r="R65" s="402"/>
      <c r="S65" s="402"/>
      <c r="T65" s="402"/>
      <c r="U65" s="402"/>
      <c r="V65" s="402"/>
      <c r="W65" s="402"/>
      <c r="X65" s="402"/>
      <c r="Y65" s="402"/>
      <c r="Z65" s="55"/>
      <c r="AA65" s="55"/>
      <c r="AB65" s="405" t="str">
        <f>IF('Dane personalne'!D37="",IF('Dane personalne'!D27="","",'Dane personalne'!D27),'Dane personalne'!D37)</f>
        <v/>
      </c>
      <c r="AC65" s="406"/>
    </row>
    <row r="66" spans="1:30" ht="11.25" customHeight="1" x14ac:dyDescent="0.2">
      <c r="A66" s="240"/>
      <c r="B66" s="55"/>
      <c r="C66" s="404" t="s">
        <v>631</v>
      </c>
      <c r="D66" s="404"/>
      <c r="E66" s="404"/>
      <c r="F66" s="404"/>
      <c r="G66" s="404"/>
      <c r="H66" s="404"/>
      <c r="I66" s="404"/>
      <c r="J66" s="404"/>
      <c r="L66" s="404" t="s">
        <v>88</v>
      </c>
      <c r="M66" s="404"/>
      <c r="N66" s="404"/>
      <c r="O66" s="404"/>
      <c r="P66" s="404"/>
      <c r="Q66" s="404"/>
      <c r="R66" s="404"/>
      <c r="S66" s="404"/>
      <c r="T66" s="404"/>
      <c r="U66" s="404"/>
      <c r="V66" s="404"/>
      <c r="W66" s="404"/>
      <c r="X66" s="404"/>
      <c r="Y66" s="404"/>
      <c r="Z66" s="55"/>
      <c r="AA66" s="55"/>
      <c r="AB66" s="393" t="s">
        <v>461</v>
      </c>
      <c r="AC66" s="394"/>
    </row>
    <row r="67" spans="1:30" ht="15.75" customHeight="1" x14ac:dyDescent="0.2">
      <c r="A67" s="401"/>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4"/>
    </row>
    <row r="68" spans="1:30" ht="17.45" customHeight="1" x14ac:dyDescent="0.2">
      <c r="A68" s="445" t="str">
        <f>IF('Dane personalne'!D34="",IF('Dane personalne'!D24="","",'Dane personalne'!D24),'Dane personalne'!D34)</f>
        <v/>
      </c>
      <c r="B68" s="405"/>
      <c r="C68" s="405"/>
      <c r="D68" s="405"/>
      <c r="E68" s="405"/>
      <c r="F68" s="405"/>
      <c r="G68" s="405"/>
      <c r="H68" s="405"/>
      <c r="I68" s="405"/>
      <c r="J68" s="405"/>
      <c r="K68" s="405"/>
      <c r="L68" s="405"/>
      <c r="M68" s="405"/>
      <c r="N68" s="405"/>
      <c r="O68" s="217"/>
      <c r="P68" s="409" t="str">
        <f>IF('Dane personalne'!D35="",IF('Dane personalne'!D25="","",'Dane personalne'!D25),'Dane personalne'!D35)</f>
        <v/>
      </c>
      <c r="Q68" s="409"/>
      <c r="R68" s="409"/>
      <c r="S68" s="409"/>
      <c r="T68" s="354"/>
      <c r="U68" s="410" t="str">
        <f>IF('Dane personalne'!F35="",IF('Dane personalne'!F25="","",'Dane personalne'!F25),'Dane personalne'!F35)</f>
        <v/>
      </c>
      <c r="V68" s="410"/>
      <c r="W68" s="410"/>
      <c r="X68" s="228"/>
      <c r="Y68" s="228"/>
      <c r="Z68" s="228"/>
      <c r="AA68" s="228"/>
      <c r="AB68" s="405" t="str">
        <f>IF('Dane personalne'!D39="",IF('Dane personalne'!D29="","",'Dane personalne'!D29),'Dane personalne'!D39)</f>
        <v/>
      </c>
      <c r="AC68" s="406"/>
    </row>
    <row r="69" spans="1:30" x14ac:dyDescent="0.2">
      <c r="A69" s="401" t="s">
        <v>462</v>
      </c>
      <c r="B69" s="393"/>
      <c r="C69" s="393"/>
      <c r="D69" s="393"/>
      <c r="E69" s="393"/>
      <c r="F69" s="393"/>
      <c r="G69" s="393"/>
      <c r="H69" s="393"/>
      <c r="I69" s="393"/>
      <c r="J69" s="393"/>
      <c r="K69" s="393"/>
      <c r="L69" s="393"/>
      <c r="M69" s="393"/>
      <c r="N69" s="393"/>
      <c r="O69" s="217"/>
      <c r="P69" s="393" t="s">
        <v>463</v>
      </c>
      <c r="Q69" s="393"/>
      <c r="R69" s="393"/>
      <c r="S69" s="393"/>
      <c r="T69" s="393"/>
      <c r="U69" s="393"/>
      <c r="V69" s="403"/>
      <c r="W69" s="403"/>
      <c r="X69" s="55"/>
      <c r="Y69" s="55"/>
      <c r="Z69" s="55"/>
      <c r="AA69" s="55"/>
      <c r="AB69" s="393" t="s">
        <v>617</v>
      </c>
      <c r="AC69" s="394"/>
      <c r="AD69" s="14"/>
    </row>
    <row r="70" spans="1:30" x14ac:dyDescent="0.2">
      <c r="A70" s="388"/>
      <c r="B70" s="389"/>
      <c r="C70" s="389"/>
      <c r="D70" s="389"/>
      <c r="E70" s="389"/>
      <c r="F70" s="389"/>
      <c r="G70" s="389"/>
      <c r="H70" s="389"/>
      <c r="I70" s="389"/>
      <c r="J70" s="389"/>
      <c r="K70" s="389"/>
      <c r="L70" s="389"/>
      <c r="M70" s="389"/>
      <c r="N70" s="389"/>
      <c r="O70" s="389"/>
      <c r="P70" s="389"/>
      <c r="Q70" s="389"/>
      <c r="R70" s="389"/>
      <c r="S70" s="389"/>
      <c r="T70" s="389"/>
      <c r="U70" s="389"/>
      <c r="V70" s="389"/>
      <c r="W70" s="389"/>
      <c r="X70" s="389"/>
      <c r="Y70" s="389"/>
      <c r="Z70" s="389"/>
      <c r="AA70" s="389"/>
      <c r="AB70" s="389"/>
      <c r="AC70" s="390"/>
    </row>
    <row r="71" spans="1:30" ht="17.45" customHeight="1" x14ac:dyDescent="0.2">
      <c r="A71" s="398" t="s">
        <v>246</v>
      </c>
      <c r="B71" s="399"/>
      <c r="C71" s="399"/>
      <c r="D71" s="399"/>
      <c r="E71" s="399"/>
      <c r="F71" s="399"/>
      <c r="G71" s="399"/>
      <c r="H71" s="399"/>
      <c r="I71" s="399"/>
      <c r="J71" s="399"/>
      <c r="K71" s="399"/>
      <c r="L71" s="399"/>
      <c r="M71" s="399"/>
      <c r="N71" s="399"/>
      <c r="O71" s="399"/>
      <c r="P71" s="399"/>
      <c r="Q71" s="399"/>
      <c r="R71" s="399"/>
      <c r="S71" s="399"/>
      <c r="T71" s="399"/>
      <c r="U71" s="399"/>
      <c r="V71" s="399"/>
      <c r="W71" s="399"/>
      <c r="X71" s="399"/>
      <c r="Y71" s="399"/>
      <c r="Z71" s="399"/>
      <c r="AA71" s="399"/>
      <c r="AB71" s="399"/>
      <c r="AC71" s="400"/>
    </row>
    <row r="72" spans="1:30" x14ac:dyDescent="0.2">
      <c r="A72" s="401"/>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4"/>
    </row>
    <row r="73" spans="1:30" x14ac:dyDescent="0.2">
      <c r="A73" s="385" t="str">
        <f>IF('Dane personalne'!D22="","",'Dane personalne'!D22)</f>
        <v/>
      </c>
      <c r="B73" s="407"/>
      <c r="C73" s="407"/>
      <c r="D73" s="407"/>
      <c r="E73" s="407"/>
      <c r="F73" s="407"/>
      <c r="G73" s="407"/>
      <c r="H73" s="407"/>
      <c r="I73" s="407"/>
      <c r="J73" s="407"/>
      <c r="K73" s="407"/>
      <c r="L73" s="407"/>
      <c r="M73" s="407"/>
      <c r="N73" s="61"/>
      <c r="O73" s="386"/>
      <c r="P73" s="407"/>
      <c r="Q73" s="407"/>
      <c r="R73" s="407"/>
      <c r="S73" s="407"/>
      <c r="T73" s="407"/>
      <c r="U73" s="407"/>
      <c r="V73" s="407"/>
      <c r="W73" s="407"/>
      <c r="X73" s="407"/>
      <c r="Y73" s="407"/>
      <c r="Z73" s="407"/>
      <c r="AA73" s="407"/>
      <c r="AB73" s="407"/>
      <c r="AC73" s="408"/>
    </row>
    <row r="74" spans="1:30" x14ac:dyDescent="0.2">
      <c r="A74" s="475"/>
      <c r="B74" s="476"/>
      <c r="C74" s="476"/>
      <c r="D74" s="476"/>
      <c r="E74" s="476"/>
      <c r="F74" s="476"/>
      <c r="G74" s="476"/>
      <c r="H74" s="476"/>
      <c r="I74" s="476"/>
      <c r="J74" s="476"/>
      <c r="K74" s="476"/>
      <c r="L74" s="476"/>
      <c r="M74" s="476"/>
      <c r="N74" s="476"/>
      <c r="O74" s="476"/>
      <c r="P74" s="476"/>
      <c r="Q74" s="476"/>
      <c r="R74" s="476"/>
      <c r="S74" s="476"/>
      <c r="T74" s="476"/>
      <c r="U74" s="476"/>
      <c r="V74" s="476"/>
      <c r="W74" s="476"/>
      <c r="X74" s="476"/>
      <c r="Y74" s="476"/>
      <c r="Z74" s="476"/>
      <c r="AA74" s="476"/>
      <c r="AB74" s="476"/>
      <c r="AC74" s="477"/>
    </row>
    <row r="75" spans="1:30" ht="17.45" customHeight="1" x14ac:dyDescent="0.2">
      <c r="A75" s="398" t="s">
        <v>609</v>
      </c>
      <c r="B75" s="399"/>
      <c r="C75" s="399"/>
      <c r="D75" s="399"/>
      <c r="E75" s="399"/>
      <c r="F75" s="399"/>
      <c r="G75" s="399"/>
      <c r="H75" s="399"/>
      <c r="I75" s="399"/>
      <c r="J75" s="399"/>
      <c r="K75" s="399"/>
      <c r="L75" s="399"/>
      <c r="M75" s="399"/>
      <c r="N75" s="399"/>
      <c r="O75" s="399"/>
      <c r="P75" s="399"/>
      <c r="Q75" s="399"/>
      <c r="R75" s="399"/>
      <c r="S75" s="399"/>
      <c r="T75" s="399"/>
      <c r="U75" s="399"/>
      <c r="V75" s="399"/>
      <c r="W75" s="399"/>
      <c r="X75" s="399"/>
      <c r="Y75" s="399"/>
      <c r="Z75" s="399"/>
      <c r="AA75" s="399"/>
      <c r="AB75" s="399"/>
      <c r="AC75" s="400"/>
    </row>
    <row r="76" spans="1:30" x14ac:dyDescent="0.2">
      <c r="A76" s="401"/>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4"/>
    </row>
    <row r="77" spans="1:30" x14ac:dyDescent="0.2">
      <c r="A77" s="385" t="str">
        <f>IF('Dane personalne'!D77="","",'Dane personalne'!D77)</f>
        <v/>
      </c>
      <c r="B77" s="407"/>
      <c r="C77" s="407"/>
      <c r="D77" s="407"/>
      <c r="E77" s="407"/>
      <c r="F77" s="407"/>
      <c r="G77" s="407"/>
      <c r="H77" s="407"/>
      <c r="I77" s="407"/>
      <c r="J77" s="407"/>
      <c r="K77" s="407"/>
      <c r="L77" s="407"/>
      <c r="M77" s="407"/>
      <c r="N77" s="61"/>
      <c r="O77" s="386" t="str">
        <f>IF('Dane personalne'!D79="","",'Dane personalne'!D79)</f>
        <v/>
      </c>
      <c r="P77" s="407"/>
      <c r="Q77" s="407"/>
      <c r="R77" s="407"/>
      <c r="S77" s="407"/>
      <c r="T77" s="407"/>
      <c r="U77" s="407"/>
      <c r="V77" s="407"/>
      <c r="W77" s="407"/>
      <c r="X77" s="407"/>
      <c r="Y77" s="407"/>
      <c r="Z77" s="407"/>
      <c r="AA77" s="407"/>
      <c r="AB77" s="407"/>
      <c r="AC77" s="408"/>
    </row>
    <row r="78" spans="1:30" x14ac:dyDescent="0.2">
      <c r="A78" s="472" t="str">
        <f>IF('Dane personalne'!D78="","",'Dane personalne'!D78)</f>
        <v/>
      </c>
      <c r="B78" s="473"/>
      <c r="C78" s="473"/>
      <c r="D78" s="473"/>
      <c r="E78" s="473"/>
      <c r="F78" s="473"/>
      <c r="G78" s="473"/>
      <c r="H78" s="473"/>
      <c r="I78" s="473"/>
      <c r="J78" s="473"/>
      <c r="K78" s="473"/>
      <c r="L78" s="473"/>
      <c r="M78" s="473"/>
      <c r="N78" s="473"/>
      <c r="O78" s="473"/>
      <c r="P78" s="473"/>
      <c r="Q78" s="473"/>
      <c r="R78" s="473"/>
      <c r="S78" s="473"/>
      <c r="T78" s="473"/>
      <c r="U78" s="473"/>
      <c r="V78" s="473"/>
      <c r="W78" s="473"/>
      <c r="X78" s="473"/>
      <c r="Y78" s="473"/>
      <c r="Z78" s="473"/>
      <c r="AA78" s="473"/>
      <c r="AB78" s="473"/>
      <c r="AC78" s="474"/>
    </row>
    <row r="79" spans="1:30" ht="18" customHeight="1" x14ac:dyDescent="0.2">
      <c r="A79" s="397" t="s">
        <v>2378</v>
      </c>
      <c r="B79" s="391"/>
      <c r="C79" s="391"/>
      <c r="D79" s="391"/>
      <c r="E79" s="391"/>
      <c r="F79" s="391"/>
      <c r="G79" s="391"/>
      <c r="H79" s="391"/>
      <c r="I79" s="391"/>
      <c r="J79" s="391"/>
      <c r="K79" s="391"/>
      <c r="L79" s="391"/>
      <c r="M79" s="391"/>
      <c r="N79" s="391"/>
      <c r="O79" s="391"/>
      <c r="P79" s="391"/>
      <c r="Q79" s="391"/>
      <c r="R79" s="391"/>
      <c r="S79" s="391"/>
      <c r="T79" s="391"/>
      <c r="U79" s="391"/>
      <c r="V79" s="391"/>
      <c r="W79" s="391"/>
      <c r="X79" s="391"/>
      <c r="Y79" s="391"/>
      <c r="Z79" s="391" t="str">
        <f>IF('Dane personalne'!D43="","",'Dane personalne'!D43)</f>
        <v/>
      </c>
      <c r="AA79" s="391"/>
      <c r="AB79" s="391"/>
      <c r="AC79" s="392"/>
    </row>
    <row r="80" spans="1:30" x14ac:dyDescent="0.2">
      <c r="A80" s="395" t="s">
        <v>175</v>
      </c>
      <c r="B80" s="396"/>
      <c r="C80" s="386" t="str">
        <f>IF('Dane personalne'!D46="","",'Dane personalne'!D45&amp;" "&amp;'Dane personalne'!D46)</f>
        <v/>
      </c>
      <c r="D80" s="386"/>
      <c r="E80" s="386"/>
      <c r="F80" s="386"/>
      <c r="G80" s="386"/>
      <c r="H80" s="386"/>
      <c r="I80" s="386"/>
      <c r="J80" s="386"/>
      <c r="K80" s="386"/>
      <c r="L80" s="352"/>
      <c r="M80" s="352"/>
      <c r="N80" s="393" t="s">
        <v>4</v>
      </c>
      <c r="O80" s="393"/>
      <c r="P80" s="393"/>
      <c r="Q80" s="393"/>
      <c r="R80" s="393"/>
      <c r="S80" s="393"/>
      <c r="T80" s="386" t="str">
        <f>IF('Dane personalne'!D44="","",'Dane personalne'!D44)</f>
        <v/>
      </c>
      <c r="U80" s="386"/>
      <c r="V80" s="386"/>
      <c r="W80" s="386"/>
      <c r="X80" s="386"/>
      <c r="Y80" s="386"/>
      <c r="Z80" s="386"/>
      <c r="AA80" s="386"/>
      <c r="AB80" s="386"/>
      <c r="AC80" s="387"/>
    </row>
    <row r="81" spans="1:30" ht="5.25" customHeight="1" thickBot="1" x14ac:dyDescent="0.25">
      <c r="A81" s="485"/>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c r="AB81" s="486"/>
      <c r="AC81" s="487"/>
    </row>
    <row r="82" spans="1:30" x14ac:dyDescent="0.2">
      <c r="A82" s="463" t="s">
        <v>100</v>
      </c>
      <c r="B82" s="463"/>
      <c r="C82" s="463"/>
      <c r="D82" s="463"/>
      <c r="E82" s="463"/>
      <c r="F82" s="463"/>
      <c r="G82" s="463"/>
      <c r="H82" s="463"/>
      <c r="I82" s="463"/>
      <c r="J82" s="463"/>
      <c r="K82" s="463"/>
      <c r="L82" s="463"/>
      <c r="M82" s="463"/>
      <c r="N82" s="463"/>
      <c r="O82" s="463"/>
      <c r="P82" s="463"/>
      <c r="Q82" s="463"/>
      <c r="R82" s="463"/>
      <c r="S82" s="463"/>
      <c r="T82" s="463"/>
      <c r="U82" s="463"/>
      <c r="V82" s="463"/>
      <c r="W82" s="463"/>
      <c r="X82" s="463"/>
      <c r="Y82" s="463"/>
      <c r="Z82" s="463"/>
      <c r="AA82" s="463"/>
      <c r="AB82" s="463"/>
      <c r="AC82" s="463"/>
    </row>
    <row r="83" spans="1:30" x14ac:dyDescent="0.2">
      <c r="A83" s="464" t="s">
        <v>676</v>
      </c>
      <c r="B83" s="464"/>
      <c r="C83" s="464"/>
      <c r="D83" s="464"/>
      <c r="E83" s="464"/>
      <c r="F83" s="464"/>
      <c r="G83" s="464"/>
      <c r="H83" s="464"/>
      <c r="I83" s="464"/>
      <c r="J83" s="464"/>
      <c r="K83" s="464"/>
      <c r="L83" s="464"/>
      <c r="M83" s="464"/>
      <c r="N83" s="464"/>
      <c r="O83" s="464"/>
      <c r="P83" s="464"/>
      <c r="Q83" s="464"/>
      <c r="R83" s="464"/>
      <c r="S83" s="464"/>
      <c r="T83" s="464"/>
      <c r="U83" s="464"/>
      <c r="V83" s="464"/>
      <c r="W83" s="464"/>
      <c r="X83" s="464"/>
      <c r="Y83" s="464"/>
      <c r="Z83" s="464"/>
      <c r="AA83" s="464"/>
      <c r="AB83" s="464"/>
      <c r="AC83" s="464"/>
    </row>
    <row r="84" spans="1:30" x14ac:dyDescent="0.2">
      <c r="A84" s="459" t="s">
        <v>248</v>
      </c>
      <c r="B84" s="460"/>
      <c r="C84" s="460"/>
      <c r="D84" s="460"/>
      <c r="E84" s="460"/>
      <c r="F84" s="460"/>
      <c r="G84" s="460"/>
      <c r="H84" s="460"/>
      <c r="I84" s="460"/>
      <c r="J84" s="460"/>
      <c r="K84" s="460"/>
      <c r="L84" s="460"/>
      <c r="M84" s="460"/>
      <c r="N84" s="460"/>
      <c r="O84" s="460"/>
      <c r="P84" s="460"/>
      <c r="Q84" s="460"/>
      <c r="R84" s="460"/>
      <c r="S84" s="460"/>
      <c r="T84" s="460"/>
      <c r="U84" s="460"/>
      <c r="V84" s="460"/>
      <c r="W84" s="460"/>
      <c r="X84" s="460"/>
      <c r="Y84" s="460"/>
      <c r="Z84" s="460"/>
      <c r="AA84" s="460"/>
      <c r="AB84" s="460"/>
      <c r="AC84" s="460"/>
    </row>
    <row r="85" spans="1:30" x14ac:dyDescent="0.2">
      <c r="A85" s="461" t="s">
        <v>249</v>
      </c>
      <c r="B85" s="462"/>
      <c r="C85" s="462"/>
      <c r="D85" s="462"/>
      <c r="E85" s="462"/>
      <c r="F85" s="462"/>
      <c r="G85" s="462"/>
      <c r="H85" s="462"/>
      <c r="I85" s="462"/>
      <c r="J85" s="462"/>
      <c r="K85" s="462"/>
      <c r="L85" s="462"/>
      <c r="M85" s="462"/>
      <c r="N85" s="462"/>
      <c r="O85" s="462"/>
      <c r="P85" s="462"/>
      <c r="Q85" s="462"/>
      <c r="R85" s="462"/>
      <c r="S85" s="462"/>
      <c r="T85" s="462"/>
      <c r="U85" s="462"/>
      <c r="V85" s="462"/>
      <c r="W85" s="462"/>
      <c r="X85" s="462"/>
      <c r="Y85" s="462"/>
      <c r="Z85" s="462"/>
      <c r="AA85" s="462"/>
      <c r="AB85" s="462"/>
      <c r="AC85" s="462"/>
      <c r="AD85" s="17"/>
    </row>
    <row r="86" spans="1:30" x14ac:dyDescent="0.2">
      <c r="A86" s="467" t="str">
        <f>IF('Dane personalne'!B92="","",'Dane personalne'!B92)</f>
        <v/>
      </c>
      <c r="B86" s="467"/>
      <c r="C86" s="467"/>
      <c r="D86" s="467"/>
      <c r="E86" s="467"/>
      <c r="F86" s="467"/>
      <c r="G86" s="467"/>
      <c r="H86" s="467"/>
      <c r="I86" s="467"/>
      <c r="J86" s="467"/>
      <c r="K86" s="467"/>
      <c r="L86" s="467"/>
      <c r="M86" s="467"/>
      <c r="N86" s="467"/>
      <c r="O86" s="467"/>
      <c r="P86" s="467"/>
      <c r="Q86" s="467"/>
      <c r="R86" s="467"/>
      <c r="S86" s="467"/>
      <c r="T86" s="467"/>
      <c r="U86" s="467"/>
      <c r="V86" s="467"/>
      <c r="W86" s="467"/>
      <c r="X86" s="467"/>
      <c r="Y86" s="467"/>
      <c r="Z86" s="467"/>
      <c r="AA86" s="467"/>
      <c r="AB86" s="467"/>
      <c r="AC86" s="467"/>
      <c r="AD86" s="17"/>
    </row>
    <row r="87" spans="1:30" x14ac:dyDescent="0.2">
      <c r="A87" s="48"/>
      <c r="B87" s="48"/>
      <c r="C87" s="48"/>
      <c r="D87" s="48"/>
      <c r="E87" s="48"/>
      <c r="F87" s="48"/>
      <c r="G87" s="48"/>
      <c r="H87" s="48"/>
      <c r="I87" s="48"/>
      <c r="J87" s="48"/>
      <c r="K87" s="48"/>
      <c r="L87" s="48"/>
      <c r="M87" s="48"/>
      <c r="N87" s="48"/>
      <c r="O87" s="48"/>
      <c r="P87" s="48"/>
      <c r="Q87" s="48"/>
      <c r="R87" s="48"/>
      <c r="S87" s="48"/>
      <c r="T87" s="48"/>
      <c r="U87" s="48"/>
      <c r="V87" s="48"/>
      <c r="W87" s="48"/>
      <c r="X87" s="48"/>
      <c r="Y87" s="48"/>
      <c r="Z87" s="48"/>
      <c r="AA87" s="48"/>
      <c r="AB87" s="48"/>
      <c r="AC87" s="48"/>
    </row>
    <row r="88" spans="1:30" x14ac:dyDescent="0.2">
      <c r="A88" s="457" t="s">
        <v>5</v>
      </c>
      <c r="B88" s="457"/>
      <c r="C88" s="457"/>
      <c r="D88" s="457"/>
      <c r="E88" s="457"/>
      <c r="F88" s="457"/>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row>
    <row r="89" spans="1:30" x14ac:dyDescent="0.2">
      <c r="A89" s="458"/>
      <c r="B89" s="458"/>
      <c r="C89" s="458"/>
      <c r="D89" s="458"/>
      <c r="E89" s="458"/>
      <c r="F89" s="458"/>
      <c r="G89" s="458"/>
      <c r="H89" s="458"/>
      <c r="I89" s="458"/>
      <c r="J89" s="458"/>
      <c r="K89" s="458"/>
      <c r="L89" s="458"/>
      <c r="M89" s="458"/>
      <c r="N89" s="458"/>
      <c r="O89" s="458"/>
      <c r="P89" s="458"/>
      <c r="Q89" s="458"/>
      <c r="R89" s="458"/>
      <c r="S89" s="458"/>
      <c r="T89" s="458"/>
      <c r="U89" s="458"/>
      <c r="V89" s="458"/>
      <c r="W89" s="458"/>
      <c r="X89" s="458"/>
      <c r="Y89" s="458"/>
      <c r="Z89" s="458"/>
      <c r="AA89" s="458"/>
      <c r="AB89" s="458"/>
      <c r="AC89" s="458"/>
    </row>
    <row r="90" spans="1:30" x14ac:dyDescent="0.2">
      <c r="A90" s="468" t="s">
        <v>99</v>
      </c>
      <c r="B90" s="468"/>
      <c r="C90" s="468"/>
      <c r="D90" s="468"/>
      <c r="E90" s="468"/>
      <c r="F90" s="468"/>
      <c r="G90" s="468"/>
      <c r="H90" s="468"/>
      <c r="I90" s="468"/>
      <c r="J90" s="468"/>
      <c r="K90" s="468"/>
      <c r="L90" s="468"/>
      <c r="M90" s="468"/>
      <c r="N90" s="468"/>
      <c r="O90" s="468"/>
      <c r="P90" s="468"/>
      <c r="Q90" s="468"/>
      <c r="R90" s="468"/>
      <c r="S90" s="468"/>
      <c r="T90" s="468"/>
      <c r="U90" s="468"/>
      <c r="V90" s="468"/>
      <c r="W90" s="468"/>
      <c r="X90" s="468"/>
      <c r="Y90" s="468"/>
      <c r="Z90" s="468"/>
      <c r="AA90" s="468"/>
      <c r="AB90" s="468"/>
      <c r="AC90" s="468"/>
    </row>
    <row r="91" spans="1:30" x14ac:dyDescent="0.2">
      <c r="A91" s="468" t="s">
        <v>247</v>
      </c>
      <c r="B91" s="468"/>
      <c r="C91" s="468"/>
      <c r="D91" s="468"/>
      <c r="E91" s="468"/>
      <c r="F91" s="468"/>
      <c r="G91" s="468"/>
      <c r="H91" s="468"/>
      <c r="I91" s="468"/>
      <c r="J91" s="468"/>
      <c r="K91" s="468"/>
      <c r="L91" s="468"/>
      <c r="M91" s="468"/>
      <c r="N91" s="471"/>
      <c r="O91" s="471"/>
      <c r="P91" s="471"/>
      <c r="Q91" s="471"/>
      <c r="R91" s="471"/>
      <c r="S91" s="471"/>
      <c r="T91" s="471"/>
      <c r="U91" s="471"/>
      <c r="V91" s="16"/>
      <c r="W91" s="16"/>
      <c r="X91" s="16"/>
      <c r="Y91" s="16"/>
      <c r="Z91" s="16"/>
      <c r="AA91" s="16"/>
      <c r="AB91" s="16"/>
      <c r="AC91" s="16"/>
    </row>
    <row r="92" spans="1:30" x14ac:dyDescent="0.2">
      <c r="A92" s="16"/>
      <c r="B92" s="16"/>
      <c r="C92" s="16"/>
      <c r="D92" s="16"/>
      <c r="E92" s="16"/>
      <c r="F92" s="16"/>
      <c r="G92" s="16"/>
      <c r="H92" s="16"/>
      <c r="I92" s="16"/>
      <c r="J92" s="16"/>
      <c r="K92" s="16"/>
      <c r="L92" s="16"/>
      <c r="M92" s="16"/>
      <c r="N92" s="16"/>
      <c r="O92" s="16"/>
      <c r="P92" s="16"/>
      <c r="Q92" s="16"/>
      <c r="R92" s="16"/>
      <c r="S92" s="16"/>
      <c r="T92" s="16"/>
      <c r="U92" s="16"/>
      <c r="V92" s="16"/>
      <c r="W92" s="16"/>
      <c r="X92" s="16"/>
      <c r="Y92" s="16"/>
      <c r="Z92" s="16"/>
      <c r="AA92" s="16"/>
      <c r="AB92" s="16"/>
      <c r="AC92" s="16"/>
    </row>
    <row r="93" spans="1:30" x14ac:dyDescent="0.2">
      <c r="A93" s="465" t="str">
        <f>'Dane personalne'!$D$94&amp;""</f>
        <v/>
      </c>
      <c r="B93" s="465"/>
      <c r="C93" s="466" t="str">
        <f>'Dane personalne'!$F$94</f>
        <v/>
      </c>
      <c r="D93" s="466"/>
      <c r="E93" s="466"/>
      <c r="F93" s="466"/>
      <c r="G93" s="466"/>
      <c r="H93" s="466"/>
      <c r="I93" s="466"/>
      <c r="J93" s="466"/>
      <c r="K93" s="466"/>
      <c r="L93" s="470"/>
      <c r="M93" s="470"/>
      <c r="N93" s="470"/>
      <c r="O93" s="470"/>
      <c r="P93" s="470"/>
      <c r="Q93" s="470"/>
      <c r="R93" s="470"/>
      <c r="S93" s="470"/>
      <c r="T93" s="470"/>
      <c r="U93" s="469"/>
      <c r="V93" s="469"/>
      <c r="W93" s="469"/>
      <c r="X93" s="469"/>
      <c r="Y93" s="469"/>
      <c r="Z93" s="469"/>
      <c r="AA93" s="469"/>
      <c r="AB93" s="469"/>
      <c r="AC93" s="469"/>
    </row>
    <row r="94" spans="1:30" x14ac:dyDescent="0.2">
      <c r="A94" s="456" t="s">
        <v>6</v>
      </c>
      <c r="B94" s="456"/>
      <c r="C94" s="456"/>
      <c r="D94" s="456"/>
      <c r="E94" s="456"/>
      <c r="F94" s="456"/>
      <c r="G94" s="456"/>
      <c r="H94" s="456"/>
      <c r="I94" s="456"/>
      <c r="J94" s="456"/>
      <c r="K94" s="456"/>
      <c r="L94" s="458"/>
      <c r="M94" s="458"/>
      <c r="N94" s="458"/>
      <c r="O94" s="458"/>
      <c r="P94" s="458"/>
      <c r="Q94" s="458"/>
      <c r="R94" s="458"/>
      <c r="S94" s="458"/>
      <c r="T94" s="458"/>
      <c r="U94" s="455" t="s">
        <v>7</v>
      </c>
      <c r="V94" s="455"/>
      <c r="W94" s="455"/>
      <c r="X94" s="455"/>
      <c r="Y94" s="455"/>
      <c r="Z94" s="455"/>
      <c r="AA94" s="455"/>
      <c r="AB94" s="455"/>
      <c r="AC94" s="455"/>
    </row>
  </sheetData>
  <mergeCells count="169">
    <mergeCell ref="H27:K27"/>
    <mergeCell ref="A25:AC25"/>
    <mergeCell ref="A51:B51"/>
    <mergeCell ref="C51:G51"/>
    <mergeCell ref="A53:B53"/>
    <mergeCell ref="C53:G53"/>
    <mergeCell ref="A54:B54"/>
    <mergeCell ref="C54:G54"/>
    <mergeCell ref="A42:AC42"/>
    <mergeCell ref="A47:AC47"/>
    <mergeCell ref="S50:AA51"/>
    <mergeCell ref="AB52:AC52"/>
    <mergeCell ref="AB53:AC53"/>
    <mergeCell ref="AB54:AC54"/>
    <mergeCell ref="S52:AA52"/>
    <mergeCell ref="S53:AA53"/>
    <mergeCell ref="A46:U46"/>
    <mergeCell ref="H53:R53"/>
    <mergeCell ref="V46:AC46"/>
    <mergeCell ref="H50:R51"/>
    <mergeCell ref="AB50:AC51"/>
    <mergeCell ref="H52:R52"/>
    <mergeCell ref="A24:N24"/>
    <mergeCell ref="A81:AC81"/>
    <mergeCell ref="P24:W24"/>
    <mergeCell ref="A27:E27"/>
    <mergeCell ref="A29:L29"/>
    <mergeCell ref="A41:AC41"/>
    <mergeCell ref="C31:H32"/>
    <mergeCell ref="A31:B32"/>
    <mergeCell ref="I31:N32"/>
    <mergeCell ref="Y31:AC32"/>
    <mergeCell ref="O31:X32"/>
    <mergeCell ref="A28:AC28"/>
    <mergeCell ref="A30:AC30"/>
    <mergeCell ref="M29:AC29"/>
    <mergeCell ref="M27:N27"/>
    <mergeCell ref="A37:H37"/>
    <mergeCell ref="I34:X34"/>
    <mergeCell ref="Y34:AC34"/>
    <mergeCell ref="Y33:AC33"/>
    <mergeCell ref="AB24:AC24"/>
    <mergeCell ref="A39:AC39"/>
    <mergeCell ref="A40:AC40"/>
    <mergeCell ref="A26:AC26"/>
    <mergeCell ref="O27:U27"/>
    <mergeCell ref="A77:M77"/>
    <mergeCell ref="A72:AC72"/>
    <mergeCell ref="A73:M73"/>
    <mergeCell ref="A78:AC78"/>
    <mergeCell ref="A74:AC74"/>
    <mergeCell ref="O73:AC73"/>
    <mergeCell ref="A60:AC60"/>
    <mergeCell ref="A59:AC59"/>
    <mergeCell ref="H54:R54"/>
    <mergeCell ref="H55:R55"/>
    <mergeCell ref="A68:N68"/>
    <mergeCell ref="L66:Y66"/>
    <mergeCell ref="A55:B55"/>
    <mergeCell ref="S54:AA54"/>
    <mergeCell ref="S55:AA55"/>
    <mergeCell ref="S56:AA56"/>
    <mergeCell ref="C55:G55"/>
    <mergeCell ref="A56:B56"/>
    <mergeCell ref="C56:G56"/>
    <mergeCell ref="AB55:AC55"/>
    <mergeCell ref="AB56:AC56"/>
    <mergeCell ref="H56:R56"/>
    <mergeCell ref="A61:AC61"/>
    <mergeCell ref="A62:AC62"/>
    <mergeCell ref="U94:AC94"/>
    <mergeCell ref="A94:K94"/>
    <mergeCell ref="A88:AC88"/>
    <mergeCell ref="A89:AC89"/>
    <mergeCell ref="A84:AC84"/>
    <mergeCell ref="A85:AC85"/>
    <mergeCell ref="L94:T94"/>
    <mergeCell ref="A82:AC82"/>
    <mergeCell ref="A83:AC83"/>
    <mergeCell ref="A93:B93"/>
    <mergeCell ref="C93:K93"/>
    <mergeCell ref="A86:AC86"/>
    <mergeCell ref="A90:AC90"/>
    <mergeCell ref="U93:AC93"/>
    <mergeCell ref="L93:T93"/>
    <mergeCell ref="A91:U91"/>
    <mergeCell ref="A11:I11"/>
    <mergeCell ref="N11:V11"/>
    <mergeCell ref="W11:AC11"/>
    <mergeCell ref="A14:H14"/>
    <mergeCell ref="I14:AC14"/>
    <mergeCell ref="A13:F13"/>
    <mergeCell ref="I13:O13"/>
    <mergeCell ref="P13:Q13"/>
    <mergeCell ref="R13:AC13"/>
    <mergeCell ref="A12:H12"/>
    <mergeCell ref="I12:AC12"/>
    <mergeCell ref="Z20:AA21"/>
    <mergeCell ref="AA15:AB15"/>
    <mergeCell ref="A16:M16"/>
    <mergeCell ref="N16:AC16"/>
    <mergeCell ref="A15:F15"/>
    <mergeCell ref="P15:U15"/>
    <mergeCell ref="V15:Z15"/>
    <mergeCell ref="G15:O15"/>
    <mergeCell ref="P23:U23"/>
    <mergeCell ref="L20:Y20"/>
    <mergeCell ref="L21:Y21"/>
    <mergeCell ref="C21:J21"/>
    <mergeCell ref="C20:J20"/>
    <mergeCell ref="AB23:AC23"/>
    <mergeCell ref="A17:M17"/>
    <mergeCell ref="N17:AC17"/>
    <mergeCell ref="AB18:AC18"/>
    <mergeCell ref="A19:M19"/>
    <mergeCell ref="N19:AC19"/>
    <mergeCell ref="B18:L18"/>
    <mergeCell ref="O18:AA18"/>
    <mergeCell ref="AB21:AC21"/>
    <mergeCell ref="AB20:AC20"/>
    <mergeCell ref="A23:N23"/>
    <mergeCell ref="U68:W68"/>
    <mergeCell ref="A9:AC9"/>
    <mergeCell ref="A57:AC57"/>
    <mergeCell ref="A58:AC58"/>
    <mergeCell ref="A48:AC48"/>
    <mergeCell ref="I37:X37"/>
    <mergeCell ref="Y37:AC37"/>
    <mergeCell ref="A34:H34"/>
    <mergeCell ref="A33:H33"/>
    <mergeCell ref="I33:X33"/>
    <mergeCell ref="A50:G50"/>
    <mergeCell ref="A49:AC49"/>
    <mergeCell ref="A38:AC38"/>
    <mergeCell ref="A43:B43"/>
    <mergeCell ref="C43:U43"/>
    <mergeCell ref="A45:U45"/>
    <mergeCell ref="V43:AB43"/>
    <mergeCell ref="V45:AC45"/>
    <mergeCell ref="A44:U44"/>
    <mergeCell ref="V44:AC44"/>
    <mergeCell ref="A52:B52"/>
    <mergeCell ref="C52:G52"/>
    <mergeCell ref="A22:AC22"/>
    <mergeCell ref="V23:W23"/>
    <mergeCell ref="A63:AC63"/>
    <mergeCell ref="A64:AC64"/>
    <mergeCell ref="Z79:AC79"/>
    <mergeCell ref="AB69:AC69"/>
    <mergeCell ref="N80:S80"/>
    <mergeCell ref="A80:B80"/>
    <mergeCell ref="C80:K80"/>
    <mergeCell ref="A79:Y79"/>
    <mergeCell ref="A75:AC75"/>
    <mergeCell ref="A76:AC76"/>
    <mergeCell ref="L65:Y65"/>
    <mergeCell ref="A71:AC71"/>
    <mergeCell ref="A69:N69"/>
    <mergeCell ref="P69:W69"/>
    <mergeCell ref="C65:J65"/>
    <mergeCell ref="C66:J66"/>
    <mergeCell ref="A70:AC70"/>
    <mergeCell ref="AB68:AC68"/>
    <mergeCell ref="T80:AC80"/>
    <mergeCell ref="O77:AC77"/>
    <mergeCell ref="AB65:AC65"/>
    <mergeCell ref="AB66:AC66"/>
    <mergeCell ref="A67:AC67"/>
    <mergeCell ref="P68:S68"/>
  </mergeCells>
  <phoneticPr fontId="2" type="noConversion"/>
  <pageMargins left="0.23622047244094491" right="0.23622047244094491" top="0.47244094488188981" bottom="0.35433070866141736" header="0.35433070866141736" footer="0.23622047244094491"/>
  <pageSetup scale="58" orientation="portrait" r:id="rId1"/>
  <headerFooter alignWithMargins="0"/>
  <rowBreaks count="1" manualBreakCount="1">
    <brk id="64"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5:AD94"/>
  <sheetViews>
    <sheetView showGridLines="0" tabSelected="1" topLeftCell="A64" zoomScaleNormal="100" zoomScaleSheetLayoutView="80" workbookViewId="0">
      <selection activeCell="K98" sqref="K98"/>
    </sheetView>
  </sheetViews>
  <sheetFormatPr defaultColWidth="9.140625" defaultRowHeight="12.75" x14ac:dyDescent="0.2"/>
  <cols>
    <col min="1" max="1" width="5.140625" style="2" customWidth="1"/>
    <col min="2" max="2" width="26.42578125" style="2" customWidth="1"/>
    <col min="3" max="7" width="2.7109375" style="2" customWidth="1"/>
    <col min="8" max="8" width="2.85546875" style="2" customWidth="1"/>
    <col min="9" max="10" width="2.7109375" style="2" customWidth="1"/>
    <col min="11" max="11" width="7.42578125" style="2" customWidth="1"/>
    <col min="12" max="12" width="2.28515625" style="2" customWidth="1"/>
    <col min="13" max="13" width="1.28515625" style="2" customWidth="1"/>
    <col min="14" max="14" width="1.42578125" style="2" customWidth="1"/>
    <col min="15" max="20" width="2.7109375" style="2" customWidth="1"/>
    <col min="21" max="21" width="3.85546875" style="2" customWidth="1"/>
    <col min="22" max="22" width="2.85546875" style="2" customWidth="1"/>
    <col min="23" max="27" width="2.7109375" style="2" customWidth="1"/>
    <col min="28" max="28" width="11.28515625" style="2" customWidth="1"/>
    <col min="29" max="29" width="18.7109375" style="2" customWidth="1"/>
    <col min="30" max="30" width="2.85546875" style="2" customWidth="1"/>
    <col min="31" max="16384" width="9.140625" style="2"/>
  </cols>
  <sheetData>
    <row r="5" spans="1:30" ht="13.5" thickBot="1" x14ac:dyDescent="0.25"/>
    <row r="6" spans="1:30" x14ac:dyDescent="0.2">
      <c r="A6" s="7"/>
      <c r="B6" s="7"/>
      <c r="C6" s="7"/>
      <c r="D6" s="7"/>
      <c r="E6" s="7"/>
      <c r="F6" s="7"/>
      <c r="G6" s="7"/>
      <c r="H6" s="7"/>
      <c r="I6" s="7"/>
      <c r="J6" s="7"/>
      <c r="K6" s="7"/>
      <c r="L6" s="7"/>
      <c r="M6" s="7"/>
      <c r="N6" s="7"/>
      <c r="O6" s="7"/>
      <c r="P6" s="7"/>
      <c r="Q6" s="7"/>
      <c r="R6" s="7"/>
      <c r="S6" s="7"/>
      <c r="T6" s="7"/>
      <c r="U6" s="7"/>
      <c r="V6" s="7"/>
      <c r="W6" s="7"/>
      <c r="X6" s="7"/>
      <c r="Y6" s="7"/>
      <c r="Z6" s="7"/>
      <c r="AA6" s="7"/>
      <c r="AB6" s="7"/>
      <c r="AC6" s="7"/>
    </row>
    <row r="7" spans="1:30" ht="7.5" customHeight="1" x14ac:dyDescent="0.2"/>
    <row r="8" spans="1:30" ht="4.7" hidden="1" customHeight="1" x14ac:dyDescent="0.2"/>
    <row r="9" spans="1:30" ht="23.25" customHeight="1" x14ac:dyDescent="0.25">
      <c r="A9" s="549" t="s">
        <v>621</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8"/>
    </row>
    <row r="10" spans="1:30" ht="9" customHeight="1" thickBot="1" x14ac:dyDescent="0.25"/>
    <row r="11" spans="1:30" ht="21.2" customHeight="1" x14ac:dyDescent="0.2">
      <c r="A11" s="550" t="s">
        <v>280</v>
      </c>
      <c r="B11" s="551"/>
      <c r="C11" s="551"/>
      <c r="D11" s="551"/>
      <c r="E11" s="551"/>
      <c r="F11" s="551"/>
      <c r="G11" s="551"/>
      <c r="H11" s="551"/>
      <c r="I11" s="551"/>
      <c r="J11" s="62"/>
      <c r="K11" s="63"/>
      <c r="L11" s="63"/>
      <c r="M11" s="63"/>
      <c r="N11" s="448" t="str">
        <f>IF('Dane personalne'!D11="","",'Dane personalne'!D11)</f>
        <v/>
      </c>
      <c r="O11" s="448"/>
      <c r="P11" s="448"/>
      <c r="Q11" s="448"/>
      <c r="R11" s="448"/>
      <c r="S11" s="448"/>
      <c r="T11" s="448"/>
      <c r="U11" s="448"/>
      <c r="V11" s="448"/>
      <c r="W11" s="449" t="str">
        <f>IF('Dane personalne'!D12="","",'Dane personalne'!D12)</f>
        <v/>
      </c>
      <c r="X11" s="449"/>
      <c r="Y11" s="449"/>
      <c r="Z11" s="449"/>
      <c r="AA11" s="449"/>
      <c r="AB11" s="449"/>
      <c r="AC11" s="450"/>
      <c r="AD11" s="227"/>
    </row>
    <row r="12" spans="1:30" ht="25.5" customHeight="1" x14ac:dyDescent="0.2">
      <c r="A12" s="531" t="s">
        <v>281</v>
      </c>
      <c r="B12" s="532"/>
      <c r="C12" s="532"/>
      <c r="D12" s="532"/>
      <c r="E12" s="532"/>
      <c r="F12" s="532"/>
      <c r="G12" s="532"/>
      <c r="H12" s="532"/>
      <c r="I12" s="405" t="str">
        <f>IF('Dane personalne'!D13="","",'Dane personalne'!D13)</f>
        <v/>
      </c>
      <c r="J12" s="405"/>
      <c r="K12" s="405"/>
      <c r="L12" s="405"/>
      <c r="M12" s="405"/>
      <c r="N12" s="405"/>
      <c r="O12" s="405"/>
      <c r="P12" s="405"/>
      <c r="Q12" s="405"/>
      <c r="R12" s="405"/>
      <c r="S12" s="405"/>
      <c r="T12" s="405"/>
      <c r="U12" s="405"/>
      <c r="V12" s="405"/>
      <c r="W12" s="405"/>
      <c r="X12" s="405"/>
      <c r="Y12" s="405"/>
      <c r="Z12" s="405"/>
      <c r="AA12" s="405"/>
      <c r="AB12" s="405"/>
      <c r="AC12" s="406"/>
    </row>
    <row r="13" spans="1:30" ht="24" customHeight="1" x14ac:dyDescent="0.2">
      <c r="A13" s="531" t="s">
        <v>282</v>
      </c>
      <c r="B13" s="532"/>
      <c r="C13" s="532"/>
      <c r="D13" s="532"/>
      <c r="E13" s="532"/>
      <c r="F13" s="532"/>
      <c r="G13" s="224" t="s">
        <v>283</v>
      </c>
      <c r="H13" s="224"/>
      <c r="I13" s="405" t="str">
        <f>IF('Dane personalne'!D20="","",'Dane personalne'!D20)</f>
        <v/>
      </c>
      <c r="J13" s="405"/>
      <c r="K13" s="405"/>
      <c r="L13" s="405"/>
      <c r="M13" s="405"/>
      <c r="N13" s="405"/>
      <c r="O13" s="405"/>
      <c r="P13" s="393" t="s">
        <v>284</v>
      </c>
      <c r="Q13" s="393"/>
      <c r="R13" s="405" t="str">
        <f>IF('Dane personalne'!D19="","",'Dane personalne'!D19)</f>
        <v/>
      </c>
      <c r="S13" s="405"/>
      <c r="T13" s="405"/>
      <c r="U13" s="405"/>
      <c r="V13" s="405"/>
      <c r="W13" s="405"/>
      <c r="X13" s="405"/>
      <c r="Y13" s="405"/>
      <c r="Z13" s="405"/>
      <c r="AA13" s="405"/>
      <c r="AB13" s="405"/>
      <c r="AC13" s="406"/>
    </row>
    <row r="14" spans="1:30" s="12" customFormat="1" ht="24.75" customHeight="1" x14ac:dyDescent="0.2">
      <c r="A14" s="558" t="s">
        <v>285</v>
      </c>
      <c r="B14" s="559"/>
      <c r="C14" s="559"/>
      <c r="D14" s="559"/>
      <c r="E14" s="559"/>
      <c r="F14" s="559"/>
      <c r="G14" s="559"/>
      <c r="H14" s="559"/>
      <c r="I14" s="453" t="str">
        <f>IF('Dane personalne'!D21="","",'Dane personalne'!D21)</f>
        <v/>
      </c>
      <c r="J14" s="453"/>
      <c r="K14" s="453"/>
      <c r="L14" s="453"/>
      <c r="M14" s="453"/>
      <c r="N14" s="453"/>
      <c r="O14" s="453"/>
      <c r="P14" s="453"/>
      <c r="Q14" s="453"/>
      <c r="R14" s="453"/>
      <c r="S14" s="453"/>
      <c r="T14" s="453"/>
      <c r="U14" s="453"/>
      <c r="V14" s="453"/>
      <c r="W14" s="453"/>
      <c r="X14" s="453"/>
      <c r="Y14" s="453"/>
      <c r="Z14" s="453"/>
      <c r="AA14" s="453"/>
      <c r="AB14" s="453"/>
      <c r="AC14" s="454"/>
    </row>
    <row r="15" spans="1:30" ht="19.5" customHeight="1" x14ac:dyDescent="0.2">
      <c r="A15" s="552" t="s">
        <v>559</v>
      </c>
      <c r="B15" s="553"/>
      <c r="C15" s="553"/>
      <c r="D15" s="553"/>
      <c r="E15" s="553"/>
      <c r="F15" s="554"/>
      <c r="G15" s="438" t="str">
        <f>IF('Dane personalne'!D14="","",'Dane personalne'!D14)</f>
        <v/>
      </c>
      <c r="H15" s="439"/>
      <c r="I15" s="439"/>
      <c r="J15" s="439"/>
      <c r="K15" s="439"/>
      <c r="L15" s="439"/>
      <c r="M15" s="439"/>
      <c r="N15" s="439"/>
      <c r="O15" s="440"/>
      <c r="P15" s="555" t="s">
        <v>286</v>
      </c>
      <c r="Q15" s="553"/>
      <c r="R15" s="553"/>
      <c r="S15" s="553"/>
      <c r="T15" s="553"/>
      <c r="U15" s="554"/>
      <c r="V15" s="435" t="str">
        <f>IF('Dane personalne'!D15="","",'Dane personalne'!D15)</f>
        <v/>
      </c>
      <c r="W15" s="436"/>
      <c r="X15" s="436"/>
      <c r="Y15" s="436"/>
      <c r="Z15" s="437"/>
      <c r="AA15" s="556" t="s">
        <v>287</v>
      </c>
      <c r="AB15" s="556"/>
      <c r="AC15" s="156" t="str">
        <f>IF('Dane personalne'!D16="","",'Dane personalne'!D16)</f>
        <v/>
      </c>
    </row>
    <row r="16" spans="1:30" x14ac:dyDescent="0.2">
      <c r="A16" s="523" t="s">
        <v>288</v>
      </c>
      <c r="B16" s="524"/>
      <c r="C16" s="524"/>
      <c r="D16" s="524"/>
      <c r="E16" s="524"/>
      <c r="F16" s="524"/>
      <c r="G16" s="524"/>
      <c r="H16" s="524"/>
      <c r="I16" s="524"/>
      <c r="J16" s="524"/>
      <c r="K16" s="524"/>
      <c r="L16" s="524"/>
      <c r="M16" s="557"/>
      <c r="N16" s="524" t="s">
        <v>289</v>
      </c>
      <c r="O16" s="532"/>
      <c r="P16" s="524"/>
      <c r="Q16" s="524"/>
      <c r="R16" s="524"/>
      <c r="S16" s="524"/>
      <c r="T16" s="524"/>
      <c r="U16" s="524"/>
      <c r="V16" s="524"/>
      <c r="W16" s="524"/>
      <c r="X16" s="524"/>
      <c r="Y16" s="524"/>
      <c r="Z16" s="524"/>
      <c r="AA16" s="524"/>
      <c r="AB16" s="524"/>
      <c r="AC16" s="525"/>
    </row>
    <row r="17" spans="1:29" ht="6.75" customHeight="1" x14ac:dyDescent="0.2">
      <c r="A17" s="401"/>
      <c r="B17" s="393"/>
      <c r="C17" s="393"/>
      <c r="D17" s="393"/>
      <c r="E17" s="393"/>
      <c r="F17" s="393"/>
      <c r="G17" s="393"/>
      <c r="H17" s="393"/>
      <c r="I17" s="393"/>
      <c r="J17" s="393"/>
      <c r="K17" s="393"/>
      <c r="L17" s="393"/>
      <c r="M17" s="418"/>
      <c r="N17" s="393"/>
      <c r="O17" s="393"/>
      <c r="P17" s="393"/>
      <c r="Q17" s="393"/>
      <c r="R17" s="393"/>
      <c r="S17" s="393"/>
      <c r="T17" s="393"/>
      <c r="U17" s="393"/>
      <c r="V17" s="393"/>
      <c r="W17" s="393"/>
      <c r="X17" s="393"/>
      <c r="Y17" s="393"/>
      <c r="Z17" s="393"/>
      <c r="AA17" s="393"/>
      <c r="AB17" s="393"/>
      <c r="AC17" s="394"/>
    </row>
    <row r="18" spans="1:29" ht="18.75" customHeight="1" x14ac:dyDescent="0.2">
      <c r="A18" s="58"/>
      <c r="B18" s="442" t="str">
        <f>IF('Dane personalne'!D17="","",'Dane personalne'!D17)</f>
        <v/>
      </c>
      <c r="C18" s="443"/>
      <c r="D18" s="443"/>
      <c r="E18" s="443"/>
      <c r="F18" s="443"/>
      <c r="G18" s="443"/>
      <c r="H18" s="443"/>
      <c r="I18" s="443"/>
      <c r="J18" s="443"/>
      <c r="K18" s="443"/>
      <c r="L18" s="444"/>
      <c r="M18" s="59"/>
      <c r="N18" s="60"/>
      <c r="O18" s="442" t="str">
        <f>IF('Dane personalne'!D18="","",'Dane personalne'!D18)</f>
        <v/>
      </c>
      <c r="P18" s="443"/>
      <c r="Q18" s="443"/>
      <c r="R18" s="443"/>
      <c r="S18" s="443"/>
      <c r="T18" s="443"/>
      <c r="U18" s="443"/>
      <c r="V18" s="443"/>
      <c r="W18" s="443"/>
      <c r="X18" s="443"/>
      <c r="Y18" s="443"/>
      <c r="Z18" s="443"/>
      <c r="AA18" s="444"/>
      <c r="AB18" s="419"/>
      <c r="AC18" s="394"/>
    </row>
    <row r="19" spans="1:29" ht="6" customHeight="1" x14ac:dyDescent="0.2">
      <c r="A19" s="388"/>
      <c r="B19" s="389"/>
      <c r="C19" s="389"/>
      <c r="D19" s="389"/>
      <c r="E19" s="389"/>
      <c r="F19" s="389"/>
      <c r="G19" s="389"/>
      <c r="H19" s="389"/>
      <c r="I19" s="389"/>
      <c r="J19" s="389"/>
      <c r="K19" s="389"/>
      <c r="L19" s="389"/>
      <c r="M19" s="414"/>
      <c r="N19" s="389"/>
      <c r="O19" s="389"/>
      <c r="P19" s="389"/>
      <c r="Q19" s="389"/>
      <c r="R19" s="389"/>
      <c r="S19" s="389"/>
      <c r="T19" s="389"/>
      <c r="U19" s="389"/>
      <c r="V19" s="389"/>
      <c r="W19" s="389"/>
      <c r="X19" s="389"/>
      <c r="Y19" s="389"/>
      <c r="Z19" s="389"/>
      <c r="AA19" s="389"/>
      <c r="AB19" s="389"/>
      <c r="AC19" s="390"/>
    </row>
    <row r="20" spans="1:29" ht="19.5" customHeight="1" x14ac:dyDescent="0.2">
      <c r="A20" s="241" t="s">
        <v>618</v>
      </c>
      <c r="B20" s="155"/>
      <c r="C20" s="402" t="str">
        <f>IF('Dane personalne'!D32="","",'Dane personalne'!D32)</f>
        <v/>
      </c>
      <c r="D20" s="402"/>
      <c r="E20" s="402"/>
      <c r="F20" s="402"/>
      <c r="G20" s="402"/>
      <c r="H20" s="402"/>
      <c r="I20" s="402"/>
      <c r="J20" s="402"/>
      <c r="L20" s="402" t="str">
        <f>IF('Dane personalne'!D26="","",'Dane personalne'!D26)</f>
        <v/>
      </c>
      <c r="M20" s="402"/>
      <c r="N20" s="402"/>
      <c r="O20" s="402"/>
      <c r="P20" s="402"/>
      <c r="Q20" s="402"/>
      <c r="R20" s="402"/>
      <c r="S20" s="402"/>
      <c r="T20" s="402"/>
      <c r="U20" s="402"/>
      <c r="V20" s="402"/>
      <c r="W20" s="402"/>
      <c r="X20" s="402"/>
      <c r="Y20" s="402"/>
      <c r="Z20" s="393"/>
      <c r="AA20" s="393"/>
      <c r="AB20" s="405" t="str">
        <f>IF('Dane personalne'!D27="","",'Dane personalne'!D27)</f>
        <v/>
      </c>
      <c r="AC20" s="406"/>
    </row>
    <row r="21" spans="1:29" ht="12.75" customHeight="1" x14ac:dyDescent="0.2">
      <c r="A21" s="240"/>
      <c r="B21" s="55"/>
      <c r="C21" s="561" t="s">
        <v>630</v>
      </c>
      <c r="D21" s="561"/>
      <c r="E21" s="561"/>
      <c r="F21" s="561"/>
      <c r="G21" s="561"/>
      <c r="H21" s="561"/>
      <c r="I21" s="561"/>
      <c r="J21" s="561"/>
      <c r="L21" s="561" t="s">
        <v>263</v>
      </c>
      <c r="M21" s="561"/>
      <c r="N21" s="561"/>
      <c r="O21" s="561"/>
      <c r="P21" s="561"/>
      <c r="Q21" s="561"/>
      <c r="R21" s="561"/>
      <c r="S21" s="561"/>
      <c r="T21" s="561"/>
      <c r="U21" s="561"/>
      <c r="V21" s="561"/>
      <c r="W21" s="561"/>
      <c r="X21" s="561"/>
      <c r="Y21" s="561"/>
      <c r="Z21" s="393"/>
      <c r="AA21" s="393"/>
      <c r="AB21" s="522" t="s">
        <v>264</v>
      </c>
      <c r="AC21" s="560"/>
    </row>
    <row r="22" spans="1:29" ht="7.5" customHeight="1" x14ac:dyDescent="0.2">
      <c r="A22" s="401"/>
      <c r="B22" s="393"/>
      <c r="C22" s="393"/>
      <c r="D22" s="393"/>
      <c r="E22" s="393"/>
      <c r="F22" s="393"/>
      <c r="G22" s="393"/>
      <c r="H22" s="393"/>
      <c r="I22" s="393"/>
      <c r="J22" s="393"/>
      <c r="K22" s="393"/>
      <c r="L22" s="393"/>
      <c r="M22" s="393"/>
      <c r="N22" s="393"/>
      <c r="O22" s="393"/>
      <c r="P22" s="393"/>
      <c r="Q22" s="393"/>
      <c r="R22" s="393"/>
      <c r="S22" s="393"/>
      <c r="T22" s="393"/>
      <c r="U22" s="393"/>
      <c r="V22" s="393"/>
      <c r="W22" s="393"/>
      <c r="X22" s="393"/>
      <c r="Y22" s="393"/>
      <c r="Z22" s="393"/>
      <c r="AA22" s="393"/>
      <c r="AB22" s="393"/>
      <c r="AC22" s="394"/>
    </row>
    <row r="23" spans="1:29" ht="12.75" customHeight="1" x14ac:dyDescent="0.2">
      <c r="A23" s="445" t="str">
        <f>IF('Dane personalne'!D24="","",'Dane personalne'!D24)</f>
        <v/>
      </c>
      <c r="B23" s="405"/>
      <c r="C23" s="405"/>
      <c r="D23" s="405"/>
      <c r="E23" s="405"/>
      <c r="F23" s="405"/>
      <c r="G23" s="405"/>
      <c r="H23" s="405"/>
      <c r="I23" s="405"/>
      <c r="J23" s="405"/>
      <c r="K23" s="405"/>
      <c r="L23" s="405"/>
      <c r="M23" s="405"/>
      <c r="N23" s="405"/>
      <c r="O23" s="217"/>
      <c r="P23" s="409" t="str">
        <f>IF('Dane personalne'!D25="","",'Dane personalne'!D25)</f>
        <v/>
      </c>
      <c r="Q23" s="409"/>
      <c r="R23" s="409"/>
      <c r="S23" s="409"/>
      <c r="T23" s="409"/>
      <c r="U23" s="409"/>
      <c r="V23" s="410" t="str">
        <f>IF('Dane personalne'!F25="","",'Dane personalne'!F25)</f>
        <v/>
      </c>
      <c r="W23" s="410"/>
      <c r="X23" s="228"/>
      <c r="Y23" s="228"/>
      <c r="Z23" s="228"/>
      <c r="AA23" s="228"/>
      <c r="AB23" s="405" t="str">
        <f>IF('Dane personalne'!D29="","",'Dane personalne'!D29)</f>
        <v/>
      </c>
      <c r="AC23" s="406"/>
    </row>
    <row r="24" spans="1:29" ht="12.75" customHeight="1" x14ac:dyDescent="0.2">
      <c r="A24" s="529" t="s">
        <v>290</v>
      </c>
      <c r="B24" s="522"/>
      <c r="C24" s="522"/>
      <c r="D24" s="522"/>
      <c r="E24" s="522"/>
      <c r="F24" s="522"/>
      <c r="G24" s="522"/>
      <c r="H24" s="522"/>
      <c r="I24" s="522"/>
      <c r="J24" s="522"/>
      <c r="K24" s="522"/>
      <c r="L24" s="522"/>
      <c r="M24" s="522"/>
      <c r="N24" s="522"/>
      <c r="O24" s="225"/>
      <c r="P24" s="522" t="s">
        <v>262</v>
      </c>
      <c r="Q24" s="522"/>
      <c r="R24" s="522"/>
      <c r="S24" s="522"/>
      <c r="T24" s="522"/>
      <c r="U24" s="522"/>
      <c r="V24" s="530"/>
      <c r="W24" s="530"/>
      <c r="X24" s="155"/>
      <c r="Y24" s="155"/>
      <c r="Z24" s="155"/>
      <c r="AA24" s="155"/>
      <c r="AB24" s="393" t="s">
        <v>265</v>
      </c>
      <c r="AC24" s="394"/>
    </row>
    <row r="25" spans="1:29" ht="7.5" customHeight="1" x14ac:dyDescent="0.2">
      <c r="A25" s="388"/>
      <c r="B25" s="389"/>
      <c r="C25" s="389"/>
      <c r="D25" s="389"/>
      <c r="E25" s="389"/>
      <c r="F25" s="389"/>
      <c r="G25" s="389"/>
      <c r="H25" s="389"/>
      <c r="I25" s="389"/>
      <c r="J25" s="389"/>
      <c r="K25" s="389"/>
      <c r="L25" s="389"/>
      <c r="M25" s="389"/>
      <c r="N25" s="389"/>
      <c r="O25" s="389"/>
      <c r="P25" s="389"/>
      <c r="Q25" s="389"/>
      <c r="R25" s="389"/>
      <c r="S25" s="389"/>
      <c r="T25" s="389"/>
      <c r="U25" s="389"/>
      <c r="V25" s="389"/>
      <c r="W25" s="389"/>
      <c r="X25" s="389"/>
      <c r="Y25" s="389"/>
      <c r="Z25" s="389"/>
      <c r="AA25" s="389"/>
      <c r="AB25" s="389"/>
      <c r="AC25" s="390"/>
    </row>
    <row r="26" spans="1:29" ht="5.25" customHeight="1" x14ac:dyDescent="0.2">
      <c r="A26" s="498"/>
      <c r="B26" s="492"/>
      <c r="C26" s="492"/>
      <c r="D26" s="492"/>
      <c r="E26" s="492"/>
      <c r="F26" s="492"/>
      <c r="G26" s="492"/>
      <c r="H26" s="492"/>
      <c r="I26" s="492"/>
      <c r="J26" s="492"/>
      <c r="K26" s="492"/>
      <c r="L26" s="492"/>
      <c r="M26" s="492"/>
      <c r="N26" s="492"/>
      <c r="O26" s="492"/>
      <c r="P26" s="492"/>
      <c r="Q26" s="492"/>
      <c r="R26" s="492"/>
      <c r="S26" s="492"/>
      <c r="T26" s="492"/>
      <c r="U26" s="492"/>
      <c r="V26" s="492"/>
      <c r="W26" s="492"/>
      <c r="X26" s="492"/>
      <c r="Y26" s="492"/>
      <c r="Z26" s="492"/>
      <c r="AA26" s="492"/>
      <c r="AB26" s="492"/>
      <c r="AC26" s="499"/>
    </row>
    <row r="27" spans="1:29" ht="12.75" customHeight="1" x14ac:dyDescent="0.2">
      <c r="A27" s="529" t="s">
        <v>622</v>
      </c>
      <c r="B27" s="522"/>
      <c r="C27" s="522"/>
      <c r="D27" s="522"/>
      <c r="E27" s="522"/>
      <c r="F27" s="55"/>
      <c r="G27" s="157" t="str">
        <f>IF('Dane personalne'!C56="","",'Dane personalne'!C56)</f>
        <v/>
      </c>
      <c r="H27" s="545" t="s">
        <v>291</v>
      </c>
      <c r="I27" s="522"/>
      <c r="J27" s="522"/>
      <c r="K27" s="522"/>
      <c r="L27" s="217"/>
      <c r="M27" s="496" t="str">
        <f>IF('Dane personalne'!C57="","",'Dane personalne'!C57)</f>
        <v/>
      </c>
      <c r="N27" s="497"/>
      <c r="O27" s="545" t="s">
        <v>292</v>
      </c>
      <c r="P27" s="522"/>
      <c r="Q27" s="522"/>
      <c r="R27" s="522"/>
      <c r="S27" s="522"/>
      <c r="T27" s="522"/>
      <c r="U27" s="522"/>
      <c r="V27" s="132" t="str">
        <f>IF('Dane personalne'!C58="","",'Dane personalne'!C58)</f>
        <v/>
      </c>
      <c r="W27" s="220"/>
      <c r="X27" s="224" t="s">
        <v>293</v>
      </c>
      <c r="Y27" s="217"/>
      <c r="Z27" s="217"/>
      <c r="AA27" s="217"/>
      <c r="AB27" s="217"/>
      <c r="AC27" s="218"/>
    </row>
    <row r="28" spans="1:29" ht="6.75" customHeight="1" x14ac:dyDescent="0.2">
      <c r="A28" s="401"/>
      <c r="B28" s="393"/>
      <c r="C28" s="393"/>
      <c r="D28" s="393"/>
      <c r="E28" s="393"/>
      <c r="F28" s="393"/>
      <c r="G28" s="393"/>
      <c r="H28" s="393"/>
      <c r="I28" s="393"/>
      <c r="J28" s="393"/>
      <c r="K28" s="393"/>
      <c r="L28" s="393"/>
      <c r="M28" s="393"/>
      <c r="N28" s="393"/>
      <c r="O28" s="393"/>
      <c r="P28" s="393"/>
      <c r="Q28" s="393"/>
      <c r="R28" s="393"/>
      <c r="S28" s="393"/>
      <c r="T28" s="393"/>
      <c r="U28" s="393"/>
      <c r="V28" s="393"/>
      <c r="W28" s="393"/>
      <c r="X28" s="393"/>
      <c r="Y28" s="393"/>
      <c r="Z28" s="393"/>
      <c r="AA28" s="393"/>
      <c r="AB28" s="393"/>
      <c r="AC28" s="394"/>
    </row>
    <row r="29" spans="1:29" ht="12.75" customHeight="1" x14ac:dyDescent="0.2">
      <c r="A29" s="542" t="s">
        <v>560</v>
      </c>
      <c r="B29" s="532"/>
      <c r="C29" s="532"/>
      <c r="D29" s="532"/>
      <c r="E29" s="532"/>
      <c r="F29" s="532"/>
      <c r="G29" s="532"/>
      <c r="H29" s="532"/>
      <c r="I29" s="532"/>
      <c r="J29" s="532"/>
      <c r="K29" s="532"/>
      <c r="L29" s="532"/>
      <c r="M29" s="405" t="str">
        <f>IF('Dane personalne'!D59="","",'Dane personalne'!D59)</f>
        <v/>
      </c>
      <c r="N29" s="405"/>
      <c r="O29" s="405"/>
      <c r="P29" s="405"/>
      <c r="Q29" s="405"/>
      <c r="R29" s="405"/>
      <c r="S29" s="405"/>
      <c r="T29" s="405"/>
      <c r="U29" s="405"/>
      <c r="V29" s="405"/>
      <c r="W29" s="405"/>
      <c r="X29" s="405"/>
      <c r="Y29" s="405"/>
      <c r="Z29" s="405"/>
      <c r="AA29" s="405"/>
      <c r="AB29" s="405"/>
      <c r="AC29" s="406"/>
    </row>
    <row r="30" spans="1:29" ht="8.4499999999999993" customHeight="1" x14ac:dyDescent="0.2">
      <c r="A30" s="388"/>
      <c r="B30" s="389"/>
      <c r="C30" s="389"/>
      <c r="D30" s="389"/>
      <c r="E30" s="389"/>
      <c r="F30" s="389"/>
      <c r="G30" s="389"/>
      <c r="H30" s="389"/>
      <c r="I30" s="389"/>
      <c r="J30" s="389"/>
      <c r="K30" s="389"/>
      <c r="L30" s="389"/>
      <c r="M30" s="389"/>
      <c r="N30" s="389"/>
      <c r="O30" s="389"/>
      <c r="P30" s="389"/>
      <c r="Q30" s="389"/>
      <c r="R30" s="389"/>
      <c r="S30" s="389"/>
      <c r="T30" s="389"/>
      <c r="U30" s="389"/>
      <c r="V30" s="389"/>
      <c r="W30" s="389"/>
      <c r="X30" s="389"/>
      <c r="Y30" s="389"/>
      <c r="Z30" s="389"/>
      <c r="AA30" s="389"/>
      <c r="AB30" s="389"/>
      <c r="AC30" s="390"/>
    </row>
    <row r="31" spans="1:29" ht="6.75" customHeight="1" x14ac:dyDescent="0.2">
      <c r="A31" s="523" t="s">
        <v>548</v>
      </c>
      <c r="B31" s="524"/>
      <c r="C31" s="492"/>
      <c r="D31" s="492"/>
      <c r="E31" s="492"/>
      <c r="F31" s="492"/>
      <c r="G31" s="492"/>
      <c r="H31" s="493"/>
      <c r="I31" s="543" t="s">
        <v>557</v>
      </c>
      <c r="J31" s="544"/>
      <c r="K31" s="544"/>
      <c r="L31" s="544"/>
      <c r="M31" s="544"/>
      <c r="N31" s="544"/>
      <c r="O31" s="544"/>
      <c r="P31" s="544"/>
      <c r="Q31" s="544"/>
      <c r="R31" s="544"/>
      <c r="S31" s="544"/>
      <c r="T31" s="544"/>
      <c r="U31" s="544"/>
      <c r="V31" s="544"/>
      <c r="W31" s="544"/>
      <c r="X31" s="546"/>
      <c r="Y31" s="541" t="s">
        <v>294</v>
      </c>
      <c r="Z31" s="524"/>
      <c r="AA31" s="524"/>
      <c r="AB31" s="524"/>
      <c r="AC31" s="525"/>
    </row>
    <row r="32" spans="1:29" ht="12.75" customHeight="1" x14ac:dyDescent="0.2">
      <c r="A32" s="531"/>
      <c r="B32" s="532"/>
      <c r="C32" s="393"/>
      <c r="D32" s="393"/>
      <c r="E32" s="393"/>
      <c r="F32" s="393"/>
      <c r="G32" s="393"/>
      <c r="H32" s="418"/>
      <c r="I32" s="545"/>
      <c r="J32" s="522"/>
      <c r="K32" s="522"/>
      <c r="L32" s="522"/>
      <c r="M32" s="522"/>
      <c r="N32" s="522"/>
      <c r="O32" s="522"/>
      <c r="P32" s="522"/>
      <c r="Q32" s="522"/>
      <c r="R32" s="522"/>
      <c r="S32" s="522"/>
      <c r="T32" s="522"/>
      <c r="U32" s="522"/>
      <c r="V32" s="522"/>
      <c r="W32" s="522"/>
      <c r="X32" s="547"/>
      <c r="Y32" s="548"/>
      <c r="Z32" s="532"/>
      <c r="AA32" s="532"/>
      <c r="AB32" s="532"/>
      <c r="AC32" s="533"/>
    </row>
    <row r="33" spans="1:29" ht="6" customHeight="1" x14ac:dyDescent="0.2">
      <c r="A33" s="401"/>
      <c r="B33" s="393"/>
      <c r="C33" s="393"/>
      <c r="D33" s="393"/>
      <c r="E33" s="393"/>
      <c r="F33" s="393"/>
      <c r="G33" s="393"/>
      <c r="H33" s="418"/>
      <c r="I33" s="419"/>
      <c r="J33" s="393"/>
      <c r="K33" s="393"/>
      <c r="L33" s="393"/>
      <c r="M33" s="393"/>
      <c r="N33" s="393"/>
      <c r="O33" s="393"/>
      <c r="P33" s="393"/>
      <c r="Q33" s="393"/>
      <c r="R33" s="393"/>
      <c r="S33" s="393"/>
      <c r="T33" s="393"/>
      <c r="U33" s="393"/>
      <c r="V33" s="393"/>
      <c r="W33" s="393"/>
      <c r="X33" s="418"/>
      <c r="Y33" s="419"/>
      <c r="Z33" s="393"/>
      <c r="AA33" s="393"/>
      <c r="AB33" s="393"/>
      <c r="AC33" s="394"/>
    </row>
    <row r="34" spans="1:29" ht="12.2" customHeight="1" x14ac:dyDescent="0.2">
      <c r="A34" s="415" t="str">
        <f>IF('Dane personalne'!D60="","",'Dane personalne'!D60)</f>
        <v/>
      </c>
      <c r="B34" s="416"/>
      <c r="C34" s="416"/>
      <c r="D34" s="416"/>
      <c r="E34" s="416"/>
      <c r="F34" s="416"/>
      <c r="G34" s="416"/>
      <c r="H34" s="417"/>
      <c r="I34" s="424" t="str">
        <f>IF('Dane personalne'!D61="","",'Dane personalne'!D61)</f>
        <v/>
      </c>
      <c r="J34" s="416"/>
      <c r="K34" s="416"/>
      <c r="L34" s="416"/>
      <c r="M34" s="416"/>
      <c r="N34" s="416"/>
      <c r="O34" s="416"/>
      <c r="P34" s="416"/>
      <c r="Q34" s="416"/>
      <c r="R34" s="416"/>
      <c r="S34" s="416"/>
      <c r="T34" s="416"/>
      <c r="U34" s="416"/>
      <c r="V34" s="416"/>
      <c r="W34" s="416"/>
      <c r="X34" s="417"/>
      <c r="Y34" s="424" t="str">
        <f>IF('Dane personalne'!D62="","",'Dane personalne'!D62)</f>
        <v/>
      </c>
      <c r="Z34" s="416"/>
      <c r="AA34" s="416"/>
      <c r="AB34" s="416"/>
      <c r="AC34" s="425"/>
    </row>
    <row r="35" spans="1:29" ht="12.2" customHeight="1" x14ac:dyDescent="0.2">
      <c r="A35" s="108"/>
      <c r="B35" s="220"/>
      <c r="C35" s="220"/>
      <c r="D35" s="220"/>
      <c r="E35" s="220"/>
      <c r="F35" s="220"/>
      <c r="G35" s="220"/>
      <c r="H35" s="109"/>
      <c r="I35" s="110"/>
      <c r="J35" s="220"/>
      <c r="K35" s="220"/>
      <c r="L35" s="220"/>
      <c r="M35" s="220"/>
      <c r="N35" s="220"/>
      <c r="O35" s="220"/>
      <c r="P35" s="220"/>
      <c r="Q35" s="220"/>
      <c r="R35" s="220"/>
      <c r="S35" s="220"/>
      <c r="T35" s="220"/>
      <c r="U35" s="220"/>
      <c r="V35" s="220"/>
      <c r="W35" s="220"/>
      <c r="X35" s="109"/>
      <c r="Y35" s="110"/>
      <c r="Z35" s="220"/>
      <c r="AA35" s="220"/>
      <c r="AB35" s="220"/>
      <c r="AC35" s="111"/>
    </row>
    <row r="36" spans="1:29" ht="12.2" customHeight="1" x14ac:dyDescent="0.2">
      <c r="A36" s="108"/>
      <c r="B36" s="220"/>
      <c r="C36" s="220"/>
      <c r="D36" s="220"/>
      <c r="E36" s="220"/>
      <c r="F36" s="220"/>
      <c r="G36" s="220"/>
      <c r="H36" s="109"/>
      <c r="I36" s="110"/>
      <c r="J36" s="220"/>
      <c r="K36" s="220"/>
      <c r="L36" s="220"/>
      <c r="M36" s="220"/>
      <c r="N36" s="220"/>
      <c r="O36" s="220"/>
      <c r="P36" s="220"/>
      <c r="Q36" s="220"/>
      <c r="R36" s="220"/>
      <c r="S36" s="220"/>
      <c r="T36" s="220"/>
      <c r="U36" s="220"/>
      <c r="V36" s="220"/>
      <c r="W36" s="220"/>
      <c r="X36" s="109"/>
      <c r="Y36" s="110"/>
      <c r="Z36" s="220"/>
      <c r="AA36" s="220"/>
      <c r="AB36" s="220"/>
      <c r="AC36" s="111"/>
    </row>
    <row r="37" spans="1:29" x14ac:dyDescent="0.2">
      <c r="A37" s="388"/>
      <c r="B37" s="389"/>
      <c r="C37" s="389"/>
      <c r="D37" s="389"/>
      <c r="E37" s="389"/>
      <c r="F37" s="389"/>
      <c r="G37" s="389"/>
      <c r="H37" s="414"/>
      <c r="I37" s="413"/>
      <c r="J37" s="389"/>
      <c r="K37" s="389"/>
      <c r="L37" s="389"/>
      <c r="M37" s="389"/>
      <c r="N37" s="389"/>
      <c r="O37" s="389"/>
      <c r="P37" s="389"/>
      <c r="Q37" s="389"/>
      <c r="R37" s="389"/>
      <c r="S37" s="389"/>
      <c r="T37" s="389"/>
      <c r="U37" s="389"/>
      <c r="V37" s="389"/>
      <c r="W37" s="389"/>
      <c r="X37" s="414"/>
      <c r="Y37" s="413"/>
      <c r="Z37" s="389"/>
      <c r="AA37" s="389"/>
      <c r="AB37" s="389"/>
      <c r="AC37" s="390"/>
    </row>
    <row r="38" spans="1:29" ht="12.75" customHeight="1" x14ac:dyDescent="0.2">
      <c r="A38" s="523" t="s">
        <v>594</v>
      </c>
      <c r="B38" s="524"/>
      <c r="C38" s="524"/>
      <c r="D38" s="524"/>
      <c r="E38" s="524"/>
      <c r="F38" s="524"/>
      <c r="G38" s="524"/>
      <c r="H38" s="524"/>
      <c r="I38" s="524"/>
      <c r="J38" s="524"/>
      <c r="K38" s="524"/>
      <c r="L38" s="524"/>
      <c r="M38" s="524"/>
      <c r="N38" s="524"/>
      <c r="O38" s="524"/>
      <c r="P38" s="524"/>
      <c r="Q38" s="524"/>
      <c r="R38" s="524"/>
      <c r="S38" s="524"/>
      <c r="T38" s="524"/>
      <c r="U38" s="524"/>
      <c r="V38" s="524"/>
      <c r="W38" s="524"/>
      <c r="X38" s="524"/>
      <c r="Y38" s="524"/>
      <c r="Z38" s="524"/>
      <c r="AA38" s="524"/>
      <c r="AB38" s="524"/>
      <c r="AC38" s="525"/>
    </row>
    <row r="39" spans="1:29" ht="4.7" customHeight="1" x14ac:dyDescent="0.2">
      <c r="A39" s="401"/>
      <c r="B39" s="393"/>
      <c r="C39" s="393"/>
      <c r="D39" s="393"/>
      <c r="E39" s="393"/>
      <c r="F39" s="393"/>
      <c r="G39" s="393"/>
      <c r="H39" s="393"/>
      <c r="I39" s="393"/>
      <c r="J39" s="393"/>
      <c r="K39" s="393"/>
      <c r="L39" s="393"/>
      <c r="M39" s="393"/>
      <c r="N39" s="393"/>
      <c r="O39" s="393"/>
      <c r="P39" s="393"/>
      <c r="Q39" s="393"/>
      <c r="R39" s="393"/>
      <c r="S39" s="393"/>
      <c r="T39" s="393"/>
      <c r="U39" s="393"/>
      <c r="V39" s="393"/>
      <c r="W39" s="393"/>
      <c r="X39" s="393"/>
      <c r="Y39" s="393"/>
      <c r="Z39" s="393"/>
      <c r="AA39" s="393"/>
      <c r="AB39" s="393"/>
      <c r="AC39" s="394"/>
    </row>
    <row r="40" spans="1:29" ht="12.75" customHeight="1" x14ac:dyDescent="0.2">
      <c r="A40" s="445" t="str">
        <f>IF('Dane personalne'!D63="","",'Dane personalne'!D63)</f>
        <v/>
      </c>
      <c r="B40" s="405"/>
      <c r="C40" s="405"/>
      <c r="D40" s="405"/>
      <c r="E40" s="405"/>
      <c r="F40" s="405"/>
      <c r="G40" s="405"/>
      <c r="H40" s="405"/>
      <c r="I40" s="405"/>
      <c r="J40" s="405"/>
      <c r="K40" s="405"/>
      <c r="L40" s="405"/>
      <c r="M40" s="405"/>
      <c r="N40" s="405"/>
      <c r="O40" s="405"/>
      <c r="P40" s="405"/>
      <c r="Q40" s="405"/>
      <c r="R40" s="405"/>
      <c r="S40" s="405"/>
      <c r="T40" s="405"/>
      <c r="U40" s="405"/>
      <c r="V40" s="405"/>
      <c r="W40" s="405"/>
      <c r="X40" s="405"/>
      <c r="Y40" s="405"/>
      <c r="Z40" s="405"/>
      <c r="AA40" s="405"/>
      <c r="AB40" s="405"/>
      <c r="AC40" s="406"/>
    </row>
    <row r="41" spans="1:29" ht="12.75" customHeight="1" x14ac:dyDescent="0.2">
      <c r="A41" s="489" t="str">
        <f>IF('Dane personalne'!D64="","",'Dane personalne'!D64)</f>
        <v/>
      </c>
      <c r="B41" s="490"/>
      <c r="C41" s="490"/>
      <c r="D41" s="490"/>
      <c r="E41" s="490"/>
      <c r="F41" s="490"/>
      <c r="G41" s="490"/>
      <c r="H41" s="490"/>
      <c r="I41" s="490"/>
      <c r="J41" s="490"/>
      <c r="K41" s="490"/>
      <c r="L41" s="490"/>
      <c r="M41" s="490"/>
      <c r="N41" s="490"/>
      <c r="O41" s="490"/>
      <c r="P41" s="490"/>
      <c r="Q41" s="490"/>
      <c r="R41" s="490"/>
      <c r="S41" s="490"/>
      <c r="T41" s="490"/>
      <c r="U41" s="490"/>
      <c r="V41" s="490"/>
      <c r="W41" s="490"/>
      <c r="X41" s="490"/>
      <c r="Y41" s="490"/>
      <c r="Z41" s="490"/>
      <c r="AA41" s="490"/>
      <c r="AB41" s="490"/>
      <c r="AC41" s="491"/>
    </row>
    <row r="42" spans="1:29" ht="9.75" customHeight="1" x14ac:dyDescent="0.2">
      <c r="A42" s="388"/>
      <c r="B42" s="389"/>
      <c r="C42" s="389"/>
      <c r="D42" s="389"/>
      <c r="E42" s="389"/>
      <c r="F42" s="389"/>
      <c r="G42" s="389"/>
      <c r="H42" s="389"/>
      <c r="I42" s="389"/>
      <c r="J42" s="389"/>
      <c r="K42" s="389"/>
      <c r="L42" s="389"/>
      <c r="M42" s="389"/>
      <c r="N42" s="389"/>
      <c r="O42" s="389"/>
      <c r="P42" s="389"/>
      <c r="Q42" s="389"/>
      <c r="R42" s="389"/>
      <c r="S42" s="389"/>
      <c r="T42" s="389"/>
      <c r="U42" s="389"/>
      <c r="V42" s="389"/>
      <c r="W42" s="389"/>
      <c r="X42" s="389"/>
      <c r="Y42" s="389"/>
      <c r="Z42" s="389"/>
      <c r="AA42" s="389"/>
      <c r="AB42" s="389"/>
      <c r="AC42" s="390"/>
    </row>
    <row r="43" spans="1:29" ht="12.75" customHeight="1" x14ac:dyDescent="0.2">
      <c r="A43" s="523" t="s">
        <v>277</v>
      </c>
      <c r="B43" s="524"/>
      <c r="C43" s="402" t="str">
        <f>IF('Dane personalne'!D66="","",'Dane personalne'!D66)</f>
        <v/>
      </c>
      <c r="D43" s="402"/>
      <c r="E43" s="402"/>
      <c r="F43" s="402"/>
      <c r="G43" s="402"/>
      <c r="H43" s="402"/>
      <c r="I43" s="402"/>
      <c r="J43" s="402"/>
      <c r="K43" s="402"/>
      <c r="L43" s="402"/>
      <c r="M43" s="402"/>
      <c r="N43" s="402"/>
      <c r="O43" s="402"/>
      <c r="P43" s="402"/>
      <c r="Q43" s="402"/>
      <c r="R43" s="402"/>
      <c r="S43" s="402"/>
      <c r="T43" s="402"/>
      <c r="U43" s="422"/>
      <c r="V43" s="541" t="s">
        <v>561</v>
      </c>
      <c r="W43" s="524"/>
      <c r="X43" s="524"/>
      <c r="Y43" s="524"/>
      <c r="Z43" s="524"/>
      <c r="AA43" s="524"/>
      <c r="AB43" s="524"/>
      <c r="AC43" s="218"/>
    </row>
    <row r="44" spans="1:29" ht="16.5" customHeight="1" x14ac:dyDescent="0.2">
      <c r="A44" s="401"/>
      <c r="B44" s="393"/>
      <c r="C44" s="393"/>
      <c r="D44" s="393"/>
      <c r="E44" s="393"/>
      <c r="F44" s="393"/>
      <c r="G44" s="393"/>
      <c r="H44" s="393"/>
      <c r="I44" s="393"/>
      <c r="J44" s="393"/>
      <c r="K44" s="393"/>
      <c r="L44" s="393"/>
      <c r="M44" s="393"/>
      <c r="N44" s="393"/>
      <c r="O44" s="393"/>
      <c r="P44" s="393"/>
      <c r="Q44" s="393"/>
      <c r="R44" s="393"/>
      <c r="S44" s="393"/>
      <c r="T44" s="393"/>
      <c r="U44" s="418"/>
      <c r="V44" s="419"/>
      <c r="W44" s="393"/>
      <c r="X44" s="393"/>
      <c r="Y44" s="393"/>
      <c r="Z44" s="393"/>
      <c r="AA44" s="393"/>
      <c r="AB44" s="393"/>
      <c r="AC44" s="394"/>
    </row>
    <row r="45" spans="1:29" ht="15" customHeight="1" x14ac:dyDescent="0.2">
      <c r="A45" s="415"/>
      <c r="B45" s="416"/>
      <c r="C45" s="416"/>
      <c r="D45" s="416"/>
      <c r="E45" s="416"/>
      <c r="F45" s="416"/>
      <c r="G45" s="416"/>
      <c r="H45" s="416"/>
      <c r="I45" s="416"/>
      <c r="J45" s="416"/>
      <c r="K45" s="416"/>
      <c r="L45" s="416"/>
      <c r="M45" s="416"/>
      <c r="N45" s="416"/>
      <c r="O45" s="416"/>
      <c r="P45" s="416"/>
      <c r="Q45" s="416"/>
      <c r="R45" s="416"/>
      <c r="S45" s="416"/>
      <c r="T45" s="416"/>
      <c r="U45" s="417"/>
      <c r="V45" s="424" t="str">
        <f>IF('Dane personalne'!D67="","",'Dane personalne'!D67)</f>
        <v/>
      </c>
      <c r="W45" s="416"/>
      <c r="X45" s="416"/>
      <c r="Y45" s="416"/>
      <c r="Z45" s="416"/>
      <c r="AA45" s="416"/>
      <c r="AB45" s="416"/>
      <c r="AC45" s="425"/>
    </row>
    <row r="46" spans="1:29" ht="23.25" customHeight="1" x14ac:dyDescent="0.2">
      <c r="A46" s="388"/>
      <c r="B46" s="389"/>
      <c r="C46" s="389"/>
      <c r="D46" s="389"/>
      <c r="E46" s="389"/>
      <c r="F46" s="389"/>
      <c r="G46" s="389"/>
      <c r="H46" s="389"/>
      <c r="I46" s="389"/>
      <c r="J46" s="389"/>
      <c r="K46" s="389"/>
      <c r="L46" s="389"/>
      <c r="M46" s="389"/>
      <c r="N46" s="389"/>
      <c r="O46" s="389"/>
      <c r="P46" s="389"/>
      <c r="Q46" s="389"/>
      <c r="R46" s="389"/>
      <c r="S46" s="389"/>
      <c r="T46" s="389"/>
      <c r="U46" s="414"/>
      <c r="V46" s="413"/>
      <c r="W46" s="389"/>
      <c r="X46" s="389"/>
      <c r="Y46" s="389"/>
      <c r="Z46" s="389"/>
      <c r="AA46" s="389"/>
      <c r="AB46" s="389"/>
      <c r="AC46" s="390"/>
    </row>
    <row r="47" spans="1:29" ht="7.5" customHeight="1" x14ac:dyDescent="0.2">
      <c r="A47" s="498"/>
      <c r="B47" s="492"/>
      <c r="C47" s="492"/>
      <c r="D47" s="492"/>
      <c r="E47" s="492"/>
      <c r="F47" s="492"/>
      <c r="G47" s="492"/>
      <c r="H47" s="492"/>
      <c r="I47" s="492"/>
      <c r="J47" s="492"/>
      <c r="K47" s="492"/>
      <c r="L47" s="492"/>
      <c r="M47" s="492"/>
      <c r="N47" s="492"/>
      <c r="O47" s="492"/>
      <c r="P47" s="492"/>
      <c r="Q47" s="492"/>
      <c r="R47" s="492"/>
      <c r="S47" s="492"/>
      <c r="T47" s="492"/>
      <c r="U47" s="492"/>
      <c r="V47" s="492"/>
      <c r="W47" s="492"/>
      <c r="X47" s="492"/>
      <c r="Y47" s="492"/>
      <c r="Z47" s="492"/>
      <c r="AA47" s="492"/>
      <c r="AB47" s="492"/>
      <c r="AC47" s="499"/>
    </row>
    <row r="48" spans="1:29" ht="13.7" customHeight="1" x14ac:dyDescent="0.2">
      <c r="A48" s="531" t="s">
        <v>302</v>
      </c>
      <c r="B48" s="532"/>
      <c r="C48" s="532"/>
      <c r="D48" s="532"/>
      <c r="E48" s="532"/>
      <c r="F48" s="532"/>
      <c r="G48" s="532"/>
      <c r="H48" s="532"/>
      <c r="I48" s="532"/>
      <c r="J48" s="532"/>
      <c r="K48" s="532"/>
      <c r="L48" s="532"/>
      <c r="M48" s="532"/>
      <c r="N48" s="532"/>
      <c r="O48" s="532"/>
      <c r="P48" s="532"/>
      <c r="Q48" s="532"/>
      <c r="R48" s="532"/>
      <c r="S48" s="532"/>
      <c r="T48" s="532"/>
      <c r="U48" s="532"/>
      <c r="V48" s="532"/>
      <c r="W48" s="532"/>
      <c r="X48" s="532"/>
      <c r="Y48" s="532"/>
      <c r="Z48" s="532"/>
      <c r="AA48" s="532"/>
      <c r="AB48" s="532"/>
      <c r="AC48" s="533"/>
    </row>
    <row r="49" spans="1:29" ht="6" customHeight="1" x14ac:dyDescent="0.2">
      <c r="A49" s="388"/>
      <c r="B49" s="389"/>
      <c r="C49" s="389"/>
      <c r="D49" s="389"/>
      <c r="E49" s="389"/>
      <c r="F49" s="389"/>
      <c r="G49" s="389"/>
      <c r="H49" s="389"/>
      <c r="I49" s="389"/>
      <c r="J49" s="389"/>
      <c r="K49" s="389"/>
      <c r="L49" s="389"/>
      <c r="M49" s="389"/>
      <c r="N49" s="389"/>
      <c r="O49" s="389"/>
      <c r="P49" s="389"/>
      <c r="Q49" s="389"/>
      <c r="R49" s="389"/>
      <c r="S49" s="389"/>
      <c r="T49" s="389"/>
      <c r="U49" s="389"/>
      <c r="V49" s="389"/>
      <c r="W49" s="389"/>
      <c r="X49" s="389"/>
      <c r="Y49" s="389"/>
      <c r="Z49" s="389"/>
      <c r="AA49" s="389"/>
      <c r="AB49" s="389"/>
      <c r="AC49" s="390"/>
    </row>
    <row r="50" spans="1:29" ht="16.5" customHeight="1" x14ac:dyDescent="0.2">
      <c r="A50" s="535" t="s">
        <v>623</v>
      </c>
      <c r="B50" s="536"/>
      <c r="C50" s="536"/>
      <c r="D50" s="536"/>
      <c r="E50" s="536"/>
      <c r="F50" s="536"/>
      <c r="G50" s="536"/>
      <c r="H50" s="504" t="s">
        <v>648</v>
      </c>
      <c r="I50" s="505"/>
      <c r="J50" s="505"/>
      <c r="K50" s="505"/>
      <c r="L50" s="505"/>
      <c r="M50" s="505"/>
      <c r="N50" s="505"/>
      <c r="O50" s="505"/>
      <c r="P50" s="505"/>
      <c r="Q50" s="505"/>
      <c r="R50" s="506"/>
      <c r="S50" s="504" t="s">
        <v>650</v>
      </c>
      <c r="T50" s="505"/>
      <c r="U50" s="505"/>
      <c r="V50" s="505"/>
      <c r="W50" s="505"/>
      <c r="X50" s="505"/>
      <c r="Y50" s="505"/>
      <c r="Z50" s="505"/>
      <c r="AA50" s="506"/>
      <c r="AB50" s="504" t="s">
        <v>562</v>
      </c>
      <c r="AC50" s="510"/>
    </row>
    <row r="51" spans="1:29" ht="13.7" customHeight="1" x14ac:dyDescent="0.2">
      <c r="A51" s="537" t="s">
        <v>303</v>
      </c>
      <c r="B51" s="538"/>
      <c r="C51" s="539" t="s">
        <v>304</v>
      </c>
      <c r="D51" s="540"/>
      <c r="E51" s="540"/>
      <c r="F51" s="540"/>
      <c r="G51" s="538"/>
      <c r="H51" s="507"/>
      <c r="I51" s="508"/>
      <c r="J51" s="508"/>
      <c r="K51" s="508"/>
      <c r="L51" s="508"/>
      <c r="M51" s="508"/>
      <c r="N51" s="508"/>
      <c r="O51" s="508"/>
      <c r="P51" s="508"/>
      <c r="Q51" s="508"/>
      <c r="R51" s="509"/>
      <c r="S51" s="507"/>
      <c r="T51" s="508"/>
      <c r="U51" s="508"/>
      <c r="V51" s="508"/>
      <c r="W51" s="508"/>
      <c r="X51" s="508"/>
      <c r="Y51" s="508"/>
      <c r="Z51" s="508"/>
      <c r="AA51" s="509"/>
      <c r="AB51" s="507"/>
      <c r="AC51" s="511"/>
    </row>
    <row r="52" spans="1:29" ht="24.75" customHeight="1" x14ac:dyDescent="0.2">
      <c r="A52" s="426" t="str">
        <f>IF('Dane personalne'!B83="","",'Dane personalne'!B83)</f>
        <v/>
      </c>
      <c r="B52" s="427"/>
      <c r="C52" s="428" t="str">
        <f>IF('Dane personalne'!C83="","",'Dane personalne'!C83)</f>
        <v/>
      </c>
      <c r="D52" s="428"/>
      <c r="E52" s="428"/>
      <c r="F52" s="428"/>
      <c r="G52" s="428"/>
      <c r="H52" s="478" t="str">
        <f>IF('Dane personalne'!D83="","",'Dane personalne'!D83)</f>
        <v/>
      </c>
      <c r="I52" s="479"/>
      <c r="J52" s="479"/>
      <c r="K52" s="479"/>
      <c r="L52" s="479"/>
      <c r="M52" s="479"/>
      <c r="N52" s="479"/>
      <c r="O52" s="479"/>
      <c r="P52" s="479"/>
      <c r="Q52" s="479"/>
      <c r="R52" s="480"/>
      <c r="S52" s="481" t="str">
        <f>IF('Dane personalne'!E83="","",'Dane personalne'!E83)</f>
        <v/>
      </c>
      <c r="T52" s="482"/>
      <c r="U52" s="482"/>
      <c r="V52" s="482"/>
      <c r="W52" s="482"/>
      <c r="X52" s="482"/>
      <c r="Y52" s="482"/>
      <c r="Z52" s="482"/>
      <c r="AA52" s="483"/>
      <c r="AB52" s="478" t="str">
        <f>IF('Dane personalne'!F83="","",'Dane personalne'!F83)</f>
        <v/>
      </c>
      <c r="AC52" s="484"/>
    </row>
    <row r="53" spans="1:29" ht="26.45" customHeight="1" x14ac:dyDescent="0.2">
      <c r="A53" s="426" t="str">
        <f>IF('Dane personalne'!B84="","",'Dane personalne'!B84)</f>
        <v/>
      </c>
      <c r="B53" s="427"/>
      <c r="C53" s="428" t="str">
        <f>IF('Dane personalne'!C84="","",'Dane personalne'!C84)</f>
        <v/>
      </c>
      <c r="D53" s="428"/>
      <c r="E53" s="428"/>
      <c r="F53" s="428"/>
      <c r="G53" s="428"/>
      <c r="H53" s="478" t="str">
        <f>IF('Dane personalne'!D84="","",'Dane personalne'!D84)</f>
        <v/>
      </c>
      <c r="I53" s="479"/>
      <c r="J53" s="479"/>
      <c r="K53" s="479"/>
      <c r="L53" s="479"/>
      <c r="M53" s="479"/>
      <c r="N53" s="479"/>
      <c r="O53" s="479"/>
      <c r="P53" s="479"/>
      <c r="Q53" s="479"/>
      <c r="R53" s="480"/>
      <c r="S53" s="481" t="str">
        <f>IF('Dane personalne'!E84="","",'Dane personalne'!E84)</f>
        <v/>
      </c>
      <c r="T53" s="482"/>
      <c r="U53" s="482"/>
      <c r="V53" s="482"/>
      <c r="W53" s="482"/>
      <c r="X53" s="482"/>
      <c r="Y53" s="482"/>
      <c r="Z53" s="482"/>
      <c r="AA53" s="483"/>
      <c r="AB53" s="478" t="str">
        <f>IF('Dane personalne'!F84="","",'Dane personalne'!F84)</f>
        <v/>
      </c>
      <c r="AC53" s="484"/>
    </row>
    <row r="54" spans="1:29" ht="24" customHeight="1" x14ac:dyDescent="0.2">
      <c r="A54" s="426" t="str">
        <f>IF('Dane personalne'!B85="","",'Dane personalne'!B85)</f>
        <v/>
      </c>
      <c r="B54" s="427"/>
      <c r="C54" s="428" t="str">
        <f>IF('Dane personalne'!C85="","",'Dane personalne'!C85)</f>
        <v/>
      </c>
      <c r="D54" s="428"/>
      <c r="E54" s="428"/>
      <c r="F54" s="428"/>
      <c r="G54" s="428"/>
      <c r="H54" s="478" t="str">
        <f>IF('Dane personalne'!D85="","",'Dane personalne'!D85)</f>
        <v/>
      </c>
      <c r="I54" s="479"/>
      <c r="J54" s="479"/>
      <c r="K54" s="479"/>
      <c r="L54" s="479"/>
      <c r="M54" s="479"/>
      <c r="N54" s="479"/>
      <c r="O54" s="479"/>
      <c r="P54" s="479"/>
      <c r="Q54" s="479"/>
      <c r="R54" s="480"/>
      <c r="S54" s="481" t="str">
        <f>IF('Dane personalne'!E85="","",'Dane personalne'!E85)</f>
        <v/>
      </c>
      <c r="T54" s="482"/>
      <c r="U54" s="482"/>
      <c r="V54" s="482"/>
      <c r="W54" s="482"/>
      <c r="X54" s="482"/>
      <c r="Y54" s="482"/>
      <c r="Z54" s="482"/>
      <c r="AA54" s="483"/>
      <c r="AB54" s="478" t="str">
        <f>IF('Dane personalne'!F85="","",'Dane personalne'!F85)</f>
        <v/>
      </c>
      <c r="AC54" s="484"/>
    </row>
    <row r="55" spans="1:29" ht="24" customHeight="1" x14ac:dyDescent="0.2">
      <c r="A55" s="426" t="str">
        <f>IF('Dane personalne'!B86="","",'Dane personalne'!B86)</f>
        <v/>
      </c>
      <c r="B55" s="427"/>
      <c r="C55" s="428" t="str">
        <f>IF('Dane personalne'!C86="","",'Dane personalne'!C86)</f>
        <v/>
      </c>
      <c r="D55" s="428"/>
      <c r="E55" s="428"/>
      <c r="F55" s="428"/>
      <c r="G55" s="428"/>
      <c r="H55" s="478" t="str">
        <f>IF('Dane personalne'!D86="","",'Dane personalne'!D86)</f>
        <v/>
      </c>
      <c r="I55" s="479"/>
      <c r="J55" s="479"/>
      <c r="K55" s="479"/>
      <c r="L55" s="479"/>
      <c r="M55" s="479"/>
      <c r="N55" s="479"/>
      <c r="O55" s="479"/>
      <c r="P55" s="479"/>
      <c r="Q55" s="479"/>
      <c r="R55" s="480"/>
      <c r="S55" s="481" t="str">
        <f>IF('Dane personalne'!E86="","",'Dane personalne'!E86)</f>
        <v/>
      </c>
      <c r="T55" s="482"/>
      <c r="U55" s="482"/>
      <c r="V55" s="482"/>
      <c r="W55" s="482"/>
      <c r="X55" s="482"/>
      <c r="Y55" s="482"/>
      <c r="Z55" s="482"/>
      <c r="AA55" s="483"/>
      <c r="AB55" s="478" t="str">
        <f>IF('Dane personalne'!F86="","",'Dane personalne'!F86)</f>
        <v/>
      </c>
      <c r="AC55" s="484"/>
    </row>
    <row r="56" spans="1:29" ht="22.7" customHeight="1" x14ac:dyDescent="0.2">
      <c r="A56" s="426" t="str">
        <f>IF('Dane personalne'!B87="","",'Dane personalne'!B87)</f>
        <v/>
      </c>
      <c r="B56" s="427"/>
      <c r="C56" s="428" t="str">
        <f>IF('Dane personalne'!C87="","",'Dane personalne'!C87)</f>
        <v/>
      </c>
      <c r="D56" s="428"/>
      <c r="E56" s="428"/>
      <c r="F56" s="428"/>
      <c r="G56" s="428"/>
      <c r="H56" s="478" t="str">
        <f>IF('Dane personalne'!D87="","",'Dane personalne'!D87)</f>
        <v/>
      </c>
      <c r="I56" s="479"/>
      <c r="J56" s="479"/>
      <c r="K56" s="479"/>
      <c r="L56" s="479"/>
      <c r="M56" s="479"/>
      <c r="N56" s="479"/>
      <c r="O56" s="479"/>
      <c r="P56" s="479"/>
      <c r="Q56" s="479"/>
      <c r="R56" s="480"/>
      <c r="S56" s="481" t="str">
        <f>IF('Dane personalne'!E87="","",'Dane personalne'!E87)</f>
        <v/>
      </c>
      <c r="T56" s="482"/>
      <c r="U56" s="482"/>
      <c r="V56" s="482"/>
      <c r="W56" s="482"/>
      <c r="X56" s="482"/>
      <c r="Y56" s="482"/>
      <c r="Z56" s="482"/>
      <c r="AA56" s="483"/>
      <c r="AB56" s="478" t="str">
        <f>IF('Dane personalne'!F87="","",'Dane personalne'!F87)</f>
        <v/>
      </c>
      <c r="AC56" s="484"/>
    </row>
    <row r="57" spans="1:29" ht="12.75" customHeight="1" x14ac:dyDescent="0.2">
      <c r="A57" s="523" t="s">
        <v>624</v>
      </c>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5"/>
    </row>
    <row r="58" spans="1:29" ht="12.75" customHeight="1" x14ac:dyDescent="0.2">
      <c r="A58" s="385"/>
      <c r="B58" s="386"/>
      <c r="C58" s="386"/>
      <c r="D58" s="386"/>
      <c r="E58" s="386"/>
      <c r="F58" s="386"/>
      <c r="G58" s="386"/>
      <c r="H58" s="386"/>
      <c r="I58" s="386"/>
      <c r="J58" s="386"/>
      <c r="K58" s="386"/>
      <c r="L58" s="386"/>
      <c r="M58" s="386"/>
      <c r="N58" s="386"/>
      <c r="O58" s="386"/>
      <c r="P58" s="386"/>
      <c r="Q58" s="386"/>
      <c r="R58" s="386"/>
      <c r="S58" s="386"/>
      <c r="T58" s="386"/>
      <c r="U58" s="386"/>
      <c r="V58" s="386"/>
      <c r="W58" s="386"/>
      <c r="X58" s="386"/>
      <c r="Y58" s="386"/>
      <c r="Z58" s="386"/>
      <c r="AA58" s="386"/>
      <c r="AB58" s="386"/>
      <c r="AC58" s="387"/>
    </row>
    <row r="59" spans="1:29" ht="16.5" customHeight="1" x14ac:dyDescent="0.2">
      <c r="A59" s="385"/>
      <c r="B59" s="386"/>
      <c r="C59" s="386"/>
      <c r="D59" s="386"/>
      <c r="E59" s="386"/>
      <c r="F59" s="386"/>
      <c r="G59" s="386"/>
      <c r="H59" s="386"/>
      <c r="I59" s="386"/>
      <c r="J59" s="386"/>
      <c r="K59" s="386"/>
      <c r="L59" s="386"/>
      <c r="M59" s="386"/>
      <c r="N59" s="386"/>
      <c r="O59" s="386"/>
      <c r="P59" s="386"/>
      <c r="Q59" s="386"/>
      <c r="R59" s="386"/>
      <c r="S59" s="386"/>
      <c r="T59" s="386"/>
      <c r="U59" s="386"/>
      <c r="V59" s="386"/>
      <c r="W59" s="386"/>
      <c r="X59" s="386"/>
      <c r="Y59" s="386"/>
      <c r="Z59" s="386"/>
      <c r="AA59" s="386"/>
      <c r="AB59" s="386"/>
      <c r="AC59" s="387"/>
    </row>
    <row r="60" spans="1:29" ht="17.45" customHeight="1" x14ac:dyDescent="0.2">
      <c r="A60" s="531" t="s">
        <v>305</v>
      </c>
      <c r="B60" s="532"/>
      <c r="C60" s="532"/>
      <c r="D60" s="532"/>
      <c r="E60" s="532"/>
      <c r="F60" s="532"/>
      <c r="G60" s="532"/>
      <c r="H60" s="532"/>
      <c r="I60" s="532"/>
      <c r="J60" s="532"/>
      <c r="K60" s="532"/>
      <c r="L60" s="532"/>
      <c r="M60" s="532"/>
      <c r="N60" s="532"/>
      <c r="O60" s="532"/>
      <c r="P60" s="532"/>
      <c r="Q60" s="532"/>
      <c r="R60" s="532"/>
      <c r="S60" s="532"/>
      <c r="T60" s="532"/>
      <c r="U60" s="532"/>
      <c r="V60" s="532"/>
      <c r="W60" s="532"/>
      <c r="X60" s="532"/>
      <c r="Y60" s="532"/>
      <c r="Z60" s="532"/>
      <c r="AA60" s="532"/>
      <c r="AB60" s="532"/>
      <c r="AC60" s="533"/>
    </row>
    <row r="61" spans="1:29" ht="16.5" customHeight="1" x14ac:dyDescent="0.2">
      <c r="A61" s="385" t="str">
        <f>IF('Dane personalne'!D89="","",'Dane personalne'!D89)</f>
        <v/>
      </c>
      <c r="B61" s="386"/>
      <c r="C61" s="386"/>
      <c r="D61" s="386"/>
      <c r="E61" s="386"/>
      <c r="F61" s="386"/>
      <c r="G61" s="386"/>
      <c r="H61" s="386"/>
      <c r="I61" s="386"/>
      <c r="J61" s="386"/>
      <c r="K61" s="386"/>
      <c r="L61" s="386"/>
      <c r="M61" s="386"/>
      <c r="N61" s="386"/>
      <c r="O61" s="386"/>
      <c r="P61" s="386"/>
      <c r="Q61" s="386"/>
      <c r="R61" s="386"/>
      <c r="S61" s="386"/>
      <c r="T61" s="386"/>
      <c r="U61" s="386"/>
      <c r="V61" s="386"/>
      <c r="W61" s="386"/>
      <c r="X61" s="386"/>
      <c r="Y61" s="386"/>
      <c r="Z61" s="386"/>
      <c r="AA61" s="386"/>
      <c r="AB61" s="386"/>
      <c r="AC61" s="387"/>
    </row>
    <row r="62" spans="1:29" ht="17.45" customHeight="1" x14ac:dyDescent="0.2">
      <c r="A62" s="531" t="s">
        <v>563</v>
      </c>
      <c r="B62" s="532"/>
      <c r="C62" s="532"/>
      <c r="D62" s="532"/>
      <c r="E62" s="532"/>
      <c r="F62" s="532"/>
      <c r="G62" s="532"/>
      <c r="H62" s="532"/>
      <c r="I62" s="532"/>
      <c r="J62" s="532"/>
      <c r="K62" s="532"/>
      <c r="L62" s="532"/>
      <c r="M62" s="532"/>
      <c r="N62" s="532"/>
      <c r="O62" s="532"/>
      <c r="P62" s="532"/>
      <c r="Q62" s="532"/>
      <c r="R62" s="532"/>
      <c r="S62" s="532"/>
      <c r="T62" s="532"/>
      <c r="U62" s="532"/>
      <c r="V62" s="532"/>
      <c r="W62" s="532"/>
      <c r="X62" s="532"/>
      <c r="Y62" s="532"/>
      <c r="Z62" s="532"/>
      <c r="AA62" s="532"/>
      <c r="AB62" s="532"/>
      <c r="AC62" s="533"/>
    </row>
    <row r="63" spans="1:29" ht="12.75" customHeight="1" x14ac:dyDescent="0.2">
      <c r="A63" s="385" t="str">
        <f>IF('Dane personalne'!D90="","",'Dane personalne'!D90)</f>
        <v/>
      </c>
      <c r="B63" s="386"/>
      <c r="C63" s="386"/>
      <c r="D63" s="386"/>
      <c r="E63" s="386"/>
      <c r="F63" s="386"/>
      <c r="G63" s="386"/>
      <c r="H63" s="386"/>
      <c r="I63" s="386"/>
      <c r="J63" s="386"/>
      <c r="K63" s="386"/>
      <c r="L63" s="386"/>
      <c r="M63" s="386"/>
      <c r="N63" s="386"/>
      <c r="O63" s="386"/>
      <c r="P63" s="386"/>
      <c r="Q63" s="386"/>
      <c r="R63" s="386"/>
      <c r="S63" s="386"/>
      <c r="T63" s="386"/>
      <c r="U63" s="386"/>
      <c r="V63" s="386"/>
      <c r="W63" s="386"/>
      <c r="X63" s="386"/>
      <c r="Y63" s="386"/>
      <c r="Z63" s="386"/>
      <c r="AA63" s="386"/>
      <c r="AB63" s="386"/>
      <c r="AC63" s="387"/>
    </row>
    <row r="64" spans="1:29" ht="4.7" customHeight="1" x14ac:dyDescent="0.2">
      <c r="A64" s="388"/>
      <c r="B64" s="389"/>
      <c r="C64" s="389"/>
      <c r="D64" s="389"/>
      <c r="E64" s="389"/>
      <c r="F64" s="389"/>
      <c r="G64" s="389"/>
      <c r="H64" s="389"/>
      <c r="I64" s="389"/>
      <c r="J64" s="389"/>
      <c r="K64" s="389"/>
      <c r="L64" s="389"/>
      <c r="M64" s="389"/>
      <c r="N64" s="389"/>
      <c r="O64" s="389"/>
      <c r="P64" s="389"/>
      <c r="Q64" s="389"/>
      <c r="R64" s="389"/>
      <c r="S64" s="389"/>
      <c r="T64" s="389"/>
      <c r="U64" s="389"/>
      <c r="V64" s="389"/>
      <c r="W64" s="389"/>
      <c r="X64" s="389"/>
      <c r="Y64" s="389"/>
      <c r="Z64" s="389"/>
      <c r="AA64" s="389"/>
      <c r="AB64" s="389"/>
      <c r="AC64" s="390"/>
    </row>
    <row r="65" spans="1:30" ht="15.75" customHeight="1" x14ac:dyDescent="0.2">
      <c r="A65" s="241" t="s">
        <v>632</v>
      </c>
      <c r="B65" s="155"/>
      <c r="C65" s="402" t="str">
        <f>IF('Dane personalne'!D42="",IF('Dane personalne'!D32="","",'Dane personalne'!D32),'Dane personalne'!D42)</f>
        <v/>
      </c>
      <c r="D65" s="402"/>
      <c r="E65" s="402"/>
      <c r="F65" s="402"/>
      <c r="G65" s="402"/>
      <c r="H65" s="402"/>
      <c r="I65" s="402"/>
      <c r="J65" s="402"/>
      <c r="L65" s="402" t="str">
        <f>IF('Dane personalne'!D36="",IF('Dane personalne'!D26="","",'Dane personalne'!D26),'Dane personalne'!D36)</f>
        <v/>
      </c>
      <c r="M65" s="402"/>
      <c r="N65" s="402"/>
      <c r="O65" s="402"/>
      <c r="P65" s="402"/>
      <c r="Q65" s="402"/>
      <c r="R65" s="402"/>
      <c r="S65" s="402"/>
      <c r="T65" s="402"/>
      <c r="U65" s="402"/>
      <c r="V65" s="402"/>
      <c r="W65" s="402"/>
      <c r="X65" s="402"/>
      <c r="Y65" s="402"/>
      <c r="Z65" s="55"/>
      <c r="AA65" s="55"/>
      <c r="AB65" s="402" t="str">
        <f>IF('Dane personalne'!D37="",IF('Dane personalne'!D27="","",'Dane personalne'!D27),'Dane personalne'!D37)</f>
        <v/>
      </c>
      <c r="AC65" s="534"/>
    </row>
    <row r="66" spans="1:30" ht="11.25" customHeight="1" x14ac:dyDescent="0.2">
      <c r="A66" s="240"/>
      <c r="B66" s="55"/>
      <c r="C66" s="127" t="s">
        <v>630</v>
      </c>
      <c r="D66" s="127"/>
      <c r="E66" s="127"/>
      <c r="F66" s="127"/>
      <c r="G66" s="127"/>
      <c r="H66" s="127"/>
      <c r="I66" s="127"/>
      <c r="J66" s="127"/>
      <c r="L66" s="127" t="s">
        <v>263</v>
      </c>
      <c r="M66" s="127"/>
      <c r="N66" s="127"/>
      <c r="O66" s="127"/>
      <c r="P66" s="127"/>
      <c r="Q66" s="127"/>
      <c r="R66" s="127"/>
      <c r="S66" s="127"/>
      <c r="T66" s="127"/>
      <c r="U66" s="127"/>
      <c r="V66" s="127"/>
      <c r="W66" s="127"/>
      <c r="X66" s="127"/>
      <c r="Y66" s="127"/>
      <c r="Z66" s="55"/>
      <c r="AA66" s="55"/>
      <c r="AB66" s="155" t="s">
        <v>264</v>
      </c>
      <c r="AC66" s="355"/>
    </row>
    <row r="67" spans="1:30" ht="15.75" customHeight="1" x14ac:dyDescent="0.2">
      <c r="A67" s="401"/>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4"/>
    </row>
    <row r="68" spans="1:30" ht="17.45" customHeight="1" x14ac:dyDescent="0.2">
      <c r="A68" s="445" t="str">
        <f>IF('Dane personalne'!D34="",IF('Dane personalne'!D24="","",'Dane personalne'!D24),'Dane personalne'!D34)</f>
        <v/>
      </c>
      <c r="B68" s="405"/>
      <c r="C68" s="405"/>
      <c r="D68" s="405"/>
      <c r="E68" s="405"/>
      <c r="F68" s="405"/>
      <c r="G68" s="405"/>
      <c r="H68" s="405"/>
      <c r="I68" s="405"/>
      <c r="J68" s="405"/>
      <c r="K68" s="405"/>
      <c r="L68" s="405"/>
      <c r="M68" s="405"/>
      <c r="N68" s="405"/>
      <c r="O68" s="217"/>
      <c r="P68" s="409" t="str">
        <f>IF('Dane personalne'!D35="",IF('Dane personalne'!D25="","",'Dane personalne'!D25),'Dane personalne'!D35)</f>
        <v/>
      </c>
      <c r="Q68" s="409"/>
      <c r="R68" s="409"/>
      <c r="S68" s="409"/>
      <c r="T68" s="409" t="s">
        <v>2384</v>
      </c>
      <c r="U68" s="409" t="str">
        <f>IF('Dane personalne'!F35="",IF('Dane personalne'!F25="","",'Dane personalne'!F25),'Dane personalne'!F35)</f>
        <v/>
      </c>
      <c r="V68" s="410"/>
      <c r="W68" s="410"/>
      <c r="X68" s="228"/>
      <c r="Y68" s="228"/>
      <c r="Z68" s="228"/>
      <c r="AA68" s="228"/>
      <c r="AB68" s="405" t="str">
        <f>IF('Dane personalne'!D39="",IF('Dane personalne'!D29="","",'Dane personalne'!D29),'Dane personalne'!D39)</f>
        <v/>
      </c>
      <c r="AC68" s="406"/>
    </row>
    <row r="69" spans="1:30" x14ac:dyDescent="0.2">
      <c r="A69" s="529" t="s">
        <v>290</v>
      </c>
      <c r="B69" s="522"/>
      <c r="C69" s="522"/>
      <c r="D69" s="522"/>
      <c r="E69" s="522"/>
      <c r="F69" s="522"/>
      <c r="G69" s="522"/>
      <c r="H69" s="522"/>
      <c r="I69" s="522"/>
      <c r="J69" s="522"/>
      <c r="K69" s="522"/>
      <c r="L69" s="522"/>
      <c r="M69" s="522"/>
      <c r="N69" s="522"/>
      <c r="O69" s="225"/>
      <c r="P69" s="522" t="s">
        <v>262</v>
      </c>
      <c r="Q69" s="522"/>
      <c r="R69" s="522"/>
      <c r="S69" s="522"/>
      <c r="T69" s="522"/>
      <c r="U69" s="522"/>
      <c r="V69" s="530"/>
      <c r="W69" s="530"/>
      <c r="X69" s="155"/>
      <c r="Y69" s="155"/>
      <c r="Z69" s="155"/>
      <c r="AA69" s="155"/>
      <c r="AB69" s="393" t="s">
        <v>265</v>
      </c>
      <c r="AC69" s="394"/>
      <c r="AD69" s="14"/>
    </row>
    <row r="70" spans="1:30" x14ac:dyDescent="0.2">
      <c r="A70" s="388"/>
      <c r="B70" s="389"/>
      <c r="C70" s="389"/>
      <c r="D70" s="389"/>
      <c r="E70" s="389"/>
      <c r="F70" s="389"/>
      <c r="G70" s="389"/>
      <c r="H70" s="389"/>
      <c r="I70" s="389"/>
      <c r="J70" s="389"/>
      <c r="K70" s="389"/>
      <c r="L70" s="389"/>
      <c r="M70" s="389"/>
      <c r="N70" s="389"/>
      <c r="O70" s="389"/>
      <c r="P70" s="389"/>
      <c r="Q70" s="389"/>
      <c r="R70" s="389"/>
      <c r="S70" s="389"/>
      <c r="T70" s="389"/>
      <c r="U70" s="389"/>
      <c r="V70" s="389"/>
      <c r="W70" s="389"/>
      <c r="X70" s="389"/>
      <c r="Y70" s="389"/>
      <c r="Z70" s="389"/>
      <c r="AA70" s="389"/>
      <c r="AB70" s="389"/>
      <c r="AC70" s="390"/>
    </row>
    <row r="71" spans="1:30" ht="17.45" customHeight="1" x14ac:dyDescent="0.2">
      <c r="A71" s="523" t="s">
        <v>314</v>
      </c>
      <c r="B71" s="524"/>
      <c r="C71" s="524"/>
      <c r="D71" s="524"/>
      <c r="E71" s="524"/>
      <c r="F71" s="524"/>
      <c r="G71" s="524"/>
      <c r="H71" s="524"/>
      <c r="I71" s="524"/>
      <c r="J71" s="524"/>
      <c r="K71" s="524"/>
      <c r="L71" s="524"/>
      <c r="M71" s="524"/>
      <c r="N71" s="524"/>
      <c r="O71" s="524"/>
      <c r="P71" s="524"/>
      <c r="Q71" s="524"/>
      <c r="R71" s="524"/>
      <c r="S71" s="524"/>
      <c r="T71" s="524"/>
      <c r="U71" s="524"/>
      <c r="V71" s="524"/>
      <c r="W71" s="524"/>
      <c r="X71" s="524"/>
      <c r="Y71" s="524"/>
      <c r="Z71" s="524"/>
      <c r="AA71" s="524"/>
      <c r="AB71" s="524"/>
      <c r="AC71" s="525"/>
    </row>
    <row r="72" spans="1:30" x14ac:dyDescent="0.2">
      <c r="A72" s="401"/>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4"/>
    </row>
    <row r="73" spans="1:30" x14ac:dyDescent="0.2">
      <c r="A73" s="385" t="str">
        <f>IF('Dane personalne'!D22="","",'Dane personalne'!D22)</f>
        <v/>
      </c>
      <c r="B73" s="407"/>
      <c r="C73" s="407"/>
      <c r="D73" s="407"/>
      <c r="E73" s="407"/>
      <c r="F73" s="407"/>
      <c r="G73" s="407"/>
      <c r="H73" s="407"/>
      <c r="I73" s="407"/>
      <c r="J73" s="407"/>
      <c r="K73" s="407"/>
      <c r="L73" s="407"/>
      <c r="M73" s="407"/>
      <c r="N73" s="219"/>
      <c r="O73" s="386"/>
      <c r="P73" s="407"/>
      <c r="Q73" s="407"/>
      <c r="R73" s="407"/>
      <c r="S73" s="407"/>
      <c r="T73" s="407"/>
      <c r="U73" s="407"/>
      <c r="V73" s="407"/>
      <c r="W73" s="407"/>
      <c r="X73" s="407"/>
      <c r="Y73" s="407"/>
      <c r="Z73" s="407"/>
      <c r="AA73" s="407"/>
      <c r="AB73" s="407"/>
      <c r="AC73" s="408"/>
    </row>
    <row r="74" spans="1:30" x14ac:dyDescent="0.2">
      <c r="A74" s="475"/>
      <c r="B74" s="476"/>
      <c r="C74" s="476"/>
      <c r="D74" s="476"/>
      <c r="E74" s="476"/>
      <c r="F74" s="476"/>
      <c r="G74" s="476"/>
      <c r="H74" s="476"/>
      <c r="I74" s="476"/>
      <c r="J74" s="476"/>
      <c r="K74" s="476"/>
      <c r="L74" s="476"/>
      <c r="M74" s="476"/>
      <c r="N74" s="476"/>
      <c r="O74" s="476"/>
      <c r="P74" s="476"/>
      <c r="Q74" s="476"/>
      <c r="R74" s="476"/>
      <c r="S74" s="476"/>
      <c r="T74" s="476"/>
      <c r="U74" s="476"/>
      <c r="V74" s="476"/>
      <c r="W74" s="476"/>
      <c r="X74" s="476"/>
      <c r="Y74" s="476"/>
      <c r="Z74" s="476"/>
      <c r="AA74" s="476"/>
      <c r="AB74" s="476"/>
      <c r="AC74" s="477"/>
    </row>
    <row r="75" spans="1:30" ht="17.45" customHeight="1" x14ac:dyDescent="0.2">
      <c r="A75" s="523" t="s">
        <v>315</v>
      </c>
      <c r="B75" s="524"/>
      <c r="C75" s="524"/>
      <c r="D75" s="524"/>
      <c r="E75" s="524"/>
      <c r="F75" s="524"/>
      <c r="G75" s="524"/>
      <c r="H75" s="524"/>
      <c r="I75" s="524"/>
      <c r="J75" s="524"/>
      <c r="K75" s="524"/>
      <c r="L75" s="524"/>
      <c r="M75" s="524"/>
      <c r="N75" s="524"/>
      <c r="O75" s="524"/>
      <c r="P75" s="524"/>
      <c r="Q75" s="524"/>
      <c r="R75" s="524"/>
      <c r="S75" s="524"/>
      <c r="T75" s="524"/>
      <c r="U75" s="524"/>
      <c r="V75" s="524"/>
      <c r="W75" s="524"/>
      <c r="X75" s="524"/>
      <c r="Y75" s="524"/>
      <c r="Z75" s="524"/>
      <c r="AA75" s="524"/>
      <c r="AB75" s="524"/>
      <c r="AC75" s="525"/>
    </row>
    <row r="76" spans="1:30" x14ac:dyDescent="0.2">
      <c r="A76" s="401"/>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4"/>
    </row>
    <row r="77" spans="1:30" x14ac:dyDescent="0.2">
      <c r="A77" s="385" t="str">
        <f>IF('Dane personalne'!D77="","",'Dane personalne'!D77)</f>
        <v/>
      </c>
      <c r="B77" s="407"/>
      <c r="C77" s="407"/>
      <c r="D77" s="407"/>
      <c r="E77" s="407"/>
      <c r="F77" s="407"/>
      <c r="G77" s="407"/>
      <c r="H77" s="407"/>
      <c r="I77" s="407"/>
      <c r="J77" s="407"/>
      <c r="K77" s="407"/>
      <c r="L77" s="407"/>
      <c r="M77" s="407"/>
      <c r="N77" s="219"/>
      <c r="O77" s="386" t="str">
        <f>IF('Dane personalne'!D79="","",'Dane personalne'!D79)</f>
        <v/>
      </c>
      <c r="P77" s="407"/>
      <c r="Q77" s="407"/>
      <c r="R77" s="407"/>
      <c r="S77" s="407"/>
      <c r="T77" s="407"/>
      <c r="U77" s="407"/>
      <c r="V77" s="407"/>
      <c r="W77" s="407"/>
      <c r="X77" s="407"/>
      <c r="Y77" s="407"/>
      <c r="Z77" s="407"/>
      <c r="AA77" s="407"/>
      <c r="AB77" s="407"/>
      <c r="AC77" s="408"/>
    </row>
    <row r="78" spans="1:30" x14ac:dyDescent="0.2">
      <c r="A78" s="472" t="str">
        <f>IF('Dane personalne'!D78="","",'Dane personalne'!D78)</f>
        <v/>
      </c>
      <c r="B78" s="473"/>
      <c r="C78" s="473"/>
      <c r="D78" s="473"/>
      <c r="E78" s="473"/>
      <c r="F78" s="473"/>
      <c r="G78" s="473"/>
      <c r="H78" s="473"/>
      <c r="I78" s="473"/>
      <c r="J78" s="473"/>
      <c r="K78" s="473"/>
      <c r="L78" s="473"/>
      <c r="M78" s="473"/>
      <c r="N78" s="473"/>
      <c r="O78" s="473"/>
      <c r="P78" s="473"/>
      <c r="Q78" s="473"/>
      <c r="R78" s="473"/>
      <c r="S78" s="473"/>
      <c r="T78" s="473"/>
      <c r="U78" s="473"/>
      <c r="V78" s="473"/>
      <c r="W78" s="473"/>
      <c r="X78" s="473"/>
      <c r="Y78" s="473"/>
      <c r="Z78" s="473"/>
      <c r="AA78" s="473"/>
      <c r="AB78" s="473"/>
      <c r="AC78" s="474"/>
    </row>
    <row r="79" spans="1:30" ht="18" customHeight="1" x14ac:dyDescent="0.2">
      <c r="A79" s="526" t="s">
        <v>2379</v>
      </c>
      <c r="B79" s="527"/>
      <c r="C79" s="527"/>
      <c r="D79" s="527"/>
      <c r="E79" s="527"/>
      <c r="F79" s="527"/>
      <c r="G79" s="527"/>
      <c r="H79" s="527"/>
      <c r="I79" s="527"/>
      <c r="J79" s="527"/>
      <c r="K79" s="527"/>
      <c r="L79" s="527"/>
      <c r="M79" s="527"/>
      <c r="N79" s="527"/>
      <c r="O79" s="527"/>
      <c r="P79" s="527"/>
      <c r="Q79" s="527"/>
      <c r="R79" s="527"/>
      <c r="S79" s="527"/>
      <c r="T79" s="527"/>
      <c r="U79" s="527"/>
      <c r="V79" s="527"/>
      <c r="W79" s="527"/>
      <c r="X79" s="527"/>
      <c r="Y79" s="527"/>
      <c r="Z79" s="527" t="str">
        <f>IF('Dane personalne'!D43="","",'Dane personalne'!D43)</f>
        <v/>
      </c>
      <c r="AA79" s="527"/>
      <c r="AB79" s="527"/>
      <c r="AC79" s="528"/>
    </row>
    <row r="80" spans="1:30" x14ac:dyDescent="0.2">
      <c r="A80" s="395" t="s">
        <v>316</v>
      </c>
      <c r="B80" s="396"/>
      <c r="C80" s="386" t="str">
        <f>IF('Dane personalne'!D46="","",'Dane personalne'!D45&amp;" "&amp;'Dane personalne'!D46)</f>
        <v/>
      </c>
      <c r="D80" s="386"/>
      <c r="E80" s="386"/>
      <c r="F80" s="386"/>
      <c r="G80" s="386"/>
      <c r="H80" s="386"/>
      <c r="I80" s="386"/>
      <c r="J80" s="386"/>
      <c r="K80" s="386"/>
      <c r="L80" s="228"/>
      <c r="M80" s="228"/>
      <c r="N80" s="522" t="s">
        <v>267</v>
      </c>
      <c r="O80" s="522"/>
      <c r="P80" s="522"/>
      <c r="Q80" s="522"/>
      <c r="R80" s="522"/>
      <c r="S80" s="522"/>
      <c r="T80" s="386" t="str">
        <f>IF('Dane personalne'!D44="","",'Dane personalne'!D44)</f>
        <v/>
      </c>
      <c r="U80" s="386"/>
      <c r="V80" s="386"/>
      <c r="W80" s="386"/>
      <c r="X80" s="386"/>
      <c r="Y80" s="386"/>
      <c r="Z80" s="386"/>
      <c r="AA80" s="386"/>
      <c r="AB80" s="386"/>
      <c r="AC80" s="387"/>
    </row>
    <row r="81" spans="1:30" ht="5.25" customHeight="1" thickBot="1" x14ac:dyDescent="0.25">
      <c r="A81" s="485"/>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c r="AB81" s="486"/>
      <c r="AC81" s="487"/>
    </row>
    <row r="82" spans="1:30" x14ac:dyDescent="0.2">
      <c r="A82" s="512" t="s">
        <v>564</v>
      </c>
      <c r="B82" s="512"/>
      <c r="C82" s="512"/>
      <c r="D82" s="512"/>
      <c r="E82" s="512"/>
      <c r="F82" s="512"/>
      <c r="G82" s="512"/>
      <c r="H82" s="512"/>
      <c r="I82" s="512"/>
      <c r="J82" s="512"/>
      <c r="K82" s="512"/>
      <c r="L82" s="512"/>
      <c r="M82" s="512"/>
      <c r="N82" s="512"/>
      <c r="O82" s="512"/>
      <c r="P82" s="512"/>
      <c r="Q82" s="512"/>
      <c r="R82" s="512"/>
      <c r="S82" s="512"/>
      <c r="T82" s="512"/>
      <c r="U82" s="512"/>
      <c r="V82" s="512"/>
      <c r="W82" s="512"/>
      <c r="X82" s="512"/>
      <c r="Y82" s="512"/>
      <c r="Z82" s="512"/>
      <c r="AA82" s="512"/>
      <c r="AB82" s="512"/>
      <c r="AC82" s="512"/>
    </row>
    <row r="83" spans="1:30" x14ac:dyDescent="0.2">
      <c r="A83" s="513" t="s">
        <v>674</v>
      </c>
      <c r="B83" s="513"/>
      <c r="C83" s="513"/>
      <c r="D83" s="513"/>
      <c r="E83" s="513"/>
      <c r="F83" s="513"/>
      <c r="G83" s="513"/>
      <c r="H83" s="513"/>
      <c r="I83" s="513"/>
      <c r="J83" s="513"/>
      <c r="K83" s="513"/>
      <c r="L83" s="513"/>
      <c r="M83" s="513"/>
      <c r="N83" s="513"/>
      <c r="O83" s="513"/>
      <c r="P83" s="513"/>
      <c r="Q83" s="513"/>
      <c r="R83" s="513"/>
      <c r="S83" s="513"/>
      <c r="T83" s="513"/>
      <c r="U83" s="513"/>
      <c r="V83" s="513"/>
      <c r="W83" s="513"/>
      <c r="X83" s="513"/>
      <c r="Y83" s="513"/>
      <c r="Z83" s="513"/>
      <c r="AA83" s="513"/>
      <c r="AB83" s="513"/>
      <c r="AC83" s="513"/>
    </row>
    <row r="84" spans="1:30" ht="12.75" customHeight="1" x14ac:dyDescent="0.2">
      <c r="A84" s="514" t="s">
        <v>248</v>
      </c>
      <c r="B84" s="515"/>
      <c r="C84" s="515"/>
      <c r="D84" s="515"/>
      <c r="E84" s="515"/>
      <c r="F84" s="515"/>
      <c r="G84" s="515"/>
      <c r="H84" s="515"/>
      <c r="I84" s="515"/>
      <c r="J84" s="515"/>
      <c r="K84" s="515"/>
      <c r="L84" s="515"/>
      <c r="M84" s="515"/>
      <c r="N84" s="515"/>
      <c r="O84" s="515"/>
      <c r="P84" s="515"/>
      <c r="Q84" s="515"/>
      <c r="R84" s="515"/>
      <c r="S84" s="515"/>
      <c r="T84" s="515"/>
      <c r="U84" s="515"/>
      <c r="V84" s="515"/>
      <c r="W84" s="515"/>
      <c r="X84" s="515"/>
      <c r="Y84" s="515"/>
      <c r="Z84" s="515"/>
      <c r="AA84" s="515"/>
      <c r="AB84" s="515"/>
      <c r="AC84" s="515"/>
    </row>
    <row r="85" spans="1:30" x14ac:dyDescent="0.2">
      <c r="A85" s="516" t="s">
        <v>675</v>
      </c>
      <c r="B85" s="517"/>
      <c r="C85" s="517"/>
      <c r="D85" s="517"/>
      <c r="E85" s="517"/>
      <c r="F85" s="517"/>
      <c r="G85" s="517"/>
      <c r="H85" s="517"/>
      <c r="I85" s="517"/>
      <c r="J85" s="517"/>
      <c r="K85" s="517"/>
      <c r="L85" s="517"/>
      <c r="M85" s="517"/>
      <c r="N85" s="517"/>
      <c r="O85" s="517"/>
      <c r="P85" s="517"/>
      <c r="Q85" s="517"/>
      <c r="R85" s="517"/>
      <c r="S85" s="517"/>
      <c r="T85" s="517"/>
      <c r="U85" s="517"/>
      <c r="V85" s="517"/>
      <c r="W85" s="517"/>
      <c r="X85" s="517"/>
      <c r="Y85" s="517"/>
      <c r="Z85" s="517"/>
      <c r="AA85" s="517"/>
      <c r="AB85" s="517"/>
      <c r="AC85" s="517"/>
      <c r="AD85" s="17"/>
    </row>
    <row r="86" spans="1:30" x14ac:dyDescent="0.2">
      <c r="A86" s="467" t="str">
        <f>IF('Dane personalne'!B92="","",'Dane personalne'!B92)</f>
        <v/>
      </c>
      <c r="B86" s="467"/>
      <c r="C86" s="467"/>
      <c r="D86" s="467"/>
      <c r="E86" s="467"/>
      <c r="F86" s="467"/>
      <c r="G86" s="467"/>
      <c r="H86" s="467"/>
      <c r="I86" s="467"/>
      <c r="J86" s="467"/>
      <c r="K86" s="467"/>
      <c r="L86" s="467"/>
      <c r="M86" s="467"/>
      <c r="N86" s="467"/>
      <c r="O86" s="467"/>
      <c r="P86" s="467"/>
      <c r="Q86" s="467"/>
      <c r="R86" s="467"/>
      <c r="S86" s="467"/>
      <c r="T86" s="467"/>
      <c r="U86" s="467"/>
      <c r="V86" s="467"/>
      <c r="W86" s="467"/>
      <c r="X86" s="467"/>
      <c r="Y86" s="467"/>
      <c r="Z86" s="467"/>
      <c r="AA86" s="467"/>
      <c r="AB86" s="467"/>
      <c r="AC86" s="467"/>
      <c r="AD86" s="17"/>
    </row>
    <row r="87" spans="1:30" x14ac:dyDescent="0.2">
      <c r="A87" s="222"/>
      <c r="B87" s="222"/>
      <c r="C87" s="222"/>
      <c r="D87" s="222"/>
      <c r="E87" s="222"/>
      <c r="F87" s="222"/>
      <c r="G87" s="222"/>
      <c r="H87" s="222"/>
      <c r="I87" s="222"/>
      <c r="J87" s="222"/>
      <c r="K87" s="222"/>
      <c r="L87" s="222"/>
      <c r="M87" s="222"/>
      <c r="N87" s="222"/>
      <c r="O87" s="222"/>
      <c r="P87" s="222"/>
      <c r="Q87" s="222"/>
      <c r="R87" s="222"/>
      <c r="S87" s="222"/>
      <c r="T87" s="222"/>
      <c r="U87" s="222"/>
      <c r="V87" s="222"/>
      <c r="W87" s="222"/>
      <c r="X87" s="222"/>
      <c r="Y87" s="222"/>
      <c r="Z87" s="222"/>
      <c r="AA87" s="222"/>
      <c r="AB87" s="222"/>
      <c r="AC87" s="222"/>
    </row>
    <row r="88" spans="1:30" x14ac:dyDescent="0.2">
      <c r="A88" s="520" t="s">
        <v>565</v>
      </c>
      <c r="B88" s="520"/>
      <c r="C88" s="520"/>
      <c r="D88" s="520"/>
      <c r="E88" s="520"/>
      <c r="F88" s="520"/>
      <c r="G88" s="520"/>
      <c r="H88" s="520"/>
      <c r="I88" s="520"/>
      <c r="J88" s="520"/>
      <c r="K88" s="520"/>
      <c r="L88" s="520"/>
      <c r="M88" s="520"/>
      <c r="N88" s="520"/>
      <c r="O88" s="520"/>
      <c r="P88" s="520"/>
      <c r="Q88" s="520"/>
      <c r="R88" s="520"/>
      <c r="S88" s="520"/>
      <c r="T88" s="520"/>
      <c r="U88" s="520"/>
      <c r="V88" s="520"/>
      <c r="W88" s="520"/>
      <c r="X88" s="520"/>
      <c r="Y88" s="520"/>
      <c r="Z88" s="520"/>
      <c r="AA88" s="520"/>
      <c r="AB88" s="520"/>
      <c r="AC88" s="520"/>
    </row>
    <row r="89" spans="1:30" x14ac:dyDescent="0.2">
      <c r="A89" s="515"/>
      <c r="B89" s="515"/>
      <c r="C89" s="515"/>
      <c r="D89" s="515"/>
      <c r="E89" s="515"/>
      <c r="F89" s="515"/>
      <c r="G89" s="515"/>
      <c r="H89" s="515"/>
      <c r="I89" s="515"/>
      <c r="J89" s="515"/>
      <c r="K89" s="515"/>
      <c r="L89" s="515"/>
      <c r="M89" s="515"/>
      <c r="N89" s="515"/>
      <c r="O89" s="515"/>
      <c r="P89" s="515"/>
      <c r="Q89" s="515"/>
      <c r="R89" s="515"/>
      <c r="S89" s="515"/>
      <c r="T89" s="515"/>
      <c r="U89" s="515"/>
      <c r="V89" s="515"/>
      <c r="W89" s="515"/>
      <c r="X89" s="515"/>
      <c r="Y89" s="515"/>
      <c r="Z89" s="515"/>
      <c r="AA89" s="515"/>
      <c r="AB89" s="515"/>
      <c r="AC89" s="515"/>
    </row>
    <row r="90" spans="1:30" x14ac:dyDescent="0.2">
      <c r="A90" s="513" t="s">
        <v>317</v>
      </c>
      <c r="B90" s="513"/>
      <c r="C90" s="513"/>
      <c r="D90" s="513"/>
      <c r="E90" s="513"/>
      <c r="F90" s="513"/>
      <c r="G90" s="513"/>
      <c r="H90" s="513"/>
      <c r="I90" s="513"/>
      <c r="J90" s="513"/>
      <c r="K90" s="513"/>
      <c r="L90" s="513"/>
      <c r="M90" s="513"/>
      <c r="N90" s="513"/>
      <c r="O90" s="513"/>
      <c r="P90" s="513"/>
      <c r="Q90" s="513"/>
      <c r="R90" s="513"/>
      <c r="S90" s="513"/>
      <c r="T90" s="513"/>
      <c r="U90" s="513"/>
      <c r="V90" s="513"/>
      <c r="W90" s="513"/>
      <c r="X90" s="513"/>
      <c r="Y90" s="513"/>
      <c r="Z90" s="513"/>
      <c r="AA90" s="513"/>
      <c r="AB90" s="513"/>
      <c r="AC90" s="513"/>
    </row>
    <row r="91" spans="1:30" x14ac:dyDescent="0.2">
      <c r="A91" s="513" t="s">
        <v>2406</v>
      </c>
      <c r="B91" s="513"/>
      <c r="C91" s="513"/>
      <c r="D91" s="513"/>
      <c r="E91" s="513"/>
      <c r="F91" s="513"/>
      <c r="G91" s="513"/>
      <c r="H91" s="513"/>
      <c r="I91" s="513"/>
      <c r="J91" s="513"/>
      <c r="K91" s="513"/>
      <c r="L91" s="513"/>
      <c r="M91" s="513"/>
      <c r="N91" s="521"/>
      <c r="O91" s="521"/>
      <c r="P91" s="521"/>
      <c r="Q91" s="521"/>
      <c r="R91" s="521"/>
      <c r="S91" s="521"/>
      <c r="T91" s="521"/>
      <c r="U91" s="521"/>
      <c r="V91" s="226"/>
      <c r="W91" s="226"/>
      <c r="X91" s="226"/>
      <c r="Y91" s="226"/>
      <c r="Z91" s="226"/>
      <c r="AA91" s="226"/>
      <c r="AB91" s="226"/>
      <c r="AC91" s="226"/>
    </row>
    <row r="92" spans="1:30" x14ac:dyDescent="0.2">
      <c r="A92" s="221"/>
      <c r="B92" s="221"/>
      <c r="C92" s="221"/>
      <c r="D92" s="221"/>
      <c r="E92" s="221"/>
      <c r="F92" s="221"/>
      <c r="G92" s="221"/>
      <c r="H92" s="221"/>
      <c r="I92" s="221"/>
      <c r="J92" s="221"/>
      <c r="K92" s="221"/>
      <c r="L92" s="221"/>
      <c r="M92" s="221"/>
      <c r="N92" s="221"/>
      <c r="O92" s="221"/>
      <c r="P92" s="221"/>
      <c r="Q92" s="221"/>
      <c r="R92" s="221"/>
      <c r="S92" s="221"/>
      <c r="T92" s="221"/>
      <c r="U92" s="221"/>
      <c r="V92" s="221"/>
      <c r="W92" s="221"/>
      <c r="X92" s="221"/>
      <c r="Y92" s="221"/>
      <c r="Z92" s="221"/>
      <c r="AA92" s="221"/>
      <c r="AB92" s="221"/>
      <c r="AC92" s="221"/>
    </row>
    <row r="93" spans="1:30" x14ac:dyDescent="0.2">
      <c r="A93" s="465" t="str">
        <f>'Dane personalne'!$D$94&amp;""</f>
        <v/>
      </c>
      <c r="B93" s="465"/>
      <c r="C93" s="466" t="str">
        <f>'Dane personalne'!$F$94</f>
        <v/>
      </c>
      <c r="D93" s="466"/>
      <c r="E93" s="466"/>
      <c r="F93" s="466"/>
      <c r="G93" s="466"/>
      <c r="H93" s="466"/>
      <c r="I93" s="466"/>
      <c r="J93" s="466"/>
      <c r="K93" s="466"/>
      <c r="L93" s="470"/>
      <c r="M93" s="470"/>
      <c r="N93" s="470"/>
      <c r="O93" s="470"/>
      <c r="P93" s="470"/>
      <c r="Q93" s="470"/>
      <c r="R93" s="470"/>
      <c r="S93" s="470"/>
      <c r="T93" s="470"/>
      <c r="U93" s="469"/>
      <c r="V93" s="469"/>
      <c r="W93" s="469"/>
      <c r="X93" s="469"/>
      <c r="Y93" s="469"/>
      <c r="Z93" s="469"/>
      <c r="AA93" s="469"/>
      <c r="AB93" s="469"/>
      <c r="AC93" s="469"/>
    </row>
    <row r="94" spans="1:30" x14ac:dyDescent="0.2">
      <c r="A94" s="518" t="s">
        <v>318</v>
      </c>
      <c r="B94" s="518"/>
      <c r="C94" s="518"/>
      <c r="D94" s="518"/>
      <c r="E94" s="518"/>
      <c r="F94" s="518"/>
      <c r="G94" s="518"/>
      <c r="H94" s="518"/>
      <c r="I94" s="518"/>
      <c r="J94" s="518"/>
      <c r="K94" s="518"/>
      <c r="L94" s="515"/>
      <c r="M94" s="515"/>
      <c r="N94" s="515"/>
      <c r="O94" s="515"/>
      <c r="P94" s="515"/>
      <c r="Q94" s="515"/>
      <c r="R94" s="515"/>
      <c r="S94" s="515"/>
      <c r="T94" s="515"/>
      <c r="U94" s="519" t="s">
        <v>319</v>
      </c>
      <c r="V94" s="519"/>
      <c r="W94" s="519"/>
      <c r="X94" s="519"/>
      <c r="Y94" s="519"/>
      <c r="Z94" s="519"/>
      <c r="AA94" s="519"/>
      <c r="AB94" s="519"/>
      <c r="AC94" s="519"/>
    </row>
  </sheetData>
  <mergeCells count="166">
    <mergeCell ref="A16:M16"/>
    <mergeCell ref="N16:AC16"/>
    <mergeCell ref="A13:F13"/>
    <mergeCell ref="I13:O13"/>
    <mergeCell ref="P13:Q13"/>
    <mergeCell ref="R13:AC13"/>
    <mergeCell ref="A14:H14"/>
    <mergeCell ref="I14:AC14"/>
    <mergeCell ref="Z20:AA21"/>
    <mergeCell ref="AB20:AC20"/>
    <mergeCell ref="AB21:AC21"/>
    <mergeCell ref="A17:M17"/>
    <mergeCell ref="N17:AC17"/>
    <mergeCell ref="B18:L18"/>
    <mergeCell ref="O18:AA18"/>
    <mergeCell ref="AB18:AC18"/>
    <mergeCell ref="A19:M19"/>
    <mergeCell ref="N19:AC19"/>
    <mergeCell ref="L21:Y21"/>
    <mergeCell ref="C21:J21"/>
    <mergeCell ref="C20:J20"/>
    <mergeCell ref="L20:Y20"/>
    <mergeCell ref="A9:AC9"/>
    <mergeCell ref="A11:I11"/>
    <mergeCell ref="N11:V11"/>
    <mergeCell ref="W11:AC11"/>
    <mergeCell ref="A12:H12"/>
    <mergeCell ref="I12:AC12"/>
    <mergeCell ref="A15:F15"/>
    <mergeCell ref="G15:O15"/>
    <mergeCell ref="P15:U15"/>
    <mergeCell ref="V15:Z15"/>
    <mergeCell ref="AA15:AB15"/>
    <mergeCell ref="A25:AC25"/>
    <mergeCell ref="A26:AC26"/>
    <mergeCell ref="A27:E27"/>
    <mergeCell ref="H27:K27"/>
    <mergeCell ref="M27:N27"/>
    <mergeCell ref="O27:U27"/>
    <mergeCell ref="A22:AC22"/>
    <mergeCell ref="A23:N23"/>
    <mergeCell ref="P23:U23"/>
    <mergeCell ref="V23:W23"/>
    <mergeCell ref="AB23:AC23"/>
    <mergeCell ref="A24:N24"/>
    <mergeCell ref="P24:W24"/>
    <mergeCell ref="AB24:AC24"/>
    <mergeCell ref="A28:AC28"/>
    <mergeCell ref="A29:L29"/>
    <mergeCell ref="M29:AC29"/>
    <mergeCell ref="A30:AC30"/>
    <mergeCell ref="A31:B32"/>
    <mergeCell ref="C31:H32"/>
    <mergeCell ref="I31:N32"/>
    <mergeCell ref="O31:X32"/>
    <mergeCell ref="Y31:AC32"/>
    <mergeCell ref="A37:H37"/>
    <mergeCell ref="I37:X37"/>
    <mergeCell ref="Y37:AC37"/>
    <mergeCell ref="A38:AC38"/>
    <mergeCell ref="A39:AC39"/>
    <mergeCell ref="A40:AC40"/>
    <mergeCell ref="A33:H33"/>
    <mergeCell ref="I33:X33"/>
    <mergeCell ref="Y33:AC33"/>
    <mergeCell ref="A34:H34"/>
    <mergeCell ref="I34:X34"/>
    <mergeCell ref="Y34:AC34"/>
    <mergeCell ref="A45:U45"/>
    <mergeCell ref="V45:AC45"/>
    <mergeCell ref="A46:U46"/>
    <mergeCell ref="V46:AC46"/>
    <mergeCell ref="A47:AC47"/>
    <mergeCell ref="A48:AC48"/>
    <mergeCell ref="A41:AC41"/>
    <mergeCell ref="A42:AC42"/>
    <mergeCell ref="A43:B43"/>
    <mergeCell ref="C43:U43"/>
    <mergeCell ref="V43:AB43"/>
    <mergeCell ref="A44:U44"/>
    <mergeCell ref="V44:AC44"/>
    <mergeCell ref="A49:AC49"/>
    <mergeCell ref="A50:G50"/>
    <mergeCell ref="H50:R51"/>
    <mergeCell ref="S50:AA51"/>
    <mergeCell ref="AB50:AC51"/>
    <mergeCell ref="H52:R52"/>
    <mergeCell ref="S52:AA52"/>
    <mergeCell ref="AB52:AC52"/>
    <mergeCell ref="A52:B52"/>
    <mergeCell ref="C52:G52"/>
    <mergeCell ref="A51:B51"/>
    <mergeCell ref="C51:G51"/>
    <mergeCell ref="H56:R56"/>
    <mergeCell ref="S56:AA56"/>
    <mergeCell ref="AB56:AC56"/>
    <mergeCell ref="A53:B53"/>
    <mergeCell ref="C53:G53"/>
    <mergeCell ref="A54:B54"/>
    <mergeCell ref="C54:G54"/>
    <mergeCell ref="A55:B55"/>
    <mergeCell ref="C55:G55"/>
    <mergeCell ref="A56:B56"/>
    <mergeCell ref="H53:R53"/>
    <mergeCell ref="S53:AA53"/>
    <mergeCell ref="AB53:AC53"/>
    <mergeCell ref="H54:R54"/>
    <mergeCell ref="S54:AA54"/>
    <mergeCell ref="AB54:AC54"/>
    <mergeCell ref="H55:R55"/>
    <mergeCell ref="S55:AA55"/>
    <mergeCell ref="AB55:AC55"/>
    <mergeCell ref="C56:G56"/>
    <mergeCell ref="A60:AC60"/>
    <mergeCell ref="A61:AC61"/>
    <mergeCell ref="A62:AC62"/>
    <mergeCell ref="A63:AC63"/>
    <mergeCell ref="A64:AC64"/>
    <mergeCell ref="AB65:AC65"/>
    <mergeCell ref="A57:AC57"/>
    <mergeCell ref="A58:AC58"/>
    <mergeCell ref="A59:AC59"/>
    <mergeCell ref="C65:J65"/>
    <mergeCell ref="L65:Y65"/>
    <mergeCell ref="A69:N69"/>
    <mergeCell ref="P69:W69"/>
    <mergeCell ref="AB69:AC69"/>
    <mergeCell ref="A70:AC70"/>
    <mergeCell ref="A71:AC71"/>
    <mergeCell ref="A72:AC72"/>
    <mergeCell ref="A67:AC67"/>
    <mergeCell ref="A68:N68"/>
    <mergeCell ref="P68:U68"/>
    <mergeCell ref="V68:W68"/>
    <mergeCell ref="AB68:AC68"/>
    <mergeCell ref="A78:AC78"/>
    <mergeCell ref="N80:S80"/>
    <mergeCell ref="T80:AC80"/>
    <mergeCell ref="A73:M73"/>
    <mergeCell ref="O73:AC73"/>
    <mergeCell ref="A74:AC74"/>
    <mergeCell ref="A75:AC75"/>
    <mergeCell ref="A76:AC76"/>
    <mergeCell ref="A77:M77"/>
    <mergeCell ref="O77:AC77"/>
    <mergeCell ref="A80:B80"/>
    <mergeCell ref="C80:K80"/>
    <mergeCell ref="A79:Y79"/>
    <mergeCell ref="Z79:AC79"/>
    <mergeCell ref="A81:AC81"/>
    <mergeCell ref="A82:AC82"/>
    <mergeCell ref="A83:AC83"/>
    <mergeCell ref="A84:AC84"/>
    <mergeCell ref="A85:AC85"/>
    <mergeCell ref="A86:AC86"/>
    <mergeCell ref="A93:B93"/>
    <mergeCell ref="C93:K93"/>
    <mergeCell ref="A94:K94"/>
    <mergeCell ref="L94:T94"/>
    <mergeCell ref="U94:AC94"/>
    <mergeCell ref="A88:AC88"/>
    <mergeCell ref="A89:AC89"/>
    <mergeCell ref="A90:AC90"/>
    <mergeCell ref="A91:U91"/>
    <mergeCell ref="L93:T93"/>
    <mergeCell ref="U93:AC93"/>
  </mergeCells>
  <pageMargins left="0.23622047244094491" right="0.23622047244094491" top="0.47244094488188981" bottom="0.35433070866141736" header="0.35433070866141736" footer="0.23622047244094491"/>
  <pageSetup scale="59" orientation="portrait" r:id="rId1"/>
  <headerFooter alignWithMargins="0"/>
  <rowBreaks count="1" manualBreakCount="1">
    <brk id="64"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5:AH44"/>
  <sheetViews>
    <sheetView showGridLines="0" zoomScaleNormal="100" zoomScaleSheetLayoutView="80" workbookViewId="0"/>
  </sheetViews>
  <sheetFormatPr defaultColWidth="9.140625" defaultRowHeight="12.75" x14ac:dyDescent="0.2"/>
  <cols>
    <col min="1" max="1" width="2.85546875" style="2" customWidth="1"/>
    <col min="2" max="33" width="2.7109375" style="2" customWidth="1"/>
    <col min="34" max="16384" width="9.140625" style="2"/>
  </cols>
  <sheetData>
    <row r="5" spans="1:33" ht="13.5" thickBot="1" x14ac:dyDescent="0.25"/>
    <row r="6" spans="1:33" x14ac:dyDescent="0.2">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row>
    <row r="8" spans="1:33" ht="15.75" customHeight="1" x14ac:dyDescent="0.2">
      <c r="A8" s="564" t="s">
        <v>105</v>
      </c>
      <c r="B8" s="564"/>
      <c r="C8" s="564"/>
      <c r="D8" s="564"/>
      <c r="E8" s="564"/>
      <c r="F8" s="564"/>
      <c r="G8" s="564"/>
      <c r="H8" s="564"/>
      <c r="I8" s="564"/>
      <c r="J8" s="564"/>
      <c r="K8" s="564"/>
      <c r="L8" s="564"/>
      <c r="M8" s="564"/>
      <c r="N8" s="564"/>
      <c r="O8" s="564"/>
      <c r="P8" s="564"/>
      <c r="Q8" s="564"/>
      <c r="R8" s="564"/>
      <c r="S8" s="564"/>
      <c r="T8" s="564"/>
      <c r="U8" s="564"/>
      <c r="V8" s="564"/>
      <c r="W8" s="564"/>
      <c r="X8" s="564"/>
      <c r="Y8" s="564"/>
      <c r="Z8" s="564"/>
      <c r="AA8" s="564"/>
      <c r="AB8" s="564"/>
      <c r="AC8" s="564"/>
      <c r="AD8" s="564"/>
      <c r="AE8" s="564"/>
      <c r="AF8" s="564"/>
      <c r="AG8" s="564"/>
    </row>
    <row r="9" spans="1:33" ht="15.75" customHeight="1" x14ac:dyDescent="0.2">
      <c r="A9" s="564"/>
      <c r="B9" s="564"/>
      <c r="C9" s="564"/>
      <c r="D9" s="564"/>
      <c r="E9" s="564"/>
      <c r="F9" s="564"/>
      <c r="G9" s="564"/>
      <c r="H9" s="564"/>
      <c r="I9" s="564"/>
      <c r="J9" s="564"/>
      <c r="K9" s="564"/>
      <c r="L9" s="564"/>
      <c r="M9" s="564"/>
      <c r="N9" s="564"/>
      <c r="O9" s="564"/>
      <c r="P9" s="564"/>
      <c r="Q9" s="564"/>
      <c r="R9" s="564"/>
      <c r="S9" s="564"/>
      <c r="T9" s="564"/>
      <c r="U9" s="564"/>
      <c r="V9" s="564"/>
      <c r="W9" s="564"/>
      <c r="X9" s="564"/>
      <c r="Y9" s="564"/>
      <c r="Z9" s="564"/>
      <c r="AA9" s="564"/>
      <c r="AB9" s="564"/>
      <c r="AC9" s="564"/>
      <c r="AD9" s="564"/>
      <c r="AE9" s="564"/>
      <c r="AF9" s="564"/>
      <c r="AG9" s="564"/>
    </row>
    <row r="10" spans="1:33" ht="25.5" customHeight="1" x14ac:dyDescent="0.2">
      <c r="A10" s="564"/>
      <c r="B10" s="564"/>
      <c r="C10" s="564"/>
      <c r="D10" s="564"/>
      <c r="E10" s="564"/>
      <c r="F10" s="564"/>
      <c r="G10" s="564"/>
      <c r="H10" s="564"/>
      <c r="I10" s="564"/>
      <c r="J10" s="564"/>
      <c r="K10" s="564"/>
      <c r="L10" s="564"/>
      <c r="M10" s="564"/>
      <c r="N10" s="564"/>
      <c r="O10" s="564"/>
      <c r="P10" s="564"/>
      <c r="Q10" s="564"/>
      <c r="R10" s="564"/>
      <c r="S10" s="564"/>
      <c r="T10" s="564"/>
      <c r="U10" s="564"/>
      <c r="V10" s="564"/>
      <c r="W10" s="564"/>
      <c r="X10" s="564"/>
      <c r="Y10" s="564"/>
      <c r="Z10" s="564"/>
      <c r="AA10" s="564"/>
      <c r="AB10" s="564"/>
      <c r="AC10" s="564"/>
      <c r="AD10" s="564"/>
      <c r="AE10" s="564"/>
      <c r="AF10" s="564"/>
      <c r="AG10" s="564"/>
    </row>
    <row r="13" spans="1:33" x14ac:dyDescent="0.2">
      <c r="A13" s="569" t="s">
        <v>76</v>
      </c>
      <c r="B13" s="569"/>
      <c r="C13" s="569"/>
      <c r="D13" s="569"/>
      <c r="E13" s="569"/>
      <c r="F13" s="569"/>
      <c r="G13" s="569"/>
      <c r="H13" s="569"/>
      <c r="I13" s="569"/>
      <c r="J13" s="465" t="str">
        <f>IF('Dane personalne'!D11="","",'Dane personalne'!D11)</f>
        <v/>
      </c>
      <c r="K13" s="465"/>
      <c r="L13" s="465"/>
      <c r="M13" s="465"/>
      <c r="N13" s="465"/>
      <c r="O13" s="465"/>
      <c r="P13" s="465"/>
      <c r="Q13" s="465"/>
      <c r="R13" s="465" t="str">
        <f>IF('Dane personalne'!D12="","",'Dane personalne'!D12)</f>
        <v/>
      </c>
      <c r="S13" s="465"/>
      <c r="T13" s="465"/>
      <c r="U13" s="465"/>
      <c r="V13" s="465"/>
      <c r="W13" s="465"/>
      <c r="X13" s="465"/>
      <c r="Y13" s="465"/>
      <c r="Z13" s="465"/>
      <c r="AA13" s="465"/>
      <c r="AB13" s="465"/>
      <c r="AC13" s="465"/>
      <c r="AD13" s="465"/>
      <c r="AE13" s="465"/>
      <c r="AF13" s="465"/>
      <c r="AG13" s="465"/>
    </row>
    <row r="14" spans="1:33" x14ac:dyDescent="0.2">
      <c r="A14" s="4"/>
      <c r="B14" s="4"/>
      <c r="C14" s="4"/>
      <c r="D14" s="4"/>
      <c r="E14" s="4"/>
      <c r="F14" s="4"/>
      <c r="G14" s="4"/>
      <c r="H14" s="18"/>
      <c r="I14" s="18"/>
      <c r="J14" s="18"/>
      <c r="K14" s="18"/>
      <c r="L14" s="18"/>
      <c r="M14" s="18"/>
      <c r="N14" s="18"/>
      <c r="O14" s="18"/>
      <c r="P14" s="18"/>
    </row>
    <row r="16" spans="1:33" x14ac:dyDescent="0.2">
      <c r="A16" s="568" t="s">
        <v>2380</v>
      </c>
      <c r="B16" s="568"/>
      <c r="C16" s="568"/>
      <c r="D16" s="568"/>
      <c r="E16" s="568"/>
      <c r="F16" s="568"/>
      <c r="G16" s="568"/>
      <c r="H16" s="568"/>
    </row>
    <row r="18" spans="1:34" ht="18.75" customHeight="1" x14ac:dyDescent="0.2">
      <c r="A18" s="569" t="s">
        <v>30</v>
      </c>
      <c r="B18" s="569"/>
      <c r="C18" s="569"/>
      <c r="D18" s="569"/>
      <c r="E18" s="569"/>
      <c r="F18" s="565" t="str">
        <f>'1.Kwestionariusz'!L65</f>
        <v/>
      </c>
      <c r="G18" s="565"/>
      <c r="H18" s="565"/>
      <c r="I18" s="565"/>
      <c r="J18" s="565"/>
      <c r="K18" s="565"/>
      <c r="L18" s="565"/>
      <c r="M18" s="565"/>
      <c r="N18" s="565"/>
      <c r="O18" s="565"/>
      <c r="P18" s="565"/>
      <c r="Q18" s="565"/>
      <c r="R18" s="565"/>
      <c r="S18" s="458" t="s">
        <v>2381</v>
      </c>
      <c r="T18" s="458"/>
      <c r="U18" s="458"/>
      <c r="V18" s="458"/>
      <c r="W18" s="567"/>
      <c r="X18" s="20" t="str">
        <f>MID('1.Kwestionariusz'!AB65,1,1)</f>
        <v/>
      </c>
      <c r="Y18" s="20" t="str">
        <f>MID('1.Kwestionariusz'!AB65,2,1)</f>
        <v/>
      </c>
      <c r="Z18" s="21" t="s">
        <v>13</v>
      </c>
      <c r="AA18" s="20" t="str">
        <f>MID('1.Kwestionariusz'!AB65,4,1)</f>
        <v/>
      </c>
      <c r="AB18" s="20" t="str">
        <f>MID('1.Kwestionariusz'!AB65,5,1)</f>
        <v/>
      </c>
      <c r="AC18" s="20" t="str">
        <f>MID('1.Kwestionariusz'!AB65,6,1)</f>
        <v/>
      </c>
    </row>
    <row r="19" spans="1:34" x14ac:dyDescent="0.2">
      <c r="A19" s="458"/>
      <c r="B19" s="458"/>
      <c r="C19" s="458"/>
      <c r="D19" s="458"/>
      <c r="E19" s="458"/>
      <c r="F19" s="458"/>
      <c r="G19" s="458"/>
      <c r="H19" s="458"/>
      <c r="I19" s="458"/>
      <c r="J19" s="458"/>
      <c r="K19" s="458"/>
      <c r="L19" s="458"/>
      <c r="M19" s="458"/>
      <c r="N19" s="458"/>
      <c r="O19" s="458"/>
      <c r="P19" s="458"/>
      <c r="Q19" s="458"/>
      <c r="R19" s="458"/>
      <c r="S19" s="458"/>
      <c r="T19" s="458"/>
      <c r="U19" s="458"/>
      <c r="V19" s="458"/>
      <c r="W19" s="458"/>
      <c r="X19" s="458"/>
      <c r="Y19" s="458"/>
      <c r="Z19" s="458"/>
      <c r="AA19" s="458"/>
      <c r="AB19" s="458"/>
      <c r="AC19" s="458"/>
      <c r="AD19" s="458"/>
      <c r="AE19" s="458"/>
      <c r="AF19" s="458"/>
      <c r="AG19" s="458"/>
    </row>
    <row r="20" spans="1:34" ht="20.25" customHeight="1" x14ac:dyDescent="0.2">
      <c r="A20" s="2" t="s">
        <v>705</v>
      </c>
      <c r="C20" s="565" t="str">
        <f>'1.Kwestionariusz'!A68</f>
        <v/>
      </c>
      <c r="D20" s="565"/>
      <c r="E20" s="565"/>
      <c r="F20" s="565"/>
      <c r="G20" s="565"/>
      <c r="H20" s="565"/>
      <c r="I20" s="565"/>
      <c r="J20" s="565"/>
      <c r="K20" s="565"/>
      <c r="L20" s="565"/>
      <c r="M20" s="458" t="s">
        <v>2382</v>
      </c>
      <c r="N20" s="458"/>
      <c r="O20" s="458"/>
      <c r="P20" s="458"/>
      <c r="Q20" s="565" t="str">
        <f>'1.Kwestionariusz'!P68&amp;"  "&amp;'1.Kwestionariusz'!U68</f>
        <v xml:space="preserve">  </v>
      </c>
      <c r="R20" s="565"/>
      <c r="S20" s="565"/>
      <c r="T20" s="565"/>
      <c r="U20" s="458"/>
      <c r="V20" s="458"/>
      <c r="W20" s="458"/>
      <c r="X20" s="458"/>
      <c r="Y20" s="458"/>
      <c r="Z20" s="566"/>
      <c r="AA20" s="566"/>
      <c r="AB20" s="566"/>
      <c r="AC20" s="566"/>
      <c r="AD20" s="566"/>
      <c r="AE20" s="566"/>
    </row>
    <row r="24" spans="1:34" x14ac:dyDescent="0.2">
      <c r="A24" s="569" t="s">
        <v>10</v>
      </c>
      <c r="B24" s="569"/>
      <c r="C24" s="569"/>
      <c r="D24" s="569"/>
      <c r="E24" s="569"/>
      <c r="F24" s="569"/>
      <c r="G24" s="569"/>
      <c r="H24" s="569"/>
      <c r="I24" s="569"/>
      <c r="J24" s="569"/>
      <c r="K24" s="465"/>
      <c r="L24" s="465"/>
      <c r="M24" s="465"/>
      <c r="N24" s="465"/>
      <c r="O24" s="465"/>
      <c r="P24" s="465"/>
      <c r="Q24" s="465"/>
      <c r="R24" s="465"/>
      <c r="S24" s="465"/>
      <c r="T24" s="465"/>
      <c r="U24" s="465"/>
      <c r="V24" s="465"/>
      <c r="W24" s="465"/>
      <c r="X24" s="465"/>
      <c r="Y24" s="465"/>
      <c r="Z24" s="465"/>
      <c r="AA24" s="465"/>
      <c r="AB24" s="465"/>
      <c r="AC24" s="465"/>
      <c r="AD24" s="465"/>
      <c r="AE24" s="465"/>
      <c r="AF24" s="465"/>
      <c r="AG24" s="465"/>
    </row>
    <row r="25" spans="1:34" x14ac:dyDescent="0.2">
      <c r="D25" s="22"/>
      <c r="I25" s="562" t="s">
        <v>14</v>
      </c>
      <c r="J25" s="562"/>
      <c r="K25" s="562"/>
      <c r="L25" s="562"/>
      <c r="M25" s="562"/>
      <c r="N25" s="562"/>
      <c r="O25" s="562"/>
      <c r="P25" s="562"/>
      <c r="Q25" s="562"/>
      <c r="R25" s="562"/>
      <c r="S25" s="562"/>
      <c r="T25" s="562"/>
      <c r="U25" s="562"/>
      <c r="V25" s="562"/>
      <c r="W25" s="562"/>
      <c r="X25" s="562"/>
      <c r="Y25" s="562"/>
      <c r="Z25" s="562"/>
      <c r="AA25" s="562"/>
      <c r="AB25" s="562"/>
      <c r="AC25" s="562"/>
      <c r="AD25" s="562"/>
      <c r="AE25" s="562"/>
      <c r="AF25" s="562"/>
      <c r="AG25" s="562"/>
    </row>
    <row r="27" spans="1:34" x14ac:dyDescent="0.2">
      <c r="A27" s="2" t="s">
        <v>11</v>
      </c>
    </row>
    <row r="29" spans="1:34" ht="16.5" customHeight="1" x14ac:dyDescent="0.2">
      <c r="A29" s="565" t="str">
        <f>IF('Dane personalne'!D53="","",'Dane personalne'!D53)</f>
        <v/>
      </c>
      <c r="B29" s="565"/>
      <c r="C29" s="565"/>
      <c r="D29" s="565"/>
      <c r="E29" s="565"/>
      <c r="F29" s="565"/>
      <c r="G29" s="565"/>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65"/>
      <c r="AG29" s="565"/>
    </row>
    <row r="30" spans="1:34" x14ac:dyDescent="0.2">
      <c r="A30" s="562" t="s">
        <v>12</v>
      </c>
      <c r="B30" s="562"/>
      <c r="C30" s="562"/>
      <c r="D30" s="562"/>
      <c r="E30" s="562"/>
      <c r="F30" s="562"/>
      <c r="G30" s="562"/>
      <c r="H30" s="562"/>
      <c r="I30" s="562"/>
      <c r="J30" s="562"/>
      <c r="K30" s="562"/>
      <c r="L30" s="562"/>
      <c r="M30" s="562"/>
      <c r="N30" s="562"/>
      <c r="O30" s="562"/>
      <c r="P30" s="562"/>
      <c r="Q30" s="562"/>
      <c r="R30" s="562"/>
      <c r="S30" s="562"/>
      <c r="T30" s="562"/>
      <c r="U30" s="562"/>
      <c r="V30" s="562"/>
      <c r="W30" s="562"/>
      <c r="X30" s="562"/>
      <c r="Y30" s="562"/>
      <c r="Z30" s="562"/>
      <c r="AA30" s="562"/>
      <c r="AB30" s="562"/>
      <c r="AC30" s="562"/>
      <c r="AD30" s="562"/>
      <c r="AE30" s="562"/>
      <c r="AF30" s="562"/>
      <c r="AG30" s="562"/>
    </row>
    <row r="32" spans="1:34" x14ac:dyDescent="0.2">
      <c r="B32" s="229" t="str">
        <f>IF('Dane personalne'!D54="","",'Dane personalne'!D54)</f>
        <v/>
      </c>
      <c r="C32" s="71"/>
      <c r="D32" s="71"/>
      <c r="E32" s="73"/>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64"/>
      <c r="AF32" s="64"/>
      <c r="AG32" s="64"/>
      <c r="AH32" s="18"/>
    </row>
    <row r="33" spans="1:33" x14ac:dyDescent="0.2">
      <c r="A33" s="562" t="s">
        <v>15</v>
      </c>
      <c r="B33" s="562"/>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row>
    <row r="34" spans="1:33" x14ac:dyDescent="0.2">
      <c r="H34" s="72"/>
    </row>
    <row r="35" spans="1:33" ht="15" x14ac:dyDescent="0.2">
      <c r="A35" s="23" t="s">
        <v>16</v>
      </c>
    </row>
    <row r="36" spans="1:33" ht="15" x14ac:dyDescent="0.2">
      <c r="A36" s="23"/>
    </row>
    <row r="37" spans="1:33" ht="15.75" customHeight="1" x14ac:dyDescent="0.2">
      <c r="A37" s="563" t="s">
        <v>183</v>
      </c>
      <c r="B37" s="563"/>
      <c r="C37" s="563"/>
      <c r="D37" s="563"/>
      <c r="E37" s="563"/>
      <c r="F37" s="563"/>
      <c r="G37" s="563"/>
      <c r="H37" s="563"/>
      <c r="I37" s="563"/>
      <c r="J37" s="563"/>
      <c r="K37" s="563"/>
      <c r="L37" s="563"/>
      <c r="M37" s="563"/>
      <c r="N37" s="563"/>
      <c r="O37" s="563"/>
      <c r="P37" s="563"/>
      <c r="Q37" s="563"/>
      <c r="R37" s="563"/>
      <c r="S37" s="563"/>
      <c r="T37" s="563"/>
      <c r="U37" s="563"/>
      <c r="V37" s="563"/>
      <c r="W37" s="563"/>
      <c r="X37" s="563"/>
      <c r="Y37" s="563"/>
      <c r="Z37" s="563"/>
      <c r="AA37" s="563"/>
      <c r="AB37" s="563"/>
      <c r="AC37" s="563"/>
      <c r="AD37" s="563"/>
      <c r="AE37" s="563"/>
      <c r="AF37" s="563"/>
      <c r="AG37" s="563"/>
    </row>
    <row r="38" spans="1:33" ht="15.75" customHeight="1" x14ac:dyDescent="0.2">
      <c r="A38" s="563"/>
      <c r="B38" s="563"/>
      <c r="C38" s="563"/>
      <c r="D38" s="563"/>
      <c r="E38" s="563"/>
      <c r="F38" s="563"/>
      <c r="G38" s="563"/>
      <c r="H38" s="563"/>
      <c r="I38" s="563"/>
      <c r="J38" s="563"/>
      <c r="K38" s="563"/>
      <c r="L38" s="563"/>
      <c r="M38" s="563"/>
      <c r="N38" s="563"/>
      <c r="O38" s="563"/>
      <c r="P38" s="563"/>
      <c r="Q38" s="563"/>
      <c r="R38" s="563"/>
      <c r="S38" s="563"/>
      <c r="T38" s="563"/>
      <c r="U38" s="563"/>
      <c r="V38" s="563"/>
      <c r="W38" s="563"/>
      <c r="X38" s="563"/>
      <c r="Y38" s="563"/>
      <c r="Z38" s="563"/>
      <c r="AA38" s="563"/>
      <c r="AB38" s="563"/>
      <c r="AC38" s="563"/>
      <c r="AD38" s="563"/>
      <c r="AE38" s="563"/>
      <c r="AF38" s="563"/>
      <c r="AG38" s="563"/>
    </row>
    <row r="39" spans="1:33" x14ac:dyDescent="0.2">
      <c r="A39" s="563"/>
      <c r="B39" s="563"/>
      <c r="C39" s="563"/>
      <c r="D39" s="563"/>
      <c r="E39" s="563"/>
      <c r="F39" s="563"/>
      <c r="G39" s="563"/>
      <c r="H39" s="563"/>
      <c r="I39" s="563"/>
      <c r="J39" s="563"/>
      <c r="K39" s="563"/>
      <c r="L39" s="563"/>
      <c r="M39" s="563"/>
      <c r="N39" s="563"/>
      <c r="O39" s="563"/>
      <c r="P39" s="563"/>
      <c r="Q39" s="563"/>
      <c r="R39" s="563"/>
      <c r="S39" s="563"/>
      <c r="T39" s="563"/>
      <c r="U39" s="563"/>
      <c r="V39" s="563"/>
      <c r="W39" s="563"/>
      <c r="X39" s="563"/>
      <c r="Y39" s="563"/>
      <c r="Z39" s="563"/>
      <c r="AA39" s="563"/>
      <c r="AB39" s="563"/>
      <c r="AC39" s="563"/>
      <c r="AD39" s="563"/>
      <c r="AE39" s="563"/>
      <c r="AF39" s="563"/>
      <c r="AG39" s="563"/>
    </row>
    <row r="43" spans="1:33" x14ac:dyDescent="0.2">
      <c r="A43" s="466" t="str">
        <f>'Dane personalne'!$D$94&amp;""</f>
        <v/>
      </c>
      <c r="B43" s="466"/>
      <c r="C43" s="466"/>
      <c r="D43" s="466"/>
      <c r="E43" s="466"/>
      <c r="F43" s="466"/>
      <c r="G43" s="466" t="str">
        <f>'Dane personalne'!$F$94</f>
        <v/>
      </c>
      <c r="H43" s="466"/>
      <c r="I43" s="466"/>
      <c r="J43" s="466"/>
      <c r="K43" s="466"/>
      <c r="Q43" s="469"/>
      <c r="R43" s="469"/>
      <c r="S43" s="469"/>
      <c r="T43" s="469"/>
      <c r="U43" s="469"/>
      <c r="V43" s="469"/>
      <c r="W43" s="469"/>
      <c r="X43" s="469"/>
      <c r="Y43" s="469"/>
      <c r="Z43" s="469"/>
      <c r="AA43" s="469"/>
      <c r="AB43" s="469"/>
      <c r="AC43" s="469"/>
      <c r="AD43" s="469"/>
      <c r="AE43" s="469"/>
      <c r="AF43" s="469"/>
    </row>
    <row r="44" spans="1:33" x14ac:dyDescent="0.2">
      <c r="A44" s="455" t="s">
        <v>6</v>
      </c>
      <c r="B44" s="455"/>
      <c r="C44" s="455"/>
      <c r="D44" s="455"/>
      <c r="E44" s="455"/>
      <c r="F44" s="455"/>
      <c r="G44" s="455"/>
      <c r="H44" s="455"/>
      <c r="I44" s="455"/>
      <c r="Q44" s="455" t="s">
        <v>7</v>
      </c>
      <c r="R44" s="455"/>
      <c r="S44" s="455"/>
      <c r="T44" s="455"/>
      <c r="U44" s="455"/>
      <c r="V44" s="455"/>
      <c r="W44" s="455"/>
      <c r="X44" s="455"/>
      <c r="Y44" s="455"/>
      <c r="Z44" s="455"/>
      <c r="AA44" s="455"/>
      <c r="AB44" s="455"/>
      <c r="AC44" s="455"/>
      <c r="AD44" s="455"/>
      <c r="AE44" s="455"/>
      <c r="AF44" s="455"/>
    </row>
  </sheetData>
  <mergeCells count="26">
    <mergeCell ref="K24:AG24"/>
    <mergeCell ref="A30:AG30"/>
    <mergeCell ref="A29:AG29"/>
    <mergeCell ref="I25:AG25"/>
    <mergeCell ref="A24:J24"/>
    <mergeCell ref="A8:AG10"/>
    <mergeCell ref="Q20:T20"/>
    <mergeCell ref="C20:L20"/>
    <mergeCell ref="Z20:AE20"/>
    <mergeCell ref="F18:R18"/>
    <mergeCell ref="S18:W18"/>
    <mergeCell ref="A16:H16"/>
    <mergeCell ref="A13:I13"/>
    <mergeCell ref="J13:Q13"/>
    <mergeCell ref="R13:AG13"/>
    <mergeCell ref="A18:E18"/>
    <mergeCell ref="A19:AG19"/>
    <mergeCell ref="M20:P20"/>
    <mergeCell ref="U20:Y20"/>
    <mergeCell ref="A33:AG33"/>
    <mergeCell ref="A37:AG39"/>
    <mergeCell ref="Q44:AF44"/>
    <mergeCell ref="A44:I44"/>
    <mergeCell ref="Q43:AF43"/>
    <mergeCell ref="G43:K43"/>
    <mergeCell ref="A43:F43"/>
  </mergeCells>
  <phoneticPr fontId="2" type="noConversion"/>
  <pageMargins left="0.75" right="0.75" top="0.71" bottom="1" header="0.5" footer="0.5"/>
  <pageSetup scale="9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K1052"/>
  <sheetViews>
    <sheetView zoomScaleNormal="100" zoomScaleSheetLayoutView="80" workbookViewId="0">
      <selection activeCell="T23" sqref="T23"/>
    </sheetView>
  </sheetViews>
  <sheetFormatPr defaultColWidth="9.140625" defaultRowHeight="12.75" x14ac:dyDescent="0.2"/>
  <cols>
    <col min="1" max="1" width="2.85546875" style="114" customWidth="1"/>
    <col min="2" max="33" width="2.7109375" style="114" customWidth="1"/>
    <col min="34" max="34" width="9.140625" style="114"/>
    <col min="35" max="89" width="9.140625" style="120"/>
    <col min="90" max="16384" width="9.140625" style="114"/>
  </cols>
  <sheetData>
    <row r="1" spans="1:34" x14ac:dyDescent="0.2">
      <c r="A1" s="120"/>
      <c r="B1" s="120"/>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x14ac:dyDescent="0.2">
      <c r="A2" s="120"/>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row>
    <row r="3" spans="1:34" x14ac:dyDescent="0.2">
      <c r="A3" s="120"/>
      <c r="B3" s="120"/>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row>
    <row r="4" spans="1:34" x14ac:dyDescent="0.2">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row>
    <row r="5" spans="1:34" ht="13.5" thickBot="1" x14ac:dyDescent="0.25">
      <c r="A5" s="120"/>
      <c r="B5" s="120"/>
      <c r="C5" s="120"/>
      <c r="D5" s="120"/>
      <c r="E5" s="120"/>
      <c r="F5" s="120"/>
      <c r="G5" s="120"/>
      <c r="H5" s="120"/>
      <c r="I5" s="120"/>
      <c r="J5" s="120"/>
      <c r="K5" s="120"/>
      <c r="L5" s="120"/>
      <c r="M5" s="120"/>
      <c r="N5" s="120"/>
      <c r="O5" s="120"/>
      <c r="P5" s="120"/>
      <c r="Q5" s="120"/>
      <c r="R5" s="120"/>
      <c r="S5" s="120"/>
      <c r="T5" s="120"/>
      <c r="U5" s="120"/>
      <c r="V5" s="120"/>
      <c r="W5" s="120"/>
      <c r="X5" s="120"/>
      <c r="Y5" s="120"/>
      <c r="Z5" s="120"/>
      <c r="AA5" s="120"/>
      <c r="AB5" s="120"/>
      <c r="AC5" s="120"/>
      <c r="AD5" s="120"/>
      <c r="AE5" s="120"/>
      <c r="AF5" s="120"/>
      <c r="AG5" s="120"/>
      <c r="AH5" s="120"/>
    </row>
    <row r="6" spans="1:34" x14ac:dyDescent="0.2">
      <c r="A6" s="125"/>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0"/>
    </row>
    <row r="7" spans="1:34" x14ac:dyDescent="0.2">
      <c r="A7" s="120"/>
      <c r="B7" s="120"/>
      <c r="C7" s="120"/>
      <c r="D7" s="120"/>
      <c r="E7" s="120"/>
      <c r="F7" s="120"/>
      <c r="G7" s="120"/>
      <c r="H7" s="120"/>
      <c r="I7" s="120"/>
      <c r="J7" s="120"/>
      <c r="K7" s="120"/>
      <c r="L7" s="120"/>
      <c r="M7" s="120"/>
      <c r="N7" s="120"/>
      <c r="O7" s="120"/>
      <c r="P7" s="120"/>
      <c r="Q7" s="120"/>
      <c r="R7" s="120"/>
      <c r="S7" s="120"/>
      <c r="T7" s="120"/>
      <c r="U7" s="120"/>
      <c r="V7" s="120"/>
      <c r="W7" s="120"/>
      <c r="X7" s="120"/>
      <c r="Y7" s="120"/>
      <c r="Z7" s="120"/>
      <c r="AA7" s="120"/>
      <c r="AB7" s="120"/>
      <c r="AC7" s="120"/>
      <c r="AD7" s="120"/>
      <c r="AE7" s="120"/>
      <c r="AF7" s="120"/>
      <c r="AG7" s="120"/>
      <c r="AH7" s="120"/>
    </row>
    <row r="8" spans="1:34" ht="15.75" customHeight="1" x14ac:dyDescent="0.2">
      <c r="A8" s="570" t="s">
        <v>2385</v>
      </c>
      <c r="B8" s="570"/>
      <c r="C8" s="570"/>
      <c r="D8" s="570"/>
      <c r="E8" s="570"/>
      <c r="F8" s="570"/>
      <c r="G8" s="570"/>
      <c r="H8" s="570"/>
      <c r="I8" s="570"/>
      <c r="J8" s="570"/>
      <c r="K8" s="570"/>
      <c r="L8" s="570"/>
      <c r="M8" s="570"/>
      <c r="N8" s="570"/>
      <c r="O8" s="570"/>
      <c r="P8" s="570"/>
      <c r="Q8" s="570"/>
      <c r="R8" s="570"/>
      <c r="S8" s="570"/>
      <c r="T8" s="570"/>
      <c r="U8" s="570"/>
      <c r="V8" s="570"/>
      <c r="W8" s="570"/>
      <c r="X8" s="570"/>
      <c r="Y8" s="570"/>
      <c r="Z8" s="570"/>
      <c r="AA8" s="570"/>
      <c r="AB8" s="570"/>
      <c r="AC8" s="570"/>
      <c r="AD8" s="570"/>
      <c r="AE8" s="570"/>
      <c r="AF8" s="570"/>
      <c r="AG8" s="570"/>
      <c r="AH8" s="120"/>
    </row>
    <row r="9" spans="1:34" ht="15.75" customHeight="1" x14ac:dyDescent="0.2">
      <c r="A9" s="570"/>
      <c r="B9" s="570"/>
      <c r="C9" s="570"/>
      <c r="D9" s="570"/>
      <c r="E9" s="570"/>
      <c r="F9" s="570"/>
      <c r="G9" s="570"/>
      <c r="H9" s="570"/>
      <c r="I9" s="570"/>
      <c r="J9" s="570"/>
      <c r="K9" s="570"/>
      <c r="L9" s="570"/>
      <c r="M9" s="570"/>
      <c r="N9" s="570"/>
      <c r="O9" s="570"/>
      <c r="P9" s="570"/>
      <c r="Q9" s="570"/>
      <c r="R9" s="570"/>
      <c r="S9" s="570"/>
      <c r="T9" s="570"/>
      <c r="U9" s="570"/>
      <c r="V9" s="570"/>
      <c r="W9" s="570"/>
      <c r="X9" s="570"/>
      <c r="Y9" s="570"/>
      <c r="Z9" s="570"/>
      <c r="AA9" s="570"/>
      <c r="AB9" s="570"/>
      <c r="AC9" s="570"/>
      <c r="AD9" s="570"/>
      <c r="AE9" s="570"/>
      <c r="AF9" s="570"/>
      <c r="AG9" s="570"/>
      <c r="AH9" s="120"/>
    </row>
    <row r="10" spans="1:34" ht="25.5" customHeight="1" x14ac:dyDescent="0.2">
      <c r="A10" s="570"/>
      <c r="B10" s="570"/>
      <c r="C10" s="570"/>
      <c r="D10" s="570"/>
      <c r="E10" s="570"/>
      <c r="F10" s="570"/>
      <c r="G10" s="570"/>
      <c r="H10" s="570"/>
      <c r="I10" s="570"/>
      <c r="J10" s="570"/>
      <c r="K10" s="570"/>
      <c r="L10" s="570"/>
      <c r="M10" s="570"/>
      <c r="N10" s="570"/>
      <c r="O10" s="570"/>
      <c r="P10" s="570"/>
      <c r="Q10" s="570"/>
      <c r="R10" s="570"/>
      <c r="S10" s="570"/>
      <c r="T10" s="570"/>
      <c r="U10" s="570"/>
      <c r="V10" s="570"/>
      <c r="W10" s="570"/>
      <c r="X10" s="570"/>
      <c r="Y10" s="570"/>
      <c r="Z10" s="570"/>
      <c r="AA10" s="570"/>
      <c r="AB10" s="570"/>
      <c r="AC10" s="570"/>
      <c r="AD10" s="570"/>
      <c r="AE10" s="570"/>
      <c r="AF10" s="570"/>
      <c r="AG10" s="570"/>
      <c r="AH10" s="120"/>
    </row>
    <row r="11" spans="1:34" x14ac:dyDescent="0.2">
      <c r="A11" s="120"/>
      <c r="B11" s="120"/>
      <c r="C11" s="120"/>
      <c r="D11" s="120"/>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row>
    <row r="12" spans="1:34" x14ac:dyDescent="0.2">
      <c r="A12" s="120"/>
      <c r="B12" s="120"/>
      <c r="C12" s="120"/>
      <c r="D12" s="120"/>
      <c r="E12" s="120"/>
      <c r="F12" s="120"/>
      <c r="G12" s="120"/>
      <c r="H12" s="120"/>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row>
    <row r="13" spans="1:34" x14ac:dyDescent="0.2">
      <c r="A13" s="571" t="s">
        <v>568</v>
      </c>
      <c r="B13" s="571"/>
      <c r="C13" s="571"/>
      <c r="D13" s="571"/>
      <c r="E13" s="571"/>
      <c r="F13" s="571"/>
      <c r="G13" s="571"/>
      <c r="H13" s="571"/>
      <c r="I13" s="571"/>
      <c r="J13" s="405" t="str">
        <f>IF('Dane personalne'!D11="","",'Dane personalne'!D11)</f>
        <v/>
      </c>
      <c r="K13" s="405"/>
      <c r="L13" s="405"/>
      <c r="M13" s="405"/>
      <c r="N13" s="405"/>
      <c r="O13" s="405"/>
      <c r="P13" s="405"/>
      <c r="Q13" s="405"/>
      <c r="R13" s="405" t="str">
        <f>IF('Dane personalne'!D12="","",'Dane personalne'!D12)</f>
        <v/>
      </c>
      <c r="S13" s="405"/>
      <c r="T13" s="405"/>
      <c r="U13" s="405"/>
      <c r="V13" s="405"/>
      <c r="W13" s="405"/>
      <c r="X13" s="405"/>
      <c r="Y13" s="405"/>
      <c r="Z13" s="405"/>
      <c r="AA13" s="405"/>
      <c r="AB13" s="405"/>
      <c r="AC13" s="405"/>
      <c r="AD13" s="405"/>
      <c r="AE13" s="405"/>
      <c r="AF13" s="405"/>
      <c r="AG13" s="405"/>
      <c r="AH13" s="120"/>
    </row>
    <row r="14" spans="1:34" x14ac:dyDescent="0.2">
      <c r="A14" s="123"/>
      <c r="B14" s="123"/>
      <c r="C14" s="123"/>
      <c r="D14" s="123"/>
      <c r="E14" s="123"/>
      <c r="F14" s="123"/>
      <c r="G14" s="123"/>
      <c r="H14" s="131"/>
      <c r="I14" s="131"/>
      <c r="J14" s="131"/>
      <c r="K14" s="131"/>
      <c r="L14" s="131"/>
      <c r="M14" s="131"/>
      <c r="N14" s="131"/>
      <c r="O14" s="131"/>
      <c r="P14" s="131"/>
      <c r="Q14" s="120"/>
      <c r="R14" s="120"/>
      <c r="S14" s="120"/>
      <c r="T14" s="120"/>
      <c r="U14" s="120"/>
      <c r="V14" s="120"/>
      <c r="W14" s="120"/>
      <c r="X14" s="120"/>
      <c r="Y14" s="120"/>
      <c r="Z14" s="120"/>
      <c r="AA14" s="120"/>
      <c r="AB14" s="120"/>
      <c r="AC14" s="120"/>
      <c r="AD14" s="120"/>
      <c r="AE14" s="120"/>
      <c r="AF14" s="120"/>
      <c r="AG14" s="120"/>
      <c r="AH14" s="120"/>
    </row>
    <row r="15" spans="1:34" x14ac:dyDescent="0.2">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row>
    <row r="16" spans="1:34" x14ac:dyDescent="0.2">
      <c r="A16" s="516" t="s">
        <v>320</v>
      </c>
      <c r="B16" s="516"/>
      <c r="C16" s="516"/>
      <c r="D16" s="516"/>
      <c r="E16" s="516"/>
      <c r="F16" s="516"/>
      <c r="G16" s="516"/>
      <c r="H16" s="516"/>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row>
    <row r="17" spans="1:34" x14ac:dyDescent="0.2">
      <c r="A17" s="120"/>
      <c r="B17" s="120"/>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row>
    <row r="18" spans="1:34" ht="18.75" customHeight="1" x14ac:dyDescent="0.2">
      <c r="A18" s="571" t="s">
        <v>324</v>
      </c>
      <c r="B18" s="571"/>
      <c r="C18" s="571"/>
      <c r="D18" s="571"/>
      <c r="E18" s="571"/>
      <c r="F18" s="565" t="str">
        <f>'1.Kwestionariusz'!L65</f>
        <v/>
      </c>
      <c r="G18" s="565"/>
      <c r="H18" s="565"/>
      <c r="I18" s="565"/>
      <c r="J18" s="565"/>
      <c r="K18" s="565"/>
      <c r="L18" s="565"/>
      <c r="M18" s="565"/>
      <c r="N18" s="565"/>
      <c r="O18" s="565"/>
      <c r="P18" s="565"/>
      <c r="Q18" s="565"/>
      <c r="R18" s="565"/>
      <c r="S18" s="515" t="s">
        <v>321</v>
      </c>
      <c r="T18" s="515"/>
      <c r="U18" s="515"/>
      <c r="V18" s="515"/>
      <c r="W18" s="547"/>
      <c r="X18" s="165" t="str">
        <f>MID('1.Kwestionariusz'!AB65,1,1)</f>
        <v/>
      </c>
      <c r="Y18" s="165" t="str">
        <f>MID('1.Kwestionariusz'!AB65,2,1)</f>
        <v/>
      </c>
      <c r="Z18" s="166" t="s">
        <v>13</v>
      </c>
      <c r="AA18" s="165" t="str">
        <f>MID('1.Kwestionariusz'!AB65,4,1)</f>
        <v/>
      </c>
      <c r="AB18" s="165" t="str">
        <f>MID('1.Kwestionariusz'!AB65,5,1)</f>
        <v/>
      </c>
      <c r="AC18" s="165" t="str">
        <f>MID('1.Kwestionariusz'!AB65,6,1)</f>
        <v/>
      </c>
      <c r="AD18" s="120"/>
      <c r="AE18" s="120"/>
      <c r="AF18" s="120"/>
      <c r="AG18" s="120"/>
      <c r="AH18" s="120"/>
    </row>
    <row r="19" spans="1:34" x14ac:dyDescent="0.2">
      <c r="A19" s="515"/>
      <c r="B19" s="515"/>
      <c r="C19" s="515"/>
      <c r="D19" s="515"/>
      <c r="E19" s="515"/>
      <c r="F19" s="515"/>
      <c r="G19" s="515"/>
      <c r="H19" s="515"/>
      <c r="I19" s="515"/>
      <c r="J19" s="515"/>
      <c r="K19" s="515"/>
      <c r="L19" s="515"/>
      <c r="M19" s="515"/>
      <c r="N19" s="515"/>
      <c r="O19" s="515"/>
      <c r="P19" s="515"/>
      <c r="Q19" s="515"/>
      <c r="R19" s="515"/>
      <c r="S19" s="515"/>
      <c r="T19" s="515"/>
      <c r="U19" s="515"/>
      <c r="V19" s="515"/>
      <c r="W19" s="515"/>
      <c r="X19" s="515"/>
      <c r="Y19" s="515"/>
      <c r="Z19" s="515"/>
      <c r="AA19" s="515"/>
      <c r="AB19" s="515"/>
      <c r="AC19" s="515"/>
      <c r="AD19" s="515"/>
      <c r="AE19" s="515"/>
      <c r="AF19" s="515"/>
      <c r="AG19" s="515"/>
      <c r="AH19" s="120"/>
    </row>
    <row r="20" spans="1:34" ht="20.25" customHeight="1" x14ac:dyDescent="0.2">
      <c r="A20" s="120" t="s">
        <v>322</v>
      </c>
      <c r="B20" s="120"/>
      <c r="C20" s="565" t="str">
        <f>'1.Kwestionariusz'!A68</f>
        <v/>
      </c>
      <c r="D20" s="565"/>
      <c r="E20" s="565"/>
      <c r="F20" s="565"/>
      <c r="G20" s="565"/>
      <c r="H20" s="565"/>
      <c r="I20" s="565"/>
      <c r="J20" s="565"/>
      <c r="K20" s="565"/>
      <c r="L20" s="565"/>
      <c r="M20" s="515" t="s">
        <v>569</v>
      </c>
      <c r="N20" s="515"/>
      <c r="O20" s="515"/>
      <c r="P20" s="515"/>
      <c r="Q20" s="565" t="str">
        <f>'1.Kwestionariusz'!P68&amp;"  "&amp;'1.Kwestionariusz'!U68</f>
        <v xml:space="preserve">  </v>
      </c>
      <c r="R20" s="565"/>
      <c r="S20" s="565"/>
      <c r="T20" s="565"/>
      <c r="U20" s="515"/>
      <c r="V20" s="515"/>
      <c r="W20" s="515"/>
      <c r="X20" s="515"/>
      <c r="Y20" s="515"/>
      <c r="Z20" s="566"/>
      <c r="AA20" s="566"/>
      <c r="AB20" s="566"/>
      <c r="AC20" s="566"/>
      <c r="AD20" s="566"/>
      <c r="AE20" s="566"/>
      <c r="AF20" s="120"/>
      <c r="AG20" s="120"/>
      <c r="AH20" s="120"/>
    </row>
    <row r="21" spans="1:34" x14ac:dyDescent="0.2">
      <c r="A21" s="120"/>
      <c r="B21" s="120"/>
      <c r="C21" s="120"/>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row>
    <row r="22" spans="1:34" x14ac:dyDescent="0.2">
      <c r="A22" s="120"/>
      <c r="B22" s="120"/>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row>
    <row r="23" spans="1:34" x14ac:dyDescent="0.2">
      <c r="A23" s="120"/>
      <c r="B23" s="120"/>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row>
    <row r="24" spans="1:34" x14ac:dyDescent="0.2">
      <c r="A24" s="571" t="s">
        <v>325</v>
      </c>
      <c r="B24" s="571"/>
      <c r="C24" s="571"/>
      <c r="D24" s="571"/>
      <c r="E24" s="571"/>
      <c r="F24" s="571"/>
      <c r="G24" s="571"/>
      <c r="H24" s="571"/>
      <c r="I24" s="571"/>
      <c r="J24" s="571"/>
      <c r="K24" s="405"/>
      <c r="L24" s="405"/>
      <c r="M24" s="405"/>
      <c r="N24" s="405"/>
      <c r="O24" s="405"/>
      <c r="P24" s="405"/>
      <c r="Q24" s="405"/>
      <c r="R24" s="405"/>
      <c r="S24" s="405"/>
      <c r="T24" s="405"/>
      <c r="U24" s="405"/>
      <c r="V24" s="405"/>
      <c r="W24" s="405"/>
      <c r="X24" s="405"/>
      <c r="Y24" s="405"/>
      <c r="Z24" s="405"/>
      <c r="AA24" s="405"/>
      <c r="AB24" s="405"/>
      <c r="AC24" s="405"/>
      <c r="AD24" s="405"/>
      <c r="AE24" s="405"/>
      <c r="AF24" s="405"/>
      <c r="AG24" s="405"/>
      <c r="AH24" s="120"/>
    </row>
    <row r="25" spans="1:34" x14ac:dyDescent="0.2">
      <c r="A25" s="120"/>
      <c r="B25" s="120"/>
      <c r="C25" s="120"/>
      <c r="D25" s="158"/>
      <c r="E25" s="120"/>
      <c r="F25" s="120"/>
      <c r="G25" s="120"/>
      <c r="H25" s="120"/>
      <c r="I25" s="572" t="s">
        <v>573</v>
      </c>
      <c r="J25" s="572"/>
      <c r="K25" s="572"/>
      <c r="L25" s="572"/>
      <c r="M25" s="572"/>
      <c r="N25" s="572"/>
      <c r="O25" s="572"/>
      <c r="P25" s="572"/>
      <c r="Q25" s="572"/>
      <c r="R25" s="572"/>
      <c r="S25" s="572"/>
      <c r="T25" s="572"/>
      <c r="U25" s="572"/>
      <c r="V25" s="572"/>
      <c r="W25" s="572"/>
      <c r="X25" s="572"/>
      <c r="Y25" s="572"/>
      <c r="Z25" s="572"/>
      <c r="AA25" s="572"/>
      <c r="AB25" s="572"/>
      <c r="AC25" s="572"/>
      <c r="AD25" s="572"/>
      <c r="AE25" s="572"/>
      <c r="AF25" s="572"/>
      <c r="AG25" s="572"/>
      <c r="AH25" s="120"/>
    </row>
    <row r="26" spans="1:34" x14ac:dyDescent="0.2">
      <c r="A26" s="120"/>
      <c r="B26" s="120"/>
      <c r="C26" s="120"/>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0"/>
      <c r="AB26" s="120"/>
      <c r="AC26" s="120"/>
      <c r="AD26" s="120"/>
      <c r="AE26" s="120"/>
      <c r="AF26" s="120"/>
      <c r="AG26" s="120"/>
      <c r="AH26" s="120"/>
    </row>
    <row r="27" spans="1:34" x14ac:dyDescent="0.2">
      <c r="A27" s="120" t="s">
        <v>326</v>
      </c>
      <c r="B27" s="120"/>
      <c r="C27" s="120"/>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row>
    <row r="28" spans="1:34" x14ac:dyDescent="0.2">
      <c r="A28" s="120"/>
      <c r="B28" s="120"/>
      <c r="C28" s="120"/>
      <c r="D28" s="120"/>
      <c r="E28" s="120"/>
      <c r="F28" s="120"/>
      <c r="G28" s="120"/>
      <c r="H28" s="120"/>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row>
    <row r="29" spans="1:34" ht="16.5" customHeight="1" x14ac:dyDescent="0.2">
      <c r="A29" s="565" t="str">
        <f>IF('Dane personalne'!D53="","",'Dane personalne'!D53)</f>
        <v/>
      </c>
      <c r="B29" s="565"/>
      <c r="C29" s="565"/>
      <c r="D29" s="565"/>
      <c r="E29" s="565"/>
      <c r="F29" s="565"/>
      <c r="G29" s="565"/>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65"/>
      <c r="AG29" s="565"/>
      <c r="AH29" s="120"/>
    </row>
    <row r="30" spans="1:34" x14ac:dyDescent="0.2">
      <c r="A30" s="572" t="s">
        <v>327</v>
      </c>
      <c r="B30" s="572"/>
      <c r="C30" s="572"/>
      <c r="D30" s="572"/>
      <c r="E30" s="572"/>
      <c r="F30" s="572"/>
      <c r="G30" s="572"/>
      <c r="H30" s="572"/>
      <c r="I30" s="572"/>
      <c r="J30" s="572"/>
      <c r="K30" s="572"/>
      <c r="L30" s="572"/>
      <c r="M30" s="572"/>
      <c r="N30" s="572"/>
      <c r="O30" s="572"/>
      <c r="P30" s="572"/>
      <c r="Q30" s="572"/>
      <c r="R30" s="572"/>
      <c r="S30" s="572"/>
      <c r="T30" s="572"/>
      <c r="U30" s="572"/>
      <c r="V30" s="572"/>
      <c r="W30" s="572"/>
      <c r="X30" s="572"/>
      <c r="Y30" s="572"/>
      <c r="Z30" s="572"/>
      <c r="AA30" s="572"/>
      <c r="AB30" s="572"/>
      <c r="AC30" s="572"/>
      <c r="AD30" s="572"/>
      <c r="AE30" s="572"/>
      <c r="AF30" s="572"/>
      <c r="AG30" s="572"/>
      <c r="AH30" s="120"/>
    </row>
    <row r="31" spans="1:34" x14ac:dyDescent="0.2">
      <c r="A31" s="120"/>
      <c r="B31" s="120"/>
      <c r="C31" s="120"/>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row>
    <row r="32" spans="1:34" x14ac:dyDescent="0.2">
      <c r="A32" s="161"/>
      <c r="B32" s="233" t="str">
        <f>IF('Dane personalne'!D54="","",'Dane personalne'!D54)</f>
        <v/>
      </c>
      <c r="C32" s="162"/>
      <c r="D32" s="162"/>
      <c r="E32" s="163"/>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4"/>
      <c r="AF32" s="164"/>
      <c r="AG32" s="164"/>
      <c r="AH32" s="131"/>
    </row>
    <row r="33" spans="1:34" x14ac:dyDescent="0.2">
      <c r="A33" s="572" t="s">
        <v>328</v>
      </c>
      <c r="B33" s="572"/>
      <c r="C33" s="572"/>
      <c r="D33" s="572"/>
      <c r="E33" s="572"/>
      <c r="F33" s="572"/>
      <c r="G33" s="572"/>
      <c r="H33" s="572"/>
      <c r="I33" s="572"/>
      <c r="J33" s="572"/>
      <c r="K33" s="572"/>
      <c r="L33" s="572"/>
      <c r="M33" s="572"/>
      <c r="N33" s="572"/>
      <c r="O33" s="572"/>
      <c r="P33" s="572"/>
      <c r="Q33" s="572"/>
      <c r="R33" s="572"/>
      <c r="S33" s="572"/>
      <c r="T33" s="572"/>
      <c r="U33" s="572"/>
      <c r="V33" s="572"/>
      <c r="W33" s="572"/>
      <c r="X33" s="572"/>
      <c r="Y33" s="572"/>
      <c r="Z33" s="572"/>
      <c r="AA33" s="572"/>
      <c r="AB33" s="572"/>
      <c r="AC33" s="572"/>
      <c r="AD33" s="572"/>
      <c r="AE33" s="572"/>
      <c r="AF33" s="572"/>
      <c r="AG33" s="572"/>
      <c r="AH33" s="120"/>
    </row>
    <row r="34" spans="1:34" x14ac:dyDescent="0.2">
      <c r="A34" s="120"/>
      <c r="B34" s="120"/>
      <c r="C34" s="120"/>
      <c r="D34" s="120"/>
      <c r="E34" s="120"/>
      <c r="F34" s="120"/>
      <c r="G34" s="120"/>
      <c r="H34" s="159"/>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row>
    <row r="35" spans="1:34" ht="15" x14ac:dyDescent="0.2">
      <c r="A35" s="160" t="s">
        <v>566</v>
      </c>
      <c r="B35" s="120"/>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row>
    <row r="36" spans="1:34" ht="15" x14ac:dyDescent="0.2">
      <c r="A36" s="160"/>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row>
    <row r="37" spans="1:34" ht="15.75" customHeight="1" x14ac:dyDescent="0.2">
      <c r="A37" s="573" t="s">
        <v>591</v>
      </c>
      <c r="B37" s="573"/>
      <c r="C37" s="573"/>
      <c r="D37" s="573"/>
      <c r="E37" s="573"/>
      <c r="F37" s="573"/>
      <c r="G37" s="573"/>
      <c r="H37" s="573"/>
      <c r="I37" s="573"/>
      <c r="J37" s="573"/>
      <c r="K37" s="573"/>
      <c r="L37" s="573"/>
      <c r="M37" s="573"/>
      <c r="N37" s="573"/>
      <c r="O37" s="573"/>
      <c r="P37" s="573"/>
      <c r="Q37" s="573"/>
      <c r="R37" s="573"/>
      <c r="S37" s="573"/>
      <c r="T37" s="573"/>
      <c r="U37" s="573"/>
      <c r="V37" s="573"/>
      <c r="W37" s="573"/>
      <c r="X37" s="573"/>
      <c r="Y37" s="573"/>
      <c r="Z37" s="573"/>
      <c r="AA37" s="573"/>
      <c r="AB37" s="573"/>
      <c r="AC37" s="573"/>
      <c r="AD37" s="573"/>
      <c r="AE37" s="573"/>
      <c r="AF37" s="573"/>
      <c r="AG37" s="573"/>
      <c r="AH37" s="120"/>
    </row>
    <row r="38" spans="1:34" ht="15.75" customHeight="1" x14ac:dyDescent="0.2">
      <c r="A38" s="573"/>
      <c r="B38" s="573"/>
      <c r="C38" s="573"/>
      <c r="D38" s="573"/>
      <c r="E38" s="573"/>
      <c r="F38" s="573"/>
      <c r="G38" s="573"/>
      <c r="H38" s="573"/>
      <c r="I38" s="573"/>
      <c r="J38" s="573"/>
      <c r="K38" s="573"/>
      <c r="L38" s="573"/>
      <c r="M38" s="573"/>
      <c r="N38" s="573"/>
      <c r="O38" s="573"/>
      <c r="P38" s="573"/>
      <c r="Q38" s="573"/>
      <c r="R38" s="573"/>
      <c r="S38" s="573"/>
      <c r="T38" s="573"/>
      <c r="U38" s="573"/>
      <c r="V38" s="573"/>
      <c r="W38" s="573"/>
      <c r="X38" s="573"/>
      <c r="Y38" s="573"/>
      <c r="Z38" s="573"/>
      <c r="AA38" s="573"/>
      <c r="AB38" s="573"/>
      <c r="AC38" s="573"/>
      <c r="AD38" s="573"/>
      <c r="AE38" s="573"/>
      <c r="AF38" s="573"/>
      <c r="AG38" s="573"/>
      <c r="AH38" s="120"/>
    </row>
    <row r="39" spans="1:34" x14ac:dyDescent="0.2">
      <c r="A39" s="573"/>
      <c r="B39" s="573"/>
      <c r="C39" s="573"/>
      <c r="D39" s="573"/>
      <c r="E39" s="573"/>
      <c r="F39" s="573"/>
      <c r="G39" s="573"/>
      <c r="H39" s="573"/>
      <c r="I39" s="573"/>
      <c r="J39" s="573"/>
      <c r="K39" s="573"/>
      <c r="L39" s="573"/>
      <c r="M39" s="573"/>
      <c r="N39" s="573"/>
      <c r="O39" s="573"/>
      <c r="P39" s="573"/>
      <c r="Q39" s="573"/>
      <c r="R39" s="573"/>
      <c r="S39" s="573"/>
      <c r="T39" s="573"/>
      <c r="U39" s="573"/>
      <c r="V39" s="573"/>
      <c r="W39" s="573"/>
      <c r="X39" s="573"/>
      <c r="Y39" s="573"/>
      <c r="Z39" s="573"/>
      <c r="AA39" s="573"/>
      <c r="AB39" s="573"/>
      <c r="AC39" s="573"/>
      <c r="AD39" s="573"/>
      <c r="AE39" s="573"/>
      <c r="AF39" s="573"/>
      <c r="AG39" s="573"/>
      <c r="AH39" s="120"/>
    </row>
    <row r="40" spans="1:34" x14ac:dyDescent="0.2">
      <c r="A40" s="120"/>
      <c r="B40" s="120"/>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row>
    <row r="41" spans="1:34" x14ac:dyDescent="0.2">
      <c r="A41" s="120"/>
      <c r="B41" s="120"/>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row>
    <row r="42" spans="1:34" x14ac:dyDescent="0.2">
      <c r="A42" s="120"/>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row>
    <row r="43" spans="1:34" x14ac:dyDescent="0.2">
      <c r="A43" s="466" t="str">
        <f>'Dane personalne'!$D$94&amp;""</f>
        <v/>
      </c>
      <c r="B43" s="466"/>
      <c r="C43" s="466"/>
      <c r="D43" s="466"/>
      <c r="E43" s="466"/>
      <c r="F43" s="466"/>
      <c r="G43" s="466" t="str">
        <f>'Dane personalne'!$F$94</f>
        <v/>
      </c>
      <c r="H43" s="466"/>
      <c r="I43" s="466"/>
      <c r="J43" s="466"/>
      <c r="K43" s="466"/>
      <c r="L43" s="120"/>
      <c r="M43" s="120"/>
      <c r="N43" s="120"/>
      <c r="O43" s="120"/>
      <c r="P43" s="120"/>
      <c r="Q43" s="574"/>
      <c r="R43" s="574"/>
      <c r="S43" s="574"/>
      <c r="T43" s="574"/>
      <c r="U43" s="574"/>
      <c r="V43" s="574"/>
      <c r="W43" s="574"/>
      <c r="X43" s="574"/>
      <c r="Y43" s="574"/>
      <c r="Z43" s="574"/>
      <c r="AA43" s="574"/>
      <c r="AB43" s="574"/>
      <c r="AC43" s="574"/>
      <c r="AD43" s="574"/>
      <c r="AE43" s="574"/>
      <c r="AF43" s="574"/>
      <c r="AG43" s="120"/>
      <c r="AH43" s="120"/>
    </row>
    <row r="44" spans="1:34" x14ac:dyDescent="0.2">
      <c r="A44" s="519" t="s">
        <v>318</v>
      </c>
      <c r="B44" s="519"/>
      <c r="C44" s="519"/>
      <c r="D44" s="519"/>
      <c r="E44" s="519"/>
      <c r="F44" s="519"/>
      <c r="G44" s="519"/>
      <c r="H44" s="519"/>
      <c r="I44" s="519"/>
      <c r="J44" s="120"/>
      <c r="K44" s="120"/>
      <c r="L44" s="120"/>
      <c r="M44" s="120"/>
      <c r="N44" s="120"/>
      <c r="O44" s="120"/>
      <c r="P44" s="120"/>
      <c r="Q44" s="519" t="s">
        <v>329</v>
      </c>
      <c r="R44" s="519"/>
      <c r="S44" s="519"/>
      <c r="T44" s="519"/>
      <c r="U44" s="519"/>
      <c r="V44" s="519"/>
      <c r="W44" s="519"/>
      <c r="X44" s="519"/>
      <c r="Y44" s="519"/>
      <c r="Z44" s="519"/>
      <c r="AA44" s="519"/>
      <c r="AB44" s="519"/>
      <c r="AC44" s="519"/>
      <c r="AD44" s="519"/>
      <c r="AE44" s="519"/>
      <c r="AF44" s="519"/>
      <c r="AG44" s="120"/>
      <c r="AH44" s="120"/>
    </row>
    <row r="45" spans="1:34" s="120" customFormat="1" x14ac:dyDescent="0.2"/>
    <row r="46" spans="1:34" s="120" customFormat="1" x14ac:dyDescent="0.2"/>
    <row r="47" spans="1:34" s="120" customFormat="1" x14ac:dyDescent="0.2"/>
    <row r="48" spans="1:34" s="120" customFormat="1" x14ac:dyDescent="0.2"/>
    <row r="49" s="120" customFormat="1" x14ac:dyDescent="0.2"/>
    <row r="50" s="120" customFormat="1" x14ac:dyDescent="0.2"/>
    <row r="51" s="120" customFormat="1" x14ac:dyDescent="0.2"/>
    <row r="52" s="120" customFormat="1" x14ac:dyDescent="0.2"/>
    <row r="53" s="120" customFormat="1" x14ac:dyDescent="0.2"/>
    <row r="54" s="120" customFormat="1" x14ac:dyDescent="0.2"/>
    <row r="55" s="120" customFormat="1" x14ac:dyDescent="0.2"/>
    <row r="56" s="120" customFormat="1" x14ac:dyDescent="0.2"/>
    <row r="57" s="120" customFormat="1" x14ac:dyDescent="0.2"/>
    <row r="58" s="120" customFormat="1" x14ac:dyDescent="0.2"/>
    <row r="59" s="120" customFormat="1" x14ac:dyDescent="0.2"/>
    <row r="60" s="120" customFormat="1" x14ac:dyDescent="0.2"/>
    <row r="61" s="120" customFormat="1" x14ac:dyDescent="0.2"/>
    <row r="62" s="120" customFormat="1" x14ac:dyDescent="0.2"/>
    <row r="63" s="120" customFormat="1" x14ac:dyDescent="0.2"/>
    <row r="64" s="120" customFormat="1" x14ac:dyDescent="0.2"/>
    <row r="65" s="120" customFormat="1" x14ac:dyDescent="0.2"/>
    <row r="66" s="120" customFormat="1" x14ac:dyDescent="0.2"/>
    <row r="67" s="120" customFormat="1" x14ac:dyDescent="0.2"/>
    <row r="68" s="120" customFormat="1" x14ac:dyDescent="0.2"/>
    <row r="69" s="120" customFormat="1" x14ac:dyDescent="0.2"/>
    <row r="70" s="120" customFormat="1" x14ac:dyDescent="0.2"/>
    <row r="71" s="120" customFormat="1" x14ac:dyDescent="0.2"/>
    <row r="72" s="120" customFormat="1" x14ac:dyDescent="0.2"/>
    <row r="73" s="120" customFormat="1" x14ac:dyDescent="0.2"/>
    <row r="74" s="120" customFormat="1" x14ac:dyDescent="0.2"/>
    <row r="75" s="120" customFormat="1" x14ac:dyDescent="0.2"/>
    <row r="76" s="120" customFormat="1" x14ac:dyDescent="0.2"/>
    <row r="77" s="120" customFormat="1" x14ac:dyDescent="0.2"/>
    <row r="78" s="120" customFormat="1" x14ac:dyDescent="0.2"/>
    <row r="79" s="120" customFormat="1" x14ac:dyDescent="0.2"/>
    <row r="80" s="120" customFormat="1" x14ac:dyDescent="0.2"/>
    <row r="81" s="120" customFormat="1" x14ac:dyDescent="0.2"/>
    <row r="82" s="120" customFormat="1" x14ac:dyDescent="0.2"/>
    <row r="83" s="120" customFormat="1" x14ac:dyDescent="0.2"/>
    <row r="84" s="120" customFormat="1" x14ac:dyDescent="0.2"/>
    <row r="85" s="120" customFormat="1" x14ac:dyDescent="0.2"/>
    <row r="86" s="120" customFormat="1" x14ac:dyDescent="0.2"/>
    <row r="87" s="120" customFormat="1" x14ac:dyDescent="0.2"/>
    <row r="88" s="120" customFormat="1" x14ac:dyDescent="0.2"/>
    <row r="89" s="120" customFormat="1" x14ac:dyDescent="0.2"/>
    <row r="90" s="120" customFormat="1" x14ac:dyDescent="0.2"/>
    <row r="91" s="120" customFormat="1" x14ac:dyDescent="0.2"/>
    <row r="92" s="120" customFormat="1" x14ac:dyDescent="0.2"/>
    <row r="93" s="120" customFormat="1" x14ac:dyDescent="0.2"/>
    <row r="94" s="120" customFormat="1" x14ac:dyDescent="0.2"/>
    <row r="95" s="120" customFormat="1" x14ac:dyDescent="0.2"/>
    <row r="96" s="120" customFormat="1" x14ac:dyDescent="0.2"/>
    <row r="97" s="120" customFormat="1" x14ac:dyDescent="0.2"/>
    <row r="98" s="120" customFormat="1" x14ac:dyDescent="0.2"/>
    <row r="99" s="120" customFormat="1" x14ac:dyDescent="0.2"/>
    <row r="100" s="120" customFormat="1" x14ac:dyDescent="0.2"/>
    <row r="101" s="120" customFormat="1" x14ac:dyDescent="0.2"/>
    <row r="102" s="120" customFormat="1" x14ac:dyDescent="0.2"/>
    <row r="103" s="120" customFormat="1" x14ac:dyDescent="0.2"/>
    <row r="104" s="120" customFormat="1" x14ac:dyDescent="0.2"/>
    <row r="105" s="120" customFormat="1" x14ac:dyDescent="0.2"/>
    <row r="106" s="120" customFormat="1" x14ac:dyDescent="0.2"/>
    <row r="107" s="120" customFormat="1" x14ac:dyDescent="0.2"/>
    <row r="108" s="120" customFormat="1" x14ac:dyDescent="0.2"/>
    <row r="109" s="120" customFormat="1" x14ac:dyDescent="0.2"/>
    <row r="110" s="120" customFormat="1" x14ac:dyDescent="0.2"/>
    <row r="111" s="120" customFormat="1" x14ac:dyDescent="0.2"/>
    <row r="112" s="120" customFormat="1" x14ac:dyDescent="0.2"/>
    <row r="113" s="120" customFormat="1" x14ac:dyDescent="0.2"/>
    <row r="114" s="120" customFormat="1" x14ac:dyDescent="0.2"/>
    <row r="115" s="120" customFormat="1" x14ac:dyDescent="0.2"/>
    <row r="116" s="120" customFormat="1" x14ac:dyDescent="0.2"/>
    <row r="117" s="120" customFormat="1" x14ac:dyDescent="0.2"/>
    <row r="118" s="120" customFormat="1" x14ac:dyDescent="0.2"/>
    <row r="119" s="120" customFormat="1" x14ac:dyDescent="0.2"/>
    <row r="120" s="120" customFormat="1" x14ac:dyDescent="0.2"/>
    <row r="121" s="120" customFormat="1" x14ac:dyDescent="0.2"/>
    <row r="122" s="120" customFormat="1" x14ac:dyDescent="0.2"/>
    <row r="123" s="120" customFormat="1" x14ac:dyDescent="0.2"/>
    <row r="124" s="120" customFormat="1" x14ac:dyDescent="0.2"/>
    <row r="125" s="120" customFormat="1" x14ac:dyDescent="0.2"/>
    <row r="126" s="120" customFormat="1" x14ac:dyDescent="0.2"/>
    <row r="127" s="120" customFormat="1" x14ac:dyDescent="0.2"/>
    <row r="128" s="120" customFormat="1" x14ac:dyDescent="0.2"/>
    <row r="129" s="120" customFormat="1" x14ac:dyDescent="0.2"/>
    <row r="130" s="120" customFormat="1" x14ac:dyDescent="0.2"/>
    <row r="131" s="120" customFormat="1" x14ac:dyDescent="0.2"/>
    <row r="132" s="120" customFormat="1" x14ac:dyDescent="0.2"/>
    <row r="133" s="120" customFormat="1" x14ac:dyDescent="0.2"/>
    <row r="134" s="120" customFormat="1" x14ac:dyDescent="0.2"/>
    <row r="135" s="120" customFormat="1" x14ac:dyDescent="0.2"/>
    <row r="136" s="120" customFormat="1" x14ac:dyDescent="0.2"/>
    <row r="137" s="120" customFormat="1" x14ac:dyDescent="0.2"/>
    <row r="138" s="120" customFormat="1" x14ac:dyDescent="0.2"/>
    <row r="139" s="120" customFormat="1" x14ac:dyDescent="0.2"/>
    <row r="140" s="120" customFormat="1" x14ac:dyDescent="0.2"/>
    <row r="141" s="120" customFormat="1" x14ac:dyDescent="0.2"/>
    <row r="142" s="120" customFormat="1" x14ac:dyDescent="0.2"/>
    <row r="143" s="120" customFormat="1" x14ac:dyDescent="0.2"/>
    <row r="144" s="120" customFormat="1" x14ac:dyDescent="0.2"/>
    <row r="145" s="120" customFormat="1" x14ac:dyDescent="0.2"/>
    <row r="146" s="120" customFormat="1" x14ac:dyDescent="0.2"/>
    <row r="147" s="120" customFormat="1" x14ac:dyDescent="0.2"/>
    <row r="148" s="120" customFormat="1" x14ac:dyDescent="0.2"/>
    <row r="149" s="120" customFormat="1" x14ac:dyDescent="0.2"/>
    <row r="150" s="120" customFormat="1" x14ac:dyDescent="0.2"/>
    <row r="151" s="120" customFormat="1" x14ac:dyDescent="0.2"/>
    <row r="152" s="120" customFormat="1" x14ac:dyDescent="0.2"/>
    <row r="153" s="120" customFormat="1" x14ac:dyDescent="0.2"/>
    <row r="154" s="120" customFormat="1" x14ac:dyDescent="0.2"/>
    <row r="155" s="120" customFormat="1" x14ac:dyDescent="0.2"/>
    <row r="156" s="120" customFormat="1" x14ac:dyDescent="0.2"/>
    <row r="157" s="120" customFormat="1" x14ac:dyDescent="0.2"/>
    <row r="158" s="120" customFormat="1" x14ac:dyDescent="0.2"/>
    <row r="159" s="120" customFormat="1" x14ac:dyDescent="0.2"/>
    <row r="160" s="120" customFormat="1" x14ac:dyDescent="0.2"/>
    <row r="161" s="120" customFormat="1" x14ac:dyDescent="0.2"/>
    <row r="162" s="120" customFormat="1" x14ac:dyDescent="0.2"/>
    <row r="163" s="120" customFormat="1" x14ac:dyDescent="0.2"/>
    <row r="164" s="120" customFormat="1" x14ac:dyDescent="0.2"/>
    <row r="165" s="120" customFormat="1" x14ac:dyDescent="0.2"/>
    <row r="166" s="120" customFormat="1" x14ac:dyDescent="0.2"/>
    <row r="167" s="120" customFormat="1" x14ac:dyDescent="0.2"/>
    <row r="168" s="120" customFormat="1" x14ac:dyDescent="0.2"/>
    <row r="169" s="120" customFormat="1" x14ac:dyDescent="0.2"/>
    <row r="170" s="120" customFormat="1" x14ac:dyDescent="0.2"/>
    <row r="171" s="120" customFormat="1" x14ac:dyDescent="0.2"/>
    <row r="172" s="120" customFormat="1" x14ac:dyDescent="0.2"/>
    <row r="173" s="120" customFormat="1" x14ac:dyDescent="0.2"/>
    <row r="174" s="120" customFormat="1" x14ac:dyDescent="0.2"/>
    <row r="175" s="120" customFormat="1" x14ac:dyDescent="0.2"/>
    <row r="176" s="120" customFormat="1" x14ac:dyDescent="0.2"/>
    <row r="177" s="120" customFormat="1" x14ac:dyDescent="0.2"/>
    <row r="178" s="120" customFormat="1" x14ac:dyDescent="0.2"/>
    <row r="179" s="120" customFormat="1" x14ac:dyDescent="0.2"/>
    <row r="180" s="120" customFormat="1" x14ac:dyDescent="0.2"/>
    <row r="181" s="120" customFormat="1" x14ac:dyDescent="0.2"/>
    <row r="182" s="120" customFormat="1" x14ac:dyDescent="0.2"/>
    <row r="183" s="120" customFormat="1" x14ac:dyDescent="0.2"/>
    <row r="184" s="120" customFormat="1" x14ac:dyDescent="0.2"/>
    <row r="185" s="120" customFormat="1" x14ac:dyDescent="0.2"/>
    <row r="186" s="120" customFormat="1" x14ac:dyDescent="0.2"/>
    <row r="187" s="120" customFormat="1" x14ac:dyDescent="0.2"/>
    <row r="188" s="120" customFormat="1" x14ac:dyDescent="0.2"/>
    <row r="189" s="120" customFormat="1" x14ac:dyDescent="0.2"/>
    <row r="190" s="120" customFormat="1" x14ac:dyDescent="0.2"/>
    <row r="191" s="120" customFormat="1" x14ac:dyDescent="0.2"/>
    <row r="192" s="120" customFormat="1" x14ac:dyDescent="0.2"/>
    <row r="193" s="120" customFormat="1" x14ac:dyDescent="0.2"/>
    <row r="194" s="120" customFormat="1" x14ac:dyDescent="0.2"/>
    <row r="195" s="120" customFormat="1" x14ac:dyDescent="0.2"/>
    <row r="196" s="120" customFormat="1" x14ac:dyDescent="0.2"/>
    <row r="197" s="120" customFormat="1" x14ac:dyDescent="0.2"/>
    <row r="198" s="120" customFormat="1" x14ac:dyDescent="0.2"/>
    <row r="199" s="120" customFormat="1" x14ac:dyDescent="0.2"/>
    <row r="200" s="120" customFormat="1" x14ac:dyDescent="0.2"/>
    <row r="201" s="120" customFormat="1" x14ac:dyDescent="0.2"/>
    <row r="202" s="120" customFormat="1" x14ac:dyDescent="0.2"/>
    <row r="203" s="120" customFormat="1" x14ac:dyDescent="0.2"/>
    <row r="204" s="120" customFormat="1" x14ac:dyDescent="0.2"/>
    <row r="205" s="120" customFormat="1" x14ac:dyDescent="0.2"/>
    <row r="206" s="120" customFormat="1" x14ac:dyDescent="0.2"/>
    <row r="207" s="120" customFormat="1" x14ac:dyDescent="0.2"/>
    <row r="208" s="120" customFormat="1" x14ac:dyDescent="0.2"/>
    <row r="209" s="120" customFormat="1" x14ac:dyDescent="0.2"/>
    <row r="210" s="120" customFormat="1" x14ac:dyDescent="0.2"/>
    <row r="211" s="120" customFormat="1" x14ac:dyDescent="0.2"/>
    <row r="212" s="120" customFormat="1" x14ac:dyDescent="0.2"/>
    <row r="213" s="120" customFormat="1" x14ac:dyDescent="0.2"/>
    <row r="214" s="120" customFormat="1" x14ac:dyDescent="0.2"/>
    <row r="215" s="120" customFormat="1" x14ac:dyDescent="0.2"/>
    <row r="216" s="120" customFormat="1" x14ac:dyDescent="0.2"/>
    <row r="217" s="120" customFormat="1" x14ac:dyDescent="0.2"/>
    <row r="218" s="120" customFormat="1" x14ac:dyDescent="0.2"/>
    <row r="219" s="120" customFormat="1" x14ac:dyDescent="0.2"/>
    <row r="220" s="120" customFormat="1" x14ac:dyDescent="0.2"/>
    <row r="221" s="120" customFormat="1" x14ac:dyDescent="0.2"/>
    <row r="222" s="120" customFormat="1" x14ac:dyDescent="0.2"/>
    <row r="223" s="120" customFormat="1" x14ac:dyDescent="0.2"/>
    <row r="224" s="120" customFormat="1" x14ac:dyDescent="0.2"/>
    <row r="225" s="120" customFormat="1" x14ac:dyDescent="0.2"/>
    <row r="226" s="120" customFormat="1" x14ac:dyDescent="0.2"/>
    <row r="227" s="120" customFormat="1" x14ac:dyDescent="0.2"/>
    <row r="228" s="120" customFormat="1" x14ac:dyDescent="0.2"/>
    <row r="229" s="120" customFormat="1" x14ac:dyDescent="0.2"/>
    <row r="230" s="120" customFormat="1" x14ac:dyDescent="0.2"/>
    <row r="231" s="120" customFormat="1" x14ac:dyDescent="0.2"/>
    <row r="232" s="120" customFormat="1" x14ac:dyDescent="0.2"/>
    <row r="233" s="120" customFormat="1" x14ac:dyDescent="0.2"/>
    <row r="234" s="120" customFormat="1" x14ac:dyDescent="0.2"/>
    <row r="235" s="120" customFormat="1" x14ac:dyDescent="0.2"/>
    <row r="236" s="120" customFormat="1" x14ac:dyDescent="0.2"/>
    <row r="237" s="120" customFormat="1" x14ac:dyDescent="0.2"/>
    <row r="238" s="120" customFormat="1" x14ac:dyDescent="0.2"/>
    <row r="239" s="120" customFormat="1" x14ac:dyDescent="0.2"/>
    <row r="240" s="120" customFormat="1" x14ac:dyDescent="0.2"/>
    <row r="241" s="120" customFormat="1" x14ac:dyDescent="0.2"/>
    <row r="242" s="120" customFormat="1" x14ac:dyDescent="0.2"/>
    <row r="243" s="120" customFormat="1" x14ac:dyDescent="0.2"/>
    <row r="244" s="120" customFormat="1" x14ac:dyDescent="0.2"/>
    <row r="245" s="120" customFormat="1" x14ac:dyDescent="0.2"/>
    <row r="246" s="120" customFormat="1" x14ac:dyDescent="0.2"/>
    <row r="247" s="120" customFormat="1" x14ac:dyDescent="0.2"/>
    <row r="248" s="120" customFormat="1" x14ac:dyDescent="0.2"/>
    <row r="249" s="120" customFormat="1" x14ac:dyDescent="0.2"/>
    <row r="250" s="120" customFormat="1" x14ac:dyDescent="0.2"/>
    <row r="251" s="120" customFormat="1" x14ac:dyDescent="0.2"/>
    <row r="252" s="120" customFormat="1" x14ac:dyDescent="0.2"/>
    <row r="253" s="120" customFormat="1" x14ac:dyDescent="0.2"/>
    <row r="254" s="120" customFormat="1" x14ac:dyDescent="0.2"/>
    <row r="255" s="120" customFormat="1" x14ac:dyDescent="0.2"/>
    <row r="256" s="120" customFormat="1" x14ac:dyDescent="0.2"/>
    <row r="257" s="120" customFormat="1" x14ac:dyDescent="0.2"/>
    <row r="258" s="120" customFormat="1" x14ac:dyDescent="0.2"/>
    <row r="259" s="120" customFormat="1" x14ac:dyDescent="0.2"/>
    <row r="260" s="120" customFormat="1" x14ac:dyDescent="0.2"/>
    <row r="261" s="120" customFormat="1" x14ac:dyDescent="0.2"/>
    <row r="262" s="120" customFormat="1" x14ac:dyDescent="0.2"/>
    <row r="263" s="120" customFormat="1" x14ac:dyDescent="0.2"/>
    <row r="264" s="120" customFormat="1" x14ac:dyDescent="0.2"/>
    <row r="265" s="120" customFormat="1" x14ac:dyDescent="0.2"/>
    <row r="266" s="120" customFormat="1" x14ac:dyDescent="0.2"/>
    <row r="267" s="120" customFormat="1" x14ac:dyDescent="0.2"/>
    <row r="268" s="120" customFormat="1" x14ac:dyDescent="0.2"/>
    <row r="269" s="120" customFormat="1" x14ac:dyDescent="0.2"/>
    <row r="270" s="120" customFormat="1" x14ac:dyDescent="0.2"/>
    <row r="271" s="120" customFormat="1" x14ac:dyDescent="0.2"/>
    <row r="272" s="120" customFormat="1" x14ac:dyDescent="0.2"/>
    <row r="273" s="120" customFormat="1" x14ac:dyDescent="0.2"/>
    <row r="274" s="120" customFormat="1" x14ac:dyDescent="0.2"/>
    <row r="275" s="120" customFormat="1" x14ac:dyDescent="0.2"/>
    <row r="276" s="120" customFormat="1" x14ac:dyDescent="0.2"/>
    <row r="277" s="120" customFormat="1" x14ac:dyDescent="0.2"/>
    <row r="278" s="120" customFormat="1" x14ac:dyDescent="0.2"/>
    <row r="279" s="120" customFormat="1" x14ac:dyDescent="0.2"/>
    <row r="280" s="120" customFormat="1" x14ac:dyDescent="0.2"/>
    <row r="281" s="120" customFormat="1" x14ac:dyDescent="0.2"/>
    <row r="282" s="120" customFormat="1" x14ac:dyDescent="0.2"/>
    <row r="283" s="120" customFormat="1" x14ac:dyDescent="0.2"/>
    <row r="284" s="120" customFormat="1" x14ac:dyDescent="0.2"/>
    <row r="285" s="120" customFormat="1" x14ac:dyDescent="0.2"/>
    <row r="286" s="120" customFormat="1" x14ac:dyDescent="0.2"/>
    <row r="287" s="120" customFormat="1" x14ac:dyDescent="0.2"/>
    <row r="288" s="120" customFormat="1" x14ac:dyDescent="0.2"/>
    <row r="289" s="120" customFormat="1" x14ac:dyDescent="0.2"/>
    <row r="290" s="120" customFormat="1" x14ac:dyDescent="0.2"/>
    <row r="291" s="120" customFormat="1" x14ac:dyDescent="0.2"/>
    <row r="292" s="120" customFormat="1" x14ac:dyDescent="0.2"/>
    <row r="293" s="120" customFormat="1" x14ac:dyDescent="0.2"/>
    <row r="294" s="120" customFormat="1" x14ac:dyDescent="0.2"/>
    <row r="295" s="120" customFormat="1" x14ac:dyDescent="0.2"/>
    <row r="296" s="120" customFormat="1" x14ac:dyDescent="0.2"/>
    <row r="297" s="120" customFormat="1" x14ac:dyDescent="0.2"/>
    <row r="298" s="120" customFormat="1" x14ac:dyDescent="0.2"/>
    <row r="299" s="120" customFormat="1" x14ac:dyDescent="0.2"/>
    <row r="300" s="120" customFormat="1" x14ac:dyDescent="0.2"/>
    <row r="301" s="120" customFormat="1" x14ac:dyDescent="0.2"/>
    <row r="302" s="120" customFormat="1" x14ac:dyDescent="0.2"/>
    <row r="303" s="120" customFormat="1" x14ac:dyDescent="0.2"/>
    <row r="304" s="120" customFormat="1" x14ac:dyDescent="0.2"/>
    <row r="305" s="120" customFormat="1" x14ac:dyDescent="0.2"/>
    <row r="306" s="120" customFormat="1" x14ac:dyDescent="0.2"/>
    <row r="307" s="120" customFormat="1" x14ac:dyDescent="0.2"/>
    <row r="308" s="120" customFormat="1" x14ac:dyDescent="0.2"/>
    <row r="309" s="120" customFormat="1" x14ac:dyDescent="0.2"/>
    <row r="310" s="120" customFormat="1" x14ac:dyDescent="0.2"/>
    <row r="311" s="120" customFormat="1" x14ac:dyDescent="0.2"/>
    <row r="312" s="120" customFormat="1" x14ac:dyDescent="0.2"/>
    <row r="313" s="120" customFormat="1" x14ac:dyDescent="0.2"/>
    <row r="314" s="120" customFormat="1" x14ac:dyDescent="0.2"/>
    <row r="315" s="120" customFormat="1" x14ac:dyDescent="0.2"/>
    <row r="316" s="120" customFormat="1" x14ac:dyDescent="0.2"/>
    <row r="317" s="120" customFormat="1" x14ac:dyDescent="0.2"/>
    <row r="318" s="120" customFormat="1" x14ac:dyDescent="0.2"/>
    <row r="319" s="120" customFormat="1" x14ac:dyDescent="0.2"/>
    <row r="320" s="120" customFormat="1" x14ac:dyDescent="0.2"/>
    <row r="321" s="120" customFormat="1" x14ac:dyDescent="0.2"/>
    <row r="322" s="120" customFormat="1" x14ac:dyDescent="0.2"/>
    <row r="323" s="120" customFormat="1" x14ac:dyDescent="0.2"/>
    <row r="324" s="120" customFormat="1" x14ac:dyDescent="0.2"/>
    <row r="325" s="120" customFormat="1" x14ac:dyDescent="0.2"/>
    <row r="326" s="120" customFormat="1" x14ac:dyDescent="0.2"/>
    <row r="327" s="120" customFormat="1" x14ac:dyDescent="0.2"/>
    <row r="328" s="120" customFormat="1" x14ac:dyDescent="0.2"/>
    <row r="329" s="120" customFormat="1" x14ac:dyDescent="0.2"/>
    <row r="330" s="120" customFormat="1" x14ac:dyDescent="0.2"/>
    <row r="331" s="120" customFormat="1" x14ac:dyDescent="0.2"/>
    <row r="332" s="120" customFormat="1" x14ac:dyDescent="0.2"/>
    <row r="333" s="120" customFormat="1" x14ac:dyDescent="0.2"/>
    <row r="334" s="120" customFormat="1" x14ac:dyDescent="0.2"/>
    <row r="335" s="120" customFormat="1" x14ac:dyDescent="0.2"/>
    <row r="336" s="120" customFormat="1" x14ac:dyDescent="0.2"/>
    <row r="337" s="120" customFormat="1" x14ac:dyDescent="0.2"/>
    <row r="338" s="120" customFormat="1" x14ac:dyDescent="0.2"/>
    <row r="339" s="120" customFormat="1" x14ac:dyDescent="0.2"/>
    <row r="340" s="120" customFormat="1" x14ac:dyDescent="0.2"/>
    <row r="341" s="120" customFormat="1" x14ac:dyDescent="0.2"/>
    <row r="342" s="120" customFormat="1" x14ac:dyDescent="0.2"/>
    <row r="343" s="120" customFormat="1" x14ac:dyDescent="0.2"/>
    <row r="344" s="120" customFormat="1" x14ac:dyDescent="0.2"/>
    <row r="345" s="120" customFormat="1" x14ac:dyDescent="0.2"/>
    <row r="346" s="120" customFormat="1" x14ac:dyDescent="0.2"/>
    <row r="347" s="120" customFormat="1" x14ac:dyDescent="0.2"/>
    <row r="348" s="120" customFormat="1" x14ac:dyDescent="0.2"/>
    <row r="349" s="120" customFormat="1" x14ac:dyDescent="0.2"/>
    <row r="350" s="120" customFormat="1" x14ac:dyDescent="0.2"/>
    <row r="351" s="120" customFormat="1" x14ac:dyDescent="0.2"/>
    <row r="352" s="120" customFormat="1" x14ac:dyDescent="0.2"/>
    <row r="353" s="120" customFormat="1" x14ac:dyDescent="0.2"/>
    <row r="354" s="120" customFormat="1" x14ac:dyDescent="0.2"/>
    <row r="355" s="120" customFormat="1" x14ac:dyDescent="0.2"/>
    <row r="356" s="120" customFormat="1" x14ac:dyDescent="0.2"/>
    <row r="357" s="120" customFormat="1" x14ac:dyDescent="0.2"/>
    <row r="358" s="120" customFormat="1" x14ac:dyDescent="0.2"/>
    <row r="359" s="120" customFormat="1" x14ac:dyDescent="0.2"/>
    <row r="360" s="120" customFormat="1" x14ac:dyDescent="0.2"/>
    <row r="361" s="120" customFormat="1" x14ac:dyDescent="0.2"/>
    <row r="362" s="120" customFormat="1" x14ac:dyDescent="0.2"/>
    <row r="363" s="120" customFormat="1" x14ac:dyDescent="0.2"/>
    <row r="364" s="120" customFormat="1" x14ac:dyDescent="0.2"/>
    <row r="365" s="120" customFormat="1" x14ac:dyDescent="0.2"/>
    <row r="366" s="120" customFormat="1" x14ac:dyDescent="0.2"/>
    <row r="367" s="120" customFormat="1" x14ac:dyDescent="0.2"/>
    <row r="368" s="120" customFormat="1" x14ac:dyDescent="0.2"/>
    <row r="369" s="120" customFormat="1" x14ac:dyDescent="0.2"/>
    <row r="370" s="120" customFormat="1" x14ac:dyDescent="0.2"/>
    <row r="371" s="120" customFormat="1" x14ac:dyDescent="0.2"/>
    <row r="372" s="120" customFormat="1" x14ac:dyDescent="0.2"/>
    <row r="373" s="120" customFormat="1" x14ac:dyDescent="0.2"/>
    <row r="374" s="120" customFormat="1" x14ac:dyDescent="0.2"/>
    <row r="375" s="120" customFormat="1" x14ac:dyDescent="0.2"/>
    <row r="376" s="120" customFormat="1" x14ac:dyDescent="0.2"/>
    <row r="377" s="120" customFormat="1" x14ac:dyDescent="0.2"/>
    <row r="378" s="120" customFormat="1" x14ac:dyDescent="0.2"/>
    <row r="379" s="120" customFormat="1" x14ac:dyDescent="0.2"/>
    <row r="380" s="120" customFormat="1" x14ac:dyDescent="0.2"/>
    <row r="381" s="120" customFormat="1" x14ac:dyDescent="0.2"/>
    <row r="382" s="120" customFormat="1" x14ac:dyDescent="0.2"/>
    <row r="383" s="120" customFormat="1" x14ac:dyDescent="0.2"/>
    <row r="384" s="120" customFormat="1" x14ac:dyDescent="0.2"/>
    <row r="385" s="120" customFormat="1" x14ac:dyDescent="0.2"/>
    <row r="386" s="120" customFormat="1" x14ac:dyDescent="0.2"/>
    <row r="387" s="120" customFormat="1" x14ac:dyDescent="0.2"/>
    <row r="388" s="120" customFormat="1" x14ac:dyDescent="0.2"/>
    <row r="389" s="120" customFormat="1" x14ac:dyDescent="0.2"/>
    <row r="390" s="120" customFormat="1" x14ac:dyDescent="0.2"/>
    <row r="391" s="120" customFormat="1" x14ac:dyDescent="0.2"/>
    <row r="392" s="120" customFormat="1" x14ac:dyDescent="0.2"/>
    <row r="393" s="120" customFormat="1" x14ac:dyDescent="0.2"/>
    <row r="394" s="120" customFormat="1" x14ac:dyDescent="0.2"/>
    <row r="395" s="120" customFormat="1" x14ac:dyDescent="0.2"/>
    <row r="396" s="120" customFormat="1" x14ac:dyDescent="0.2"/>
    <row r="397" s="120" customFormat="1" x14ac:dyDescent="0.2"/>
    <row r="398" s="120" customFormat="1" x14ac:dyDescent="0.2"/>
    <row r="399" s="120" customFormat="1" x14ac:dyDescent="0.2"/>
    <row r="400" s="120" customFormat="1" x14ac:dyDescent="0.2"/>
    <row r="401" s="120" customFormat="1" x14ac:dyDescent="0.2"/>
    <row r="402" s="120" customFormat="1" x14ac:dyDescent="0.2"/>
    <row r="403" s="120" customFormat="1" x14ac:dyDescent="0.2"/>
    <row r="404" s="120" customFormat="1" x14ac:dyDescent="0.2"/>
    <row r="405" s="120" customFormat="1" x14ac:dyDescent="0.2"/>
    <row r="406" s="120" customFormat="1" x14ac:dyDescent="0.2"/>
    <row r="407" s="120" customFormat="1" x14ac:dyDescent="0.2"/>
    <row r="408" s="120" customFormat="1" x14ac:dyDescent="0.2"/>
    <row r="409" s="120" customFormat="1" x14ac:dyDescent="0.2"/>
    <row r="410" s="120" customFormat="1" x14ac:dyDescent="0.2"/>
    <row r="411" s="120" customFormat="1" x14ac:dyDescent="0.2"/>
    <row r="412" s="120" customFormat="1" x14ac:dyDescent="0.2"/>
    <row r="413" s="120" customFormat="1" x14ac:dyDescent="0.2"/>
    <row r="414" s="120" customFormat="1" x14ac:dyDescent="0.2"/>
    <row r="415" s="120" customFormat="1" x14ac:dyDescent="0.2"/>
    <row r="416" s="120" customFormat="1" x14ac:dyDescent="0.2"/>
    <row r="417" s="120" customFormat="1" x14ac:dyDescent="0.2"/>
    <row r="418" s="120" customFormat="1" x14ac:dyDescent="0.2"/>
    <row r="419" s="120" customFormat="1" x14ac:dyDescent="0.2"/>
    <row r="420" s="120" customFormat="1" x14ac:dyDescent="0.2"/>
    <row r="421" s="120" customFormat="1" x14ac:dyDescent="0.2"/>
    <row r="422" s="120" customFormat="1" x14ac:dyDescent="0.2"/>
    <row r="423" s="120" customFormat="1" x14ac:dyDescent="0.2"/>
    <row r="424" s="120" customFormat="1" x14ac:dyDescent="0.2"/>
    <row r="425" s="120" customFormat="1" x14ac:dyDescent="0.2"/>
    <row r="426" s="120" customFormat="1" x14ac:dyDescent="0.2"/>
    <row r="427" s="120" customFormat="1" x14ac:dyDescent="0.2"/>
    <row r="428" s="120" customFormat="1" x14ac:dyDescent="0.2"/>
    <row r="429" s="120" customFormat="1" x14ac:dyDescent="0.2"/>
    <row r="430" s="120" customFormat="1" x14ac:dyDescent="0.2"/>
    <row r="431" s="120" customFormat="1" x14ac:dyDescent="0.2"/>
    <row r="432" s="120" customFormat="1" x14ac:dyDescent="0.2"/>
    <row r="433" s="120" customFormat="1" x14ac:dyDescent="0.2"/>
    <row r="434" s="120" customFormat="1" x14ac:dyDescent="0.2"/>
    <row r="435" s="120" customFormat="1" x14ac:dyDescent="0.2"/>
    <row r="436" s="120" customFormat="1" x14ac:dyDescent="0.2"/>
    <row r="437" s="120" customFormat="1" x14ac:dyDescent="0.2"/>
    <row r="438" s="120" customFormat="1" x14ac:dyDescent="0.2"/>
    <row r="439" s="120" customFormat="1" x14ac:dyDescent="0.2"/>
    <row r="440" s="120" customFormat="1" x14ac:dyDescent="0.2"/>
    <row r="441" s="120" customFormat="1" x14ac:dyDescent="0.2"/>
    <row r="442" s="120" customFormat="1" x14ac:dyDescent="0.2"/>
    <row r="443" s="120" customFormat="1" x14ac:dyDescent="0.2"/>
    <row r="444" s="120" customFormat="1" x14ac:dyDescent="0.2"/>
    <row r="445" s="120" customFormat="1" x14ac:dyDescent="0.2"/>
    <row r="446" s="120" customFormat="1" x14ac:dyDescent="0.2"/>
    <row r="447" s="120" customFormat="1" x14ac:dyDescent="0.2"/>
    <row r="448" s="120" customFormat="1" x14ac:dyDescent="0.2"/>
    <row r="449" s="120" customFormat="1" x14ac:dyDescent="0.2"/>
    <row r="450" s="120" customFormat="1" x14ac:dyDescent="0.2"/>
    <row r="451" s="120" customFormat="1" x14ac:dyDescent="0.2"/>
    <row r="452" s="120" customFormat="1" x14ac:dyDescent="0.2"/>
    <row r="453" s="120" customFormat="1" x14ac:dyDescent="0.2"/>
    <row r="454" s="120" customFormat="1" x14ac:dyDescent="0.2"/>
    <row r="455" s="120" customFormat="1" x14ac:dyDescent="0.2"/>
    <row r="456" s="120" customFormat="1" x14ac:dyDescent="0.2"/>
    <row r="457" s="120" customFormat="1" x14ac:dyDescent="0.2"/>
    <row r="458" s="120" customFormat="1" x14ac:dyDescent="0.2"/>
    <row r="459" s="120" customFormat="1" x14ac:dyDescent="0.2"/>
    <row r="460" s="120" customFormat="1" x14ac:dyDescent="0.2"/>
    <row r="461" s="120" customFormat="1" x14ac:dyDescent="0.2"/>
    <row r="462" s="120" customFormat="1" x14ac:dyDescent="0.2"/>
    <row r="463" s="120" customFormat="1" x14ac:dyDescent="0.2"/>
    <row r="464" s="120" customFormat="1" x14ac:dyDescent="0.2"/>
    <row r="465" s="120" customFormat="1" x14ac:dyDescent="0.2"/>
    <row r="466" s="120" customFormat="1" x14ac:dyDescent="0.2"/>
    <row r="467" s="120" customFormat="1" x14ac:dyDescent="0.2"/>
    <row r="468" s="120" customFormat="1" x14ac:dyDescent="0.2"/>
    <row r="469" s="120" customFormat="1" x14ac:dyDescent="0.2"/>
    <row r="470" s="120" customFormat="1" x14ac:dyDescent="0.2"/>
    <row r="471" s="120" customFormat="1" x14ac:dyDescent="0.2"/>
    <row r="472" s="120" customFormat="1" x14ac:dyDescent="0.2"/>
    <row r="473" s="120" customFormat="1" x14ac:dyDescent="0.2"/>
    <row r="474" s="120" customFormat="1" x14ac:dyDescent="0.2"/>
    <row r="475" s="120" customFormat="1" x14ac:dyDescent="0.2"/>
    <row r="476" s="120" customFormat="1" x14ac:dyDescent="0.2"/>
    <row r="477" s="120" customFormat="1" x14ac:dyDescent="0.2"/>
    <row r="478" s="120" customFormat="1" x14ac:dyDescent="0.2"/>
    <row r="479" s="120" customFormat="1" x14ac:dyDescent="0.2"/>
    <row r="480" s="120" customFormat="1" x14ac:dyDescent="0.2"/>
    <row r="481" s="120" customFormat="1" x14ac:dyDescent="0.2"/>
    <row r="482" s="120" customFormat="1" x14ac:dyDescent="0.2"/>
    <row r="483" s="120" customFormat="1" x14ac:dyDescent="0.2"/>
    <row r="484" s="120" customFormat="1" x14ac:dyDescent="0.2"/>
    <row r="485" s="120" customFormat="1" x14ac:dyDescent="0.2"/>
    <row r="486" s="120" customFormat="1" x14ac:dyDescent="0.2"/>
    <row r="487" s="120" customFormat="1" x14ac:dyDescent="0.2"/>
    <row r="488" s="120" customFormat="1" x14ac:dyDescent="0.2"/>
    <row r="489" s="120" customFormat="1" x14ac:dyDescent="0.2"/>
    <row r="490" s="120" customFormat="1" x14ac:dyDescent="0.2"/>
    <row r="491" s="120" customFormat="1" x14ac:dyDescent="0.2"/>
    <row r="492" s="120" customFormat="1" x14ac:dyDescent="0.2"/>
    <row r="493" s="120" customFormat="1" x14ac:dyDescent="0.2"/>
    <row r="494" s="120" customFormat="1" x14ac:dyDescent="0.2"/>
    <row r="495" s="120" customFormat="1" x14ac:dyDescent="0.2"/>
    <row r="496" s="120" customFormat="1" x14ac:dyDescent="0.2"/>
    <row r="497" s="120" customFormat="1" x14ac:dyDescent="0.2"/>
    <row r="498" s="120" customFormat="1" x14ac:dyDescent="0.2"/>
    <row r="499" s="120" customFormat="1" x14ac:dyDescent="0.2"/>
    <row r="500" s="120" customFormat="1" x14ac:dyDescent="0.2"/>
    <row r="501" s="120" customFormat="1" x14ac:dyDescent="0.2"/>
    <row r="502" s="120" customFormat="1" x14ac:dyDescent="0.2"/>
    <row r="503" s="120" customFormat="1" x14ac:dyDescent="0.2"/>
    <row r="504" s="120" customFormat="1" x14ac:dyDescent="0.2"/>
    <row r="505" s="120" customFormat="1" x14ac:dyDescent="0.2"/>
    <row r="506" s="120" customFormat="1" x14ac:dyDescent="0.2"/>
    <row r="507" s="120" customFormat="1" x14ac:dyDescent="0.2"/>
    <row r="508" s="120" customFormat="1" x14ac:dyDescent="0.2"/>
    <row r="509" s="120" customFormat="1" x14ac:dyDescent="0.2"/>
    <row r="510" s="120" customFormat="1" x14ac:dyDescent="0.2"/>
    <row r="511" s="120" customFormat="1" x14ac:dyDescent="0.2"/>
    <row r="512" s="120" customFormat="1" x14ac:dyDescent="0.2"/>
    <row r="513" s="120" customFormat="1" x14ac:dyDescent="0.2"/>
    <row r="514" s="120" customFormat="1" x14ac:dyDescent="0.2"/>
    <row r="515" s="120" customFormat="1" x14ac:dyDescent="0.2"/>
    <row r="516" s="120" customFormat="1" x14ac:dyDescent="0.2"/>
    <row r="517" s="120" customFormat="1" x14ac:dyDescent="0.2"/>
    <row r="518" s="120" customFormat="1" x14ac:dyDescent="0.2"/>
    <row r="519" s="120" customFormat="1" x14ac:dyDescent="0.2"/>
    <row r="520" s="120" customFormat="1" x14ac:dyDescent="0.2"/>
    <row r="521" s="120" customFormat="1" x14ac:dyDescent="0.2"/>
    <row r="522" s="120" customFormat="1" x14ac:dyDescent="0.2"/>
    <row r="523" s="120" customFormat="1" x14ac:dyDescent="0.2"/>
    <row r="524" s="120" customFormat="1" x14ac:dyDescent="0.2"/>
    <row r="525" s="120" customFormat="1" x14ac:dyDescent="0.2"/>
    <row r="526" s="120" customFormat="1" x14ac:dyDescent="0.2"/>
    <row r="527" s="120" customFormat="1" x14ac:dyDescent="0.2"/>
    <row r="528" s="120" customFormat="1" x14ac:dyDescent="0.2"/>
    <row r="529" s="120" customFormat="1" x14ac:dyDescent="0.2"/>
    <row r="530" s="120" customFormat="1" x14ac:dyDescent="0.2"/>
    <row r="531" s="120" customFormat="1" x14ac:dyDescent="0.2"/>
    <row r="532" s="120" customFormat="1" x14ac:dyDescent="0.2"/>
    <row r="533" s="120" customFormat="1" x14ac:dyDescent="0.2"/>
    <row r="534" s="120" customFormat="1" x14ac:dyDescent="0.2"/>
    <row r="535" s="120" customFormat="1" x14ac:dyDescent="0.2"/>
    <row r="536" s="120" customFormat="1" x14ac:dyDescent="0.2"/>
    <row r="537" s="120" customFormat="1" x14ac:dyDescent="0.2"/>
    <row r="538" s="120" customFormat="1" x14ac:dyDescent="0.2"/>
    <row r="539" s="120" customFormat="1" x14ac:dyDescent="0.2"/>
    <row r="540" s="120" customFormat="1" x14ac:dyDescent="0.2"/>
    <row r="541" s="120" customFormat="1" x14ac:dyDescent="0.2"/>
    <row r="542" s="120" customFormat="1" x14ac:dyDescent="0.2"/>
    <row r="543" s="120" customFormat="1" x14ac:dyDescent="0.2"/>
    <row r="544" s="120" customFormat="1" x14ac:dyDescent="0.2"/>
    <row r="545" s="120" customFormat="1" x14ac:dyDescent="0.2"/>
    <row r="546" s="120" customFormat="1" x14ac:dyDescent="0.2"/>
    <row r="547" s="120" customFormat="1" x14ac:dyDescent="0.2"/>
    <row r="548" s="120" customFormat="1" x14ac:dyDescent="0.2"/>
    <row r="549" s="120" customFormat="1" x14ac:dyDescent="0.2"/>
    <row r="550" s="120" customFormat="1" x14ac:dyDescent="0.2"/>
    <row r="551" s="120" customFormat="1" x14ac:dyDescent="0.2"/>
    <row r="552" s="120" customFormat="1" x14ac:dyDescent="0.2"/>
    <row r="553" s="120" customFormat="1" x14ac:dyDescent="0.2"/>
    <row r="554" s="120" customFormat="1" x14ac:dyDescent="0.2"/>
    <row r="555" s="120" customFormat="1" x14ac:dyDescent="0.2"/>
    <row r="556" s="120" customFormat="1" x14ac:dyDescent="0.2"/>
    <row r="557" s="120" customFormat="1" x14ac:dyDescent="0.2"/>
    <row r="558" s="120" customFormat="1" x14ac:dyDescent="0.2"/>
    <row r="559" s="120" customFormat="1" x14ac:dyDescent="0.2"/>
    <row r="560" s="120" customFormat="1" x14ac:dyDescent="0.2"/>
    <row r="561" s="120" customFormat="1" x14ac:dyDescent="0.2"/>
    <row r="562" s="120" customFormat="1" x14ac:dyDescent="0.2"/>
    <row r="563" s="120" customFormat="1" x14ac:dyDescent="0.2"/>
    <row r="564" s="120" customFormat="1" x14ac:dyDescent="0.2"/>
    <row r="565" s="120" customFormat="1" x14ac:dyDescent="0.2"/>
    <row r="566" s="120" customFormat="1" x14ac:dyDescent="0.2"/>
    <row r="567" s="120" customFormat="1" x14ac:dyDescent="0.2"/>
    <row r="568" s="120" customFormat="1" x14ac:dyDescent="0.2"/>
    <row r="569" s="120" customFormat="1" x14ac:dyDescent="0.2"/>
    <row r="570" s="120" customFormat="1" x14ac:dyDescent="0.2"/>
    <row r="571" s="120" customFormat="1" x14ac:dyDescent="0.2"/>
    <row r="572" s="120" customFormat="1" x14ac:dyDescent="0.2"/>
    <row r="573" s="120" customFormat="1" x14ac:dyDescent="0.2"/>
    <row r="574" s="120" customFormat="1" x14ac:dyDescent="0.2"/>
    <row r="575" s="120" customFormat="1" x14ac:dyDescent="0.2"/>
    <row r="576" s="120" customFormat="1" x14ac:dyDescent="0.2"/>
    <row r="577" s="120" customFormat="1" x14ac:dyDescent="0.2"/>
    <row r="578" s="120" customFormat="1" x14ac:dyDescent="0.2"/>
    <row r="579" s="120" customFormat="1" x14ac:dyDescent="0.2"/>
    <row r="580" s="120" customFormat="1" x14ac:dyDescent="0.2"/>
    <row r="581" s="120" customFormat="1" x14ac:dyDescent="0.2"/>
    <row r="582" s="120" customFormat="1" x14ac:dyDescent="0.2"/>
    <row r="583" s="120" customFormat="1" x14ac:dyDescent="0.2"/>
    <row r="584" s="120" customFormat="1" x14ac:dyDescent="0.2"/>
    <row r="585" s="120" customFormat="1" x14ac:dyDescent="0.2"/>
    <row r="586" s="120" customFormat="1" x14ac:dyDescent="0.2"/>
    <row r="587" s="120" customFormat="1" x14ac:dyDescent="0.2"/>
    <row r="588" s="120" customFormat="1" x14ac:dyDescent="0.2"/>
    <row r="589" s="120" customFormat="1" x14ac:dyDescent="0.2"/>
    <row r="590" s="120" customFormat="1" x14ac:dyDescent="0.2"/>
    <row r="591" s="120" customFormat="1" x14ac:dyDescent="0.2"/>
    <row r="592" s="120" customFormat="1" x14ac:dyDescent="0.2"/>
    <row r="593" s="120" customFormat="1" x14ac:dyDescent="0.2"/>
    <row r="594" s="120" customFormat="1" x14ac:dyDescent="0.2"/>
    <row r="595" s="120" customFormat="1" x14ac:dyDescent="0.2"/>
    <row r="596" s="120" customFormat="1" x14ac:dyDescent="0.2"/>
    <row r="597" s="120" customFormat="1" x14ac:dyDescent="0.2"/>
    <row r="598" s="120" customFormat="1" x14ac:dyDescent="0.2"/>
    <row r="599" s="120" customFormat="1" x14ac:dyDescent="0.2"/>
    <row r="600" s="120" customFormat="1" x14ac:dyDescent="0.2"/>
    <row r="601" s="120" customFormat="1" x14ac:dyDescent="0.2"/>
    <row r="602" s="120" customFormat="1" x14ac:dyDescent="0.2"/>
    <row r="603" s="120" customFormat="1" x14ac:dyDescent="0.2"/>
    <row r="604" s="120" customFormat="1" x14ac:dyDescent="0.2"/>
    <row r="605" s="120" customFormat="1" x14ac:dyDescent="0.2"/>
    <row r="606" s="120" customFormat="1" x14ac:dyDescent="0.2"/>
    <row r="607" s="120" customFormat="1" x14ac:dyDescent="0.2"/>
    <row r="608" s="120" customFormat="1" x14ac:dyDescent="0.2"/>
    <row r="609" s="120" customFormat="1" x14ac:dyDescent="0.2"/>
    <row r="610" s="120" customFormat="1" x14ac:dyDescent="0.2"/>
    <row r="611" s="120" customFormat="1" x14ac:dyDescent="0.2"/>
    <row r="612" s="120" customFormat="1" x14ac:dyDescent="0.2"/>
    <row r="613" s="120" customFormat="1" x14ac:dyDescent="0.2"/>
    <row r="614" s="120" customFormat="1" x14ac:dyDescent="0.2"/>
    <row r="615" s="120" customFormat="1" x14ac:dyDescent="0.2"/>
    <row r="616" s="120" customFormat="1" x14ac:dyDescent="0.2"/>
    <row r="617" s="120" customFormat="1" x14ac:dyDescent="0.2"/>
    <row r="618" s="120" customFormat="1" x14ac:dyDescent="0.2"/>
    <row r="619" s="120" customFormat="1" x14ac:dyDescent="0.2"/>
    <row r="620" s="120" customFormat="1" x14ac:dyDescent="0.2"/>
    <row r="621" s="120" customFormat="1" x14ac:dyDescent="0.2"/>
    <row r="622" s="120" customFormat="1" x14ac:dyDescent="0.2"/>
    <row r="623" s="120" customFormat="1" x14ac:dyDescent="0.2"/>
    <row r="624" s="120" customFormat="1" x14ac:dyDescent="0.2"/>
    <row r="625" s="120" customFormat="1" x14ac:dyDescent="0.2"/>
    <row r="626" s="120" customFormat="1" x14ac:dyDescent="0.2"/>
    <row r="627" s="120" customFormat="1" x14ac:dyDescent="0.2"/>
    <row r="628" s="120" customFormat="1" x14ac:dyDescent="0.2"/>
    <row r="629" s="120" customFormat="1" x14ac:dyDescent="0.2"/>
    <row r="630" s="120" customFormat="1" x14ac:dyDescent="0.2"/>
    <row r="631" s="120" customFormat="1" x14ac:dyDescent="0.2"/>
    <row r="632" s="120" customFormat="1" x14ac:dyDescent="0.2"/>
    <row r="633" s="120" customFormat="1" x14ac:dyDescent="0.2"/>
    <row r="634" s="120" customFormat="1" x14ac:dyDescent="0.2"/>
    <row r="635" s="120" customFormat="1" x14ac:dyDescent="0.2"/>
    <row r="636" s="120" customFormat="1" x14ac:dyDescent="0.2"/>
    <row r="637" s="120" customFormat="1" x14ac:dyDescent="0.2"/>
    <row r="638" s="120" customFormat="1" x14ac:dyDescent="0.2"/>
    <row r="639" s="120" customFormat="1" x14ac:dyDescent="0.2"/>
    <row r="640" s="120" customFormat="1" x14ac:dyDescent="0.2"/>
    <row r="641" s="120" customFormat="1" x14ac:dyDescent="0.2"/>
    <row r="642" s="120" customFormat="1" x14ac:dyDescent="0.2"/>
    <row r="643" s="120" customFormat="1" x14ac:dyDescent="0.2"/>
    <row r="644" s="120" customFormat="1" x14ac:dyDescent="0.2"/>
    <row r="645" s="120" customFormat="1" x14ac:dyDescent="0.2"/>
    <row r="646" s="120" customFormat="1" x14ac:dyDescent="0.2"/>
    <row r="647" s="120" customFormat="1" x14ac:dyDescent="0.2"/>
    <row r="648" s="120" customFormat="1" x14ac:dyDescent="0.2"/>
    <row r="649" s="120" customFormat="1" x14ac:dyDescent="0.2"/>
    <row r="650" s="120" customFormat="1" x14ac:dyDescent="0.2"/>
    <row r="651" s="120" customFormat="1" x14ac:dyDescent="0.2"/>
    <row r="652" s="120" customFormat="1" x14ac:dyDescent="0.2"/>
    <row r="653" s="120" customFormat="1" x14ac:dyDescent="0.2"/>
    <row r="654" s="120" customFormat="1" x14ac:dyDescent="0.2"/>
    <row r="655" s="120" customFormat="1" x14ac:dyDescent="0.2"/>
    <row r="656" s="120" customFormat="1" x14ac:dyDescent="0.2"/>
    <row r="657" s="120" customFormat="1" x14ac:dyDescent="0.2"/>
    <row r="658" s="120" customFormat="1" x14ac:dyDescent="0.2"/>
    <row r="659" s="120" customFormat="1" x14ac:dyDescent="0.2"/>
    <row r="660" s="120" customFormat="1" x14ac:dyDescent="0.2"/>
    <row r="661" s="120" customFormat="1" x14ac:dyDescent="0.2"/>
    <row r="662" s="120" customFormat="1" x14ac:dyDescent="0.2"/>
    <row r="663" s="120" customFormat="1" x14ac:dyDescent="0.2"/>
    <row r="664" s="120" customFormat="1" x14ac:dyDescent="0.2"/>
    <row r="665" s="120" customFormat="1" x14ac:dyDescent="0.2"/>
    <row r="666" s="120" customFormat="1" x14ac:dyDescent="0.2"/>
    <row r="667" s="120" customFormat="1" x14ac:dyDescent="0.2"/>
    <row r="668" s="120" customFormat="1" x14ac:dyDescent="0.2"/>
    <row r="669" s="120" customFormat="1" x14ac:dyDescent="0.2"/>
    <row r="670" s="120" customFormat="1" x14ac:dyDescent="0.2"/>
    <row r="671" s="120" customFormat="1" x14ac:dyDescent="0.2"/>
    <row r="672" s="120" customFormat="1" x14ac:dyDescent="0.2"/>
    <row r="673" s="120" customFormat="1" x14ac:dyDescent="0.2"/>
    <row r="674" s="120" customFormat="1" x14ac:dyDescent="0.2"/>
    <row r="675" s="120" customFormat="1" x14ac:dyDescent="0.2"/>
    <row r="676" s="120" customFormat="1" x14ac:dyDescent="0.2"/>
    <row r="677" s="120" customFormat="1" x14ac:dyDescent="0.2"/>
    <row r="678" s="120" customFormat="1" x14ac:dyDescent="0.2"/>
    <row r="679" s="120" customFormat="1" x14ac:dyDescent="0.2"/>
    <row r="680" s="120" customFormat="1" x14ac:dyDescent="0.2"/>
    <row r="681" s="120" customFormat="1" x14ac:dyDescent="0.2"/>
    <row r="682" s="120" customFormat="1" x14ac:dyDescent="0.2"/>
    <row r="683" s="120" customFormat="1" x14ac:dyDescent="0.2"/>
    <row r="684" s="120" customFormat="1" x14ac:dyDescent="0.2"/>
    <row r="685" s="120" customFormat="1" x14ac:dyDescent="0.2"/>
    <row r="686" s="120" customFormat="1" x14ac:dyDescent="0.2"/>
    <row r="687" s="120" customFormat="1" x14ac:dyDescent="0.2"/>
    <row r="688" s="120" customFormat="1" x14ac:dyDescent="0.2"/>
    <row r="689" s="120" customFormat="1" x14ac:dyDescent="0.2"/>
    <row r="690" s="120" customFormat="1" x14ac:dyDescent="0.2"/>
    <row r="691" s="120" customFormat="1" x14ac:dyDescent="0.2"/>
    <row r="692" s="120" customFormat="1" x14ac:dyDescent="0.2"/>
    <row r="693" s="120" customFormat="1" x14ac:dyDescent="0.2"/>
    <row r="694" s="120" customFormat="1" x14ac:dyDescent="0.2"/>
    <row r="695" s="120" customFormat="1" x14ac:dyDescent="0.2"/>
    <row r="696" s="120" customFormat="1" x14ac:dyDescent="0.2"/>
    <row r="697" s="120" customFormat="1" x14ac:dyDescent="0.2"/>
    <row r="698" s="120" customFormat="1" x14ac:dyDescent="0.2"/>
    <row r="699" s="120" customFormat="1" x14ac:dyDescent="0.2"/>
    <row r="700" s="120" customFormat="1" x14ac:dyDescent="0.2"/>
    <row r="701" s="120" customFormat="1" x14ac:dyDescent="0.2"/>
    <row r="702" s="120" customFormat="1" x14ac:dyDescent="0.2"/>
    <row r="703" s="120" customFormat="1" x14ac:dyDescent="0.2"/>
    <row r="704" s="120" customFormat="1" x14ac:dyDescent="0.2"/>
    <row r="705" s="120" customFormat="1" x14ac:dyDescent="0.2"/>
    <row r="706" s="120" customFormat="1" x14ac:dyDescent="0.2"/>
    <row r="707" s="120" customFormat="1" x14ac:dyDescent="0.2"/>
    <row r="708" s="120" customFormat="1" x14ac:dyDescent="0.2"/>
    <row r="709" s="120" customFormat="1" x14ac:dyDescent="0.2"/>
    <row r="710" s="120" customFormat="1" x14ac:dyDescent="0.2"/>
    <row r="711" s="120" customFormat="1" x14ac:dyDescent="0.2"/>
    <row r="712" s="120" customFormat="1" x14ac:dyDescent="0.2"/>
    <row r="713" s="120" customFormat="1" x14ac:dyDescent="0.2"/>
    <row r="714" s="120" customFormat="1" x14ac:dyDescent="0.2"/>
    <row r="715" s="120" customFormat="1" x14ac:dyDescent="0.2"/>
    <row r="716" s="120" customFormat="1" x14ac:dyDescent="0.2"/>
    <row r="717" s="120" customFormat="1" x14ac:dyDescent="0.2"/>
    <row r="718" s="120" customFormat="1" x14ac:dyDescent="0.2"/>
    <row r="719" s="120" customFormat="1" x14ac:dyDescent="0.2"/>
    <row r="720" s="120" customFormat="1" x14ac:dyDescent="0.2"/>
    <row r="721" s="120" customFormat="1" x14ac:dyDescent="0.2"/>
    <row r="722" s="120" customFormat="1" x14ac:dyDescent="0.2"/>
    <row r="723" s="120" customFormat="1" x14ac:dyDescent="0.2"/>
    <row r="724" s="120" customFormat="1" x14ac:dyDescent="0.2"/>
    <row r="725" s="120" customFormat="1" x14ac:dyDescent="0.2"/>
    <row r="726" s="120" customFormat="1" x14ac:dyDescent="0.2"/>
    <row r="727" s="120" customFormat="1" x14ac:dyDescent="0.2"/>
    <row r="728" s="120" customFormat="1" x14ac:dyDescent="0.2"/>
    <row r="729" s="120" customFormat="1" x14ac:dyDescent="0.2"/>
    <row r="730" s="120" customFormat="1" x14ac:dyDescent="0.2"/>
    <row r="731" s="120" customFormat="1" x14ac:dyDescent="0.2"/>
    <row r="732" s="120" customFormat="1" x14ac:dyDescent="0.2"/>
    <row r="733" s="120" customFormat="1" x14ac:dyDescent="0.2"/>
    <row r="734" s="120" customFormat="1" x14ac:dyDescent="0.2"/>
    <row r="735" s="120" customFormat="1" x14ac:dyDescent="0.2"/>
    <row r="736" s="120" customFormat="1" x14ac:dyDescent="0.2"/>
    <row r="737" s="120" customFormat="1" x14ac:dyDescent="0.2"/>
    <row r="738" s="120" customFormat="1" x14ac:dyDescent="0.2"/>
    <row r="739" s="120" customFormat="1" x14ac:dyDescent="0.2"/>
    <row r="740" s="120" customFormat="1" x14ac:dyDescent="0.2"/>
    <row r="741" s="120" customFormat="1" x14ac:dyDescent="0.2"/>
    <row r="742" s="120" customFormat="1" x14ac:dyDescent="0.2"/>
    <row r="743" s="120" customFormat="1" x14ac:dyDescent="0.2"/>
    <row r="744" s="120" customFormat="1" x14ac:dyDescent="0.2"/>
    <row r="745" s="120" customFormat="1" x14ac:dyDescent="0.2"/>
    <row r="746" s="120" customFormat="1" x14ac:dyDescent="0.2"/>
    <row r="747" s="120" customFormat="1" x14ac:dyDescent="0.2"/>
    <row r="748" s="120" customFormat="1" x14ac:dyDescent="0.2"/>
    <row r="749" s="120" customFormat="1" x14ac:dyDescent="0.2"/>
    <row r="750" s="120" customFormat="1" x14ac:dyDescent="0.2"/>
    <row r="751" s="120" customFormat="1" x14ac:dyDescent="0.2"/>
    <row r="752" s="120" customFormat="1" x14ac:dyDescent="0.2"/>
    <row r="753" s="120" customFormat="1" x14ac:dyDescent="0.2"/>
    <row r="754" s="120" customFormat="1" x14ac:dyDescent="0.2"/>
    <row r="755" s="120" customFormat="1" x14ac:dyDescent="0.2"/>
    <row r="756" s="120" customFormat="1" x14ac:dyDescent="0.2"/>
    <row r="757" s="120" customFormat="1" x14ac:dyDescent="0.2"/>
    <row r="758" s="120" customFormat="1" x14ac:dyDescent="0.2"/>
    <row r="759" s="120" customFormat="1" x14ac:dyDescent="0.2"/>
    <row r="760" s="120" customFormat="1" x14ac:dyDescent="0.2"/>
    <row r="761" s="120" customFormat="1" x14ac:dyDescent="0.2"/>
    <row r="762" s="120" customFormat="1" x14ac:dyDescent="0.2"/>
    <row r="763" s="120" customFormat="1" x14ac:dyDescent="0.2"/>
    <row r="764" s="120" customFormat="1" x14ac:dyDescent="0.2"/>
    <row r="765" s="120" customFormat="1" x14ac:dyDescent="0.2"/>
    <row r="766" s="120" customFormat="1" x14ac:dyDescent="0.2"/>
    <row r="767" s="120" customFormat="1" x14ac:dyDescent="0.2"/>
    <row r="768" s="120" customFormat="1" x14ac:dyDescent="0.2"/>
    <row r="769" s="120" customFormat="1" x14ac:dyDescent="0.2"/>
    <row r="770" s="120" customFormat="1" x14ac:dyDescent="0.2"/>
    <row r="771" s="120" customFormat="1" x14ac:dyDescent="0.2"/>
    <row r="772" s="120" customFormat="1" x14ac:dyDescent="0.2"/>
    <row r="773" s="120" customFormat="1" x14ac:dyDescent="0.2"/>
    <row r="774" s="120" customFormat="1" x14ac:dyDescent="0.2"/>
    <row r="775" s="120" customFormat="1" x14ac:dyDescent="0.2"/>
    <row r="776" s="120" customFormat="1" x14ac:dyDescent="0.2"/>
    <row r="777" s="120" customFormat="1" x14ac:dyDescent="0.2"/>
    <row r="778" s="120" customFormat="1" x14ac:dyDescent="0.2"/>
    <row r="779" s="120" customFormat="1" x14ac:dyDescent="0.2"/>
    <row r="780" s="120" customFormat="1" x14ac:dyDescent="0.2"/>
    <row r="781" s="120" customFormat="1" x14ac:dyDescent="0.2"/>
    <row r="782" s="120" customFormat="1" x14ac:dyDescent="0.2"/>
    <row r="783" s="120" customFormat="1" x14ac:dyDescent="0.2"/>
    <row r="784" s="120" customFormat="1" x14ac:dyDescent="0.2"/>
    <row r="785" s="120" customFormat="1" x14ac:dyDescent="0.2"/>
    <row r="786" s="120" customFormat="1" x14ac:dyDescent="0.2"/>
    <row r="787" s="120" customFormat="1" x14ac:dyDescent="0.2"/>
    <row r="788" s="120" customFormat="1" x14ac:dyDescent="0.2"/>
    <row r="789" s="120" customFormat="1" x14ac:dyDescent="0.2"/>
    <row r="790" s="120" customFormat="1" x14ac:dyDescent="0.2"/>
    <row r="791" s="120" customFormat="1" x14ac:dyDescent="0.2"/>
    <row r="792" s="120" customFormat="1" x14ac:dyDescent="0.2"/>
    <row r="793" s="120" customFormat="1" x14ac:dyDescent="0.2"/>
    <row r="794" s="120" customFormat="1" x14ac:dyDescent="0.2"/>
    <row r="795" s="120" customFormat="1" x14ac:dyDescent="0.2"/>
    <row r="796" s="120" customFormat="1" x14ac:dyDescent="0.2"/>
    <row r="797" s="120" customFormat="1" x14ac:dyDescent="0.2"/>
    <row r="798" s="120" customFormat="1" x14ac:dyDescent="0.2"/>
    <row r="799" s="120" customFormat="1" x14ac:dyDescent="0.2"/>
    <row r="800" s="120" customFormat="1" x14ac:dyDescent="0.2"/>
    <row r="801" s="120" customFormat="1" x14ac:dyDescent="0.2"/>
    <row r="802" s="120" customFormat="1" x14ac:dyDescent="0.2"/>
    <row r="803" s="120" customFormat="1" x14ac:dyDescent="0.2"/>
    <row r="804" s="120" customFormat="1" x14ac:dyDescent="0.2"/>
    <row r="805" s="120" customFormat="1" x14ac:dyDescent="0.2"/>
    <row r="806" s="120" customFormat="1" x14ac:dyDescent="0.2"/>
    <row r="807" s="120" customFormat="1" x14ac:dyDescent="0.2"/>
    <row r="808" s="120" customFormat="1" x14ac:dyDescent="0.2"/>
    <row r="809" s="120" customFormat="1" x14ac:dyDescent="0.2"/>
    <row r="810" s="120" customFormat="1" x14ac:dyDescent="0.2"/>
    <row r="811" s="120" customFormat="1" x14ac:dyDescent="0.2"/>
    <row r="812" s="120" customFormat="1" x14ac:dyDescent="0.2"/>
    <row r="813" s="120" customFormat="1" x14ac:dyDescent="0.2"/>
    <row r="814" s="120" customFormat="1" x14ac:dyDescent="0.2"/>
    <row r="815" s="120" customFormat="1" x14ac:dyDescent="0.2"/>
    <row r="816" s="120" customFormat="1" x14ac:dyDescent="0.2"/>
    <row r="817" s="120" customFormat="1" x14ac:dyDescent="0.2"/>
    <row r="818" s="120" customFormat="1" x14ac:dyDescent="0.2"/>
    <row r="819" s="120" customFormat="1" x14ac:dyDescent="0.2"/>
    <row r="820" s="120" customFormat="1" x14ac:dyDescent="0.2"/>
    <row r="821" s="120" customFormat="1" x14ac:dyDescent="0.2"/>
    <row r="822" s="120" customFormat="1" x14ac:dyDescent="0.2"/>
    <row r="823" s="120" customFormat="1" x14ac:dyDescent="0.2"/>
    <row r="824" s="120" customFormat="1" x14ac:dyDescent="0.2"/>
    <row r="825" s="120" customFormat="1" x14ac:dyDescent="0.2"/>
    <row r="826" s="120" customFormat="1" x14ac:dyDescent="0.2"/>
    <row r="827" s="120" customFormat="1" x14ac:dyDescent="0.2"/>
    <row r="828" s="120" customFormat="1" x14ac:dyDescent="0.2"/>
    <row r="829" s="120" customFormat="1" x14ac:dyDescent="0.2"/>
    <row r="830" s="120" customFormat="1" x14ac:dyDescent="0.2"/>
    <row r="831" s="120" customFormat="1" x14ac:dyDescent="0.2"/>
    <row r="832" s="120" customFormat="1" x14ac:dyDescent="0.2"/>
    <row r="833" s="120" customFormat="1" x14ac:dyDescent="0.2"/>
    <row r="834" s="120" customFormat="1" x14ac:dyDescent="0.2"/>
    <row r="835" s="120" customFormat="1" x14ac:dyDescent="0.2"/>
    <row r="836" s="120" customFormat="1" x14ac:dyDescent="0.2"/>
    <row r="837" s="120" customFormat="1" x14ac:dyDescent="0.2"/>
    <row r="838" s="120" customFormat="1" x14ac:dyDescent="0.2"/>
    <row r="839" s="120" customFormat="1" x14ac:dyDescent="0.2"/>
    <row r="840" s="120" customFormat="1" x14ac:dyDescent="0.2"/>
    <row r="841" s="120" customFormat="1" x14ac:dyDescent="0.2"/>
    <row r="842" s="120" customFormat="1" x14ac:dyDescent="0.2"/>
    <row r="843" s="120" customFormat="1" x14ac:dyDescent="0.2"/>
    <row r="844" s="120" customFormat="1" x14ac:dyDescent="0.2"/>
    <row r="845" s="120" customFormat="1" x14ac:dyDescent="0.2"/>
    <row r="846" s="120" customFormat="1" x14ac:dyDescent="0.2"/>
    <row r="847" s="120" customFormat="1" x14ac:dyDescent="0.2"/>
    <row r="848" s="120" customFormat="1" x14ac:dyDescent="0.2"/>
    <row r="849" s="120" customFormat="1" x14ac:dyDescent="0.2"/>
    <row r="850" s="120" customFormat="1" x14ac:dyDescent="0.2"/>
    <row r="851" s="120" customFormat="1" x14ac:dyDescent="0.2"/>
    <row r="852" s="120" customFormat="1" x14ac:dyDescent="0.2"/>
    <row r="853" s="120" customFormat="1" x14ac:dyDescent="0.2"/>
    <row r="854" s="120" customFormat="1" x14ac:dyDescent="0.2"/>
    <row r="855" s="120" customFormat="1" x14ac:dyDescent="0.2"/>
    <row r="856" s="120" customFormat="1" x14ac:dyDescent="0.2"/>
    <row r="857" s="120" customFormat="1" x14ac:dyDescent="0.2"/>
    <row r="858" s="120" customFormat="1" x14ac:dyDescent="0.2"/>
    <row r="859" s="120" customFormat="1" x14ac:dyDescent="0.2"/>
    <row r="860" s="120" customFormat="1" x14ac:dyDescent="0.2"/>
    <row r="861" s="120" customFormat="1" x14ac:dyDescent="0.2"/>
    <row r="862" s="120" customFormat="1" x14ac:dyDescent="0.2"/>
    <row r="863" s="120" customFormat="1" x14ac:dyDescent="0.2"/>
    <row r="864" s="120" customFormat="1" x14ac:dyDescent="0.2"/>
    <row r="865" s="120" customFormat="1" x14ac:dyDescent="0.2"/>
    <row r="866" s="120" customFormat="1" x14ac:dyDescent="0.2"/>
    <row r="867" s="120" customFormat="1" x14ac:dyDescent="0.2"/>
    <row r="868" s="120" customFormat="1" x14ac:dyDescent="0.2"/>
    <row r="869" s="120" customFormat="1" x14ac:dyDescent="0.2"/>
    <row r="870" s="120" customFormat="1" x14ac:dyDescent="0.2"/>
    <row r="871" s="120" customFormat="1" x14ac:dyDescent="0.2"/>
    <row r="872" s="120" customFormat="1" x14ac:dyDescent="0.2"/>
    <row r="873" s="120" customFormat="1" x14ac:dyDescent="0.2"/>
    <row r="874" s="120" customFormat="1" x14ac:dyDescent="0.2"/>
    <row r="875" s="120" customFormat="1" x14ac:dyDescent="0.2"/>
    <row r="876" s="120" customFormat="1" x14ac:dyDescent="0.2"/>
    <row r="877" s="120" customFormat="1" x14ac:dyDescent="0.2"/>
    <row r="878" s="120" customFormat="1" x14ac:dyDescent="0.2"/>
    <row r="879" s="120" customFormat="1" x14ac:dyDescent="0.2"/>
    <row r="880" s="120" customFormat="1" x14ac:dyDescent="0.2"/>
    <row r="881" s="120" customFormat="1" x14ac:dyDescent="0.2"/>
    <row r="882" s="120" customFormat="1" x14ac:dyDescent="0.2"/>
    <row r="883" s="120" customFormat="1" x14ac:dyDescent="0.2"/>
    <row r="884" s="120" customFormat="1" x14ac:dyDescent="0.2"/>
    <row r="885" s="120" customFormat="1" x14ac:dyDescent="0.2"/>
    <row r="886" s="120" customFormat="1" x14ac:dyDescent="0.2"/>
    <row r="887" s="120" customFormat="1" x14ac:dyDescent="0.2"/>
    <row r="888" s="120" customFormat="1" x14ac:dyDescent="0.2"/>
    <row r="889" s="120" customFormat="1" x14ac:dyDescent="0.2"/>
    <row r="890" s="120" customFormat="1" x14ac:dyDescent="0.2"/>
    <row r="891" s="120" customFormat="1" x14ac:dyDescent="0.2"/>
    <row r="892" s="120" customFormat="1" x14ac:dyDescent="0.2"/>
    <row r="893" s="120" customFormat="1" x14ac:dyDescent="0.2"/>
    <row r="894" s="120" customFormat="1" x14ac:dyDescent="0.2"/>
    <row r="895" s="120" customFormat="1" x14ac:dyDescent="0.2"/>
    <row r="896" s="120" customFormat="1" x14ac:dyDescent="0.2"/>
    <row r="897" s="120" customFormat="1" x14ac:dyDescent="0.2"/>
    <row r="898" s="120" customFormat="1" x14ac:dyDescent="0.2"/>
    <row r="899" s="120" customFormat="1" x14ac:dyDescent="0.2"/>
    <row r="900" s="120" customFormat="1" x14ac:dyDescent="0.2"/>
    <row r="901" s="120" customFormat="1" x14ac:dyDescent="0.2"/>
    <row r="902" s="120" customFormat="1" x14ac:dyDescent="0.2"/>
    <row r="903" s="120" customFormat="1" x14ac:dyDescent="0.2"/>
    <row r="904" s="120" customFormat="1" x14ac:dyDescent="0.2"/>
    <row r="905" s="120" customFormat="1" x14ac:dyDescent="0.2"/>
    <row r="906" s="120" customFormat="1" x14ac:dyDescent="0.2"/>
    <row r="907" s="120" customFormat="1" x14ac:dyDescent="0.2"/>
    <row r="908" s="120" customFormat="1" x14ac:dyDescent="0.2"/>
    <row r="909" s="120" customFormat="1" x14ac:dyDescent="0.2"/>
    <row r="910" s="120" customFormat="1" x14ac:dyDescent="0.2"/>
    <row r="911" s="120" customFormat="1" x14ac:dyDescent="0.2"/>
    <row r="912" s="120" customFormat="1" x14ac:dyDescent="0.2"/>
    <row r="913" s="120" customFormat="1" x14ac:dyDescent="0.2"/>
    <row r="914" s="120" customFormat="1" x14ac:dyDescent="0.2"/>
    <row r="915" s="120" customFormat="1" x14ac:dyDescent="0.2"/>
    <row r="916" s="120" customFormat="1" x14ac:dyDescent="0.2"/>
    <row r="917" s="120" customFormat="1" x14ac:dyDescent="0.2"/>
    <row r="918" s="120" customFormat="1" x14ac:dyDescent="0.2"/>
    <row r="919" s="120" customFormat="1" x14ac:dyDescent="0.2"/>
    <row r="920" s="120" customFormat="1" x14ac:dyDescent="0.2"/>
    <row r="921" s="120" customFormat="1" x14ac:dyDescent="0.2"/>
    <row r="922" s="120" customFormat="1" x14ac:dyDescent="0.2"/>
    <row r="923" s="120" customFormat="1" x14ac:dyDescent="0.2"/>
    <row r="924" s="120" customFormat="1" x14ac:dyDescent="0.2"/>
    <row r="925" s="120" customFormat="1" x14ac:dyDescent="0.2"/>
    <row r="926" s="120" customFormat="1" x14ac:dyDescent="0.2"/>
    <row r="927" s="120" customFormat="1" x14ac:dyDescent="0.2"/>
    <row r="928" s="120" customFormat="1" x14ac:dyDescent="0.2"/>
    <row r="929" s="120" customFormat="1" x14ac:dyDescent="0.2"/>
    <row r="930" s="120" customFormat="1" x14ac:dyDescent="0.2"/>
    <row r="931" s="120" customFormat="1" x14ac:dyDescent="0.2"/>
    <row r="932" s="120" customFormat="1" x14ac:dyDescent="0.2"/>
    <row r="933" s="120" customFormat="1" x14ac:dyDescent="0.2"/>
    <row r="934" s="120" customFormat="1" x14ac:dyDescent="0.2"/>
    <row r="935" s="120" customFormat="1" x14ac:dyDescent="0.2"/>
    <row r="936" s="120" customFormat="1" x14ac:dyDescent="0.2"/>
    <row r="937" s="120" customFormat="1" x14ac:dyDescent="0.2"/>
    <row r="938" s="120" customFormat="1" x14ac:dyDescent="0.2"/>
    <row r="939" s="120" customFormat="1" x14ac:dyDescent="0.2"/>
    <row r="940" s="120" customFormat="1" x14ac:dyDescent="0.2"/>
    <row r="941" s="120" customFormat="1" x14ac:dyDescent="0.2"/>
    <row r="942" s="120" customFormat="1" x14ac:dyDescent="0.2"/>
    <row r="943" s="120" customFormat="1" x14ac:dyDescent="0.2"/>
    <row r="944" s="120" customFormat="1" x14ac:dyDescent="0.2"/>
    <row r="945" s="120" customFormat="1" x14ac:dyDescent="0.2"/>
    <row r="946" s="120" customFormat="1" x14ac:dyDescent="0.2"/>
    <row r="947" s="120" customFormat="1" x14ac:dyDescent="0.2"/>
    <row r="948" s="120" customFormat="1" x14ac:dyDescent="0.2"/>
    <row r="949" s="120" customFormat="1" x14ac:dyDescent="0.2"/>
    <row r="950" s="120" customFormat="1" x14ac:dyDescent="0.2"/>
    <row r="951" s="120" customFormat="1" x14ac:dyDescent="0.2"/>
    <row r="952" s="120" customFormat="1" x14ac:dyDescent="0.2"/>
    <row r="953" s="120" customFormat="1" x14ac:dyDescent="0.2"/>
    <row r="954" s="120" customFormat="1" x14ac:dyDescent="0.2"/>
    <row r="955" s="120" customFormat="1" x14ac:dyDescent="0.2"/>
    <row r="956" s="120" customFormat="1" x14ac:dyDescent="0.2"/>
    <row r="957" s="120" customFormat="1" x14ac:dyDescent="0.2"/>
    <row r="958" s="120" customFormat="1" x14ac:dyDescent="0.2"/>
    <row r="959" s="120" customFormat="1" x14ac:dyDescent="0.2"/>
    <row r="960" s="120" customFormat="1" x14ac:dyDescent="0.2"/>
    <row r="961" s="120" customFormat="1" x14ac:dyDescent="0.2"/>
    <row r="962" s="120" customFormat="1" x14ac:dyDescent="0.2"/>
    <row r="963" s="120" customFormat="1" x14ac:dyDescent="0.2"/>
    <row r="964" s="120" customFormat="1" x14ac:dyDescent="0.2"/>
    <row r="965" s="120" customFormat="1" x14ac:dyDescent="0.2"/>
    <row r="966" s="120" customFormat="1" x14ac:dyDescent="0.2"/>
    <row r="967" s="120" customFormat="1" x14ac:dyDescent="0.2"/>
    <row r="968" s="120" customFormat="1" x14ac:dyDescent="0.2"/>
    <row r="969" s="120" customFormat="1" x14ac:dyDescent="0.2"/>
    <row r="970" s="120" customFormat="1" x14ac:dyDescent="0.2"/>
    <row r="971" s="120" customFormat="1" x14ac:dyDescent="0.2"/>
    <row r="972" s="120" customFormat="1" x14ac:dyDescent="0.2"/>
    <row r="973" s="120" customFormat="1" x14ac:dyDescent="0.2"/>
    <row r="974" s="120" customFormat="1" x14ac:dyDescent="0.2"/>
    <row r="975" s="120" customFormat="1" x14ac:dyDescent="0.2"/>
    <row r="976" s="120" customFormat="1" x14ac:dyDescent="0.2"/>
    <row r="977" s="120" customFormat="1" x14ac:dyDescent="0.2"/>
    <row r="978" s="120" customFormat="1" x14ac:dyDescent="0.2"/>
    <row r="979" s="120" customFormat="1" x14ac:dyDescent="0.2"/>
    <row r="980" s="120" customFormat="1" x14ac:dyDescent="0.2"/>
    <row r="981" s="120" customFormat="1" x14ac:dyDescent="0.2"/>
    <row r="982" s="120" customFormat="1" x14ac:dyDescent="0.2"/>
    <row r="983" s="120" customFormat="1" x14ac:dyDescent="0.2"/>
    <row r="984" s="120" customFormat="1" x14ac:dyDescent="0.2"/>
    <row r="985" s="120" customFormat="1" x14ac:dyDescent="0.2"/>
    <row r="986" s="120" customFormat="1" x14ac:dyDescent="0.2"/>
    <row r="987" s="120" customFormat="1" x14ac:dyDescent="0.2"/>
    <row r="988" s="120" customFormat="1" x14ac:dyDescent="0.2"/>
    <row r="989" s="120" customFormat="1" x14ac:dyDescent="0.2"/>
    <row r="990" s="120" customFormat="1" x14ac:dyDescent="0.2"/>
    <row r="991" s="120" customFormat="1" x14ac:dyDescent="0.2"/>
    <row r="992" s="120" customFormat="1" x14ac:dyDescent="0.2"/>
    <row r="993" s="120" customFormat="1" x14ac:dyDescent="0.2"/>
    <row r="994" s="120" customFormat="1" x14ac:dyDescent="0.2"/>
    <row r="995" s="120" customFormat="1" x14ac:dyDescent="0.2"/>
    <row r="996" s="120" customFormat="1" x14ac:dyDescent="0.2"/>
    <row r="997" s="120" customFormat="1" x14ac:dyDescent="0.2"/>
    <row r="998" s="120" customFormat="1" x14ac:dyDescent="0.2"/>
    <row r="999" s="120" customFormat="1" x14ac:dyDescent="0.2"/>
    <row r="1000" s="120" customFormat="1" x14ac:dyDescent="0.2"/>
    <row r="1001" s="120" customFormat="1" x14ac:dyDescent="0.2"/>
    <row r="1002" s="120" customFormat="1" x14ac:dyDescent="0.2"/>
    <row r="1003" s="120" customFormat="1" x14ac:dyDescent="0.2"/>
    <row r="1004" s="120" customFormat="1" x14ac:dyDescent="0.2"/>
    <row r="1005" s="120" customFormat="1" x14ac:dyDescent="0.2"/>
    <row r="1006" s="120" customFormat="1" x14ac:dyDescent="0.2"/>
    <row r="1007" s="120" customFormat="1" x14ac:dyDescent="0.2"/>
    <row r="1008" s="120" customFormat="1" x14ac:dyDescent="0.2"/>
    <row r="1009" s="120" customFormat="1" x14ac:dyDescent="0.2"/>
    <row r="1010" s="120" customFormat="1" x14ac:dyDescent="0.2"/>
    <row r="1011" s="120" customFormat="1" x14ac:dyDescent="0.2"/>
    <row r="1012" s="120" customFormat="1" x14ac:dyDescent="0.2"/>
    <row r="1013" s="120" customFormat="1" x14ac:dyDescent="0.2"/>
    <row r="1014" s="120" customFormat="1" x14ac:dyDescent="0.2"/>
    <row r="1015" s="120" customFormat="1" x14ac:dyDescent="0.2"/>
    <row r="1016" s="120" customFormat="1" x14ac:dyDescent="0.2"/>
    <row r="1017" s="120" customFormat="1" x14ac:dyDescent="0.2"/>
    <row r="1018" s="120" customFormat="1" x14ac:dyDescent="0.2"/>
    <row r="1019" s="120" customFormat="1" x14ac:dyDescent="0.2"/>
    <row r="1020" s="120" customFormat="1" x14ac:dyDescent="0.2"/>
    <row r="1021" s="120" customFormat="1" x14ac:dyDescent="0.2"/>
    <row r="1022" s="120" customFormat="1" x14ac:dyDescent="0.2"/>
    <row r="1023" s="120" customFormat="1" x14ac:dyDescent="0.2"/>
    <row r="1024" s="120" customFormat="1" x14ac:dyDescent="0.2"/>
    <row r="1025" s="120" customFormat="1" x14ac:dyDescent="0.2"/>
    <row r="1026" s="120" customFormat="1" x14ac:dyDescent="0.2"/>
    <row r="1027" s="120" customFormat="1" x14ac:dyDescent="0.2"/>
    <row r="1028" s="120" customFormat="1" x14ac:dyDescent="0.2"/>
    <row r="1029" s="120" customFormat="1" x14ac:dyDescent="0.2"/>
    <row r="1030" s="120" customFormat="1" x14ac:dyDescent="0.2"/>
    <row r="1031" s="120" customFormat="1" x14ac:dyDescent="0.2"/>
    <row r="1032" s="120" customFormat="1" x14ac:dyDescent="0.2"/>
    <row r="1033" s="120" customFormat="1" x14ac:dyDescent="0.2"/>
    <row r="1034" s="120" customFormat="1" x14ac:dyDescent="0.2"/>
    <row r="1035" s="120" customFormat="1" x14ac:dyDescent="0.2"/>
    <row r="1036" s="120" customFormat="1" x14ac:dyDescent="0.2"/>
    <row r="1037" s="120" customFormat="1" x14ac:dyDescent="0.2"/>
    <row r="1038" s="120" customFormat="1" x14ac:dyDescent="0.2"/>
    <row r="1039" s="120" customFormat="1" x14ac:dyDescent="0.2"/>
    <row r="1040" s="120" customFormat="1" x14ac:dyDescent="0.2"/>
    <row r="1041" s="120" customFormat="1" x14ac:dyDescent="0.2"/>
    <row r="1042" s="120" customFormat="1" x14ac:dyDescent="0.2"/>
    <row r="1043" s="120" customFormat="1" x14ac:dyDescent="0.2"/>
    <row r="1044" s="120" customFormat="1" x14ac:dyDescent="0.2"/>
    <row r="1045" s="120" customFormat="1" x14ac:dyDescent="0.2"/>
    <row r="1046" s="120" customFormat="1" x14ac:dyDescent="0.2"/>
    <row r="1047" s="120" customFormat="1" x14ac:dyDescent="0.2"/>
    <row r="1048" s="120" customFormat="1" x14ac:dyDescent="0.2"/>
    <row r="1049" s="120" customFormat="1" x14ac:dyDescent="0.2"/>
    <row r="1050" s="120" customFormat="1" x14ac:dyDescent="0.2"/>
    <row r="1051" s="120" customFormat="1" x14ac:dyDescent="0.2"/>
    <row r="1052" s="120" customFormat="1" x14ac:dyDescent="0.2"/>
  </sheetData>
  <mergeCells count="26">
    <mergeCell ref="A37:AG39"/>
    <mergeCell ref="Q43:AF43"/>
    <mergeCell ref="A44:I44"/>
    <mergeCell ref="Q44:AF44"/>
    <mergeCell ref="A43:F43"/>
    <mergeCell ref="G43:K43"/>
    <mergeCell ref="A18:E18"/>
    <mergeCell ref="F18:R18"/>
    <mergeCell ref="S18:W18"/>
    <mergeCell ref="A33:AG33"/>
    <mergeCell ref="A19:AG19"/>
    <mergeCell ref="C20:L20"/>
    <mergeCell ref="M20:P20"/>
    <mergeCell ref="Q20:T20"/>
    <mergeCell ref="U20:Y20"/>
    <mergeCell ref="Z20:AE20"/>
    <mergeCell ref="A24:J24"/>
    <mergeCell ref="K24:AG24"/>
    <mergeCell ref="I25:AG25"/>
    <mergeCell ref="A29:AG29"/>
    <mergeCell ref="A30:AG30"/>
    <mergeCell ref="A8:AG10"/>
    <mergeCell ref="A13:I13"/>
    <mergeCell ref="J13:Q13"/>
    <mergeCell ref="R13:AG13"/>
    <mergeCell ref="A16:H16"/>
  </mergeCells>
  <pageMargins left="0.7" right="0.7" top="0.75" bottom="0.75" header="0.3" footer="0.3"/>
  <pageSetup paperSize="9" scale="8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5:T65"/>
  <sheetViews>
    <sheetView showGridLines="0" zoomScaleNormal="100" zoomScaleSheetLayoutView="80" workbookViewId="0"/>
  </sheetViews>
  <sheetFormatPr defaultColWidth="9.140625" defaultRowHeight="12.75" x14ac:dyDescent="0.2"/>
  <cols>
    <col min="1" max="1" width="2.7109375" style="2" customWidth="1"/>
    <col min="2" max="13" width="3.28515625" style="2" customWidth="1"/>
    <col min="14" max="14" width="4.5703125" style="2" customWidth="1"/>
    <col min="15" max="15" width="10.28515625" style="2" customWidth="1"/>
    <col min="16" max="16" width="9.140625" style="2"/>
    <col min="17" max="17" width="9.28515625" style="2" customWidth="1"/>
    <col min="18" max="18" width="8" style="2" customWidth="1"/>
    <col min="19" max="19" width="16.140625" style="2" customWidth="1"/>
    <col min="20" max="16384" width="9.140625" style="2"/>
  </cols>
  <sheetData>
    <row r="5" spans="1:19" ht="13.5" thickBot="1" x14ac:dyDescent="0.25"/>
    <row r="6" spans="1:19" x14ac:dyDescent="0.2">
      <c r="A6" s="7"/>
      <c r="B6" s="7"/>
      <c r="C6" s="7"/>
      <c r="D6" s="7"/>
      <c r="E6" s="7"/>
      <c r="F6" s="7"/>
      <c r="G6" s="7"/>
      <c r="H6" s="7"/>
      <c r="I6" s="7"/>
      <c r="J6" s="7"/>
      <c r="K6" s="7"/>
      <c r="L6" s="7"/>
      <c r="M6" s="7"/>
      <c r="N6" s="7"/>
      <c r="O6" s="7"/>
      <c r="P6" s="7"/>
      <c r="Q6" s="7"/>
      <c r="R6" s="7"/>
      <c r="S6" s="7"/>
    </row>
    <row r="7" spans="1:19" x14ac:dyDescent="0.2">
      <c r="S7" s="18" t="s">
        <v>106</v>
      </c>
    </row>
    <row r="8" spans="1:19" x14ac:dyDescent="0.2">
      <c r="A8" s="577" t="str">
        <f>'1.Kwestionariusz'!O18</f>
        <v/>
      </c>
      <c r="B8" s="578"/>
      <c r="C8" s="578"/>
      <c r="D8" s="578"/>
      <c r="E8" s="578"/>
      <c r="F8" s="578"/>
      <c r="G8" s="578"/>
      <c r="H8" s="578"/>
      <c r="I8" s="578"/>
      <c r="J8" s="578"/>
      <c r="K8" s="578"/>
      <c r="L8" s="578"/>
      <c r="M8" s="578"/>
    </row>
    <row r="9" spans="1:19" x14ac:dyDescent="0.2">
      <c r="A9" s="458" t="s">
        <v>17</v>
      </c>
      <c r="B9" s="458"/>
      <c r="C9" s="458"/>
      <c r="D9" s="458"/>
      <c r="E9" s="458"/>
      <c r="F9" s="458"/>
      <c r="G9" s="458"/>
      <c r="H9" s="458"/>
      <c r="I9" s="458"/>
      <c r="J9" s="458"/>
      <c r="K9" s="458"/>
      <c r="L9" s="458"/>
      <c r="M9" s="458"/>
    </row>
    <row r="10" spans="1:19" x14ac:dyDescent="0.2">
      <c r="A10" s="16"/>
      <c r="B10" s="16"/>
      <c r="C10" s="16"/>
      <c r="D10" s="16"/>
      <c r="E10" s="16"/>
      <c r="F10" s="16"/>
      <c r="G10" s="16"/>
      <c r="H10" s="16"/>
      <c r="I10" s="16"/>
      <c r="J10" s="16"/>
      <c r="K10" s="16"/>
      <c r="L10" s="16"/>
      <c r="M10" s="16"/>
    </row>
    <row r="11" spans="1:19" x14ac:dyDescent="0.2">
      <c r="A11" s="577" t="str">
        <f>'1.Kwestionariusz'!B18</f>
        <v/>
      </c>
      <c r="B11" s="578"/>
      <c r="C11" s="578"/>
      <c r="D11" s="578"/>
      <c r="E11" s="578"/>
      <c r="F11" s="578"/>
      <c r="G11" s="578"/>
      <c r="H11" s="578"/>
      <c r="I11" s="578"/>
      <c r="J11" s="578"/>
      <c r="K11" s="578"/>
      <c r="L11" s="578"/>
      <c r="M11" s="578"/>
    </row>
    <row r="12" spans="1:19" x14ac:dyDescent="0.2">
      <c r="A12" s="458" t="s">
        <v>208</v>
      </c>
      <c r="B12" s="458"/>
      <c r="C12" s="458"/>
      <c r="D12" s="458"/>
      <c r="E12" s="458"/>
      <c r="F12" s="458"/>
      <c r="G12" s="458"/>
      <c r="H12" s="458"/>
      <c r="I12" s="458"/>
      <c r="J12" s="458"/>
      <c r="K12" s="458"/>
      <c r="L12" s="458"/>
      <c r="M12" s="458"/>
    </row>
    <row r="13" spans="1:19" ht="22.7" customHeight="1" x14ac:dyDescent="0.2">
      <c r="A13" s="575" t="s">
        <v>21</v>
      </c>
      <c r="B13" s="575"/>
      <c r="C13" s="575"/>
      <c r="D13" s="575"/>
      <c r="E13" s="575"/>
      <c r="F13" s="575"/>
      <c r="G13" s="575"/>
      <c r="H13" s="575"/>
      <c r="I13" s="575"/>
      <c r="J13" s="575"/>
      <c r="K13" s="575"/>
      <c r="L13" s="575"/>
      <c r="M13" s="575"/>
      <c r="N13" s="575"/>
      <c r="O13" s="575"/>
      <c r="P13" s="575"/>
      <c r="Q13" s="575"/>
      <c r="R13" s="575"/>
      <c r="S13" s="576"/>
    </row>
    <row r="14" spans="1:19" x14ac:dyDescent="0.2">
      <c r="A14" s="575" t="s">
        <v>18</v>
      </c>
      <c r="B14" s="575"/>
      <c r="C14" s="575"/>
      <c r="D14" s="575"/>
      <c r="E14" s="575"/>
      <c r="F14" s="575"/>
      <c r="G14" s="575"/>
      <c r="H14" s="575"/>
      <c r="I14" s="575"/>
      <c r="J14" s="575"/>
      <c r="K14" s="575"/>
      <c r="L14" s="575"/>
      <c r="M14" s="575"/>
      <c r="N14" s="575"/>
      <c r="O14" s="575"/>
      <c r="P14" s="575"/>
      <c r="Q14" s="575"/>
      <c r="R14" s="575"/>
      <c r="S14" s="576"/>
    </row>
    <row r="15" spans="1:19" x14ac:dyDescent="0.2">
      <c r="A15" s="575" t="s">
        <v>22</v>
      </c>
      <c r="B15" s="575"/>
      <c r="C15" s="575"/>
      <c r="D15" s="575"/>
      <c r="E15" s="575"/>
      <c r="F15" s="575"/>
      <c r="G15" s="575"/>
      <c r="H15" s="575"/>
      <c r="I15" s="575"/>
      <c r="J15" s="575"/>
      <c r="K15" s="575"/>
      <c r="L15" s="575"/>
      <c r="M15" s="575"/>
      <c r="N15" s="575"/>
      <c r="O15" s="575"/>
      <c r="P15" s="575"/>
      <c r="Q15" s="575"/>
      <c r="R15" s="575"/>
      <c r="S15" s="576"/>
    </row>
    <row r="17" spans="1:19" x14ac:dyDescent="0.2">
      <c r="A17" s="2" t="s">
        <v>19</v>
      </c>
    </row>
    <row r="18" spans="1:19" x14ac:dyDescent="0.2">
      <c r="A18" s="2" t="s">
        <v>20</v>
      </c>
    </row>
    <row r="20" spans="1:19" x14ac:dyDescent="0.2">
      <c r="A20" s="18" t="s">
        <v>23</v>
      </c>
      <c r="B20" s="18"/>
      <c r="C20" s="18"/>
      <c r="D20" s="18"/>
      <c r="E20" s="18"/>
      <c r="F20" s="18"/>
      <c r="G20" s="18"/>
      <c r="H20" s="18"/>
      <c r="I20" s="18"/>
      <c r="J20" s="18"/>
      <c r="K20" s="18"/>
      <c r="L20" s="18"/>
      <c r="M20" s="18"/>
      <c r="N20" s="18"/>
      <c r="O20" s="18"/>
    </row>
    <row r="21" spans="1:19" ht="7.5" customHeight="1" x14ac:dyDescent="0.2"/>
    <row r="22" spans="1:19" x14ac:dyDescent="0.2">
      <c r="A22" s="2" t="s">
        <v>48</v>
      </c>
      <c r="F22" s="11"/>
      <c r="G22" s="465" t="str">
        <f>IF('Dane personalne'!D11="","",'Dane personalne'!D11)</f>
        <v/>
      </c>
      <c r="H22" s="465"/>
      <c r="I22" s="465"/>
      <c r="J22" s="469"/>
      <c r="K22" s="465"/>
      <c r="L22" s="465"/>
      <c r="M22" s="465"/>
      <c r="N22" s="465"/>
      <c r="O22" s="465"/>
      <c r="P22" s="465" t="str">
        <f>IF('Dane personalne'!D12="","",'Dane personalne'!D12)</f>
        <v/>
      </c>
      <c r="Q22" s="465"/>
      <c r="R22" s="465"/>
      <c r="S22" s="465"/>
    </row>
    <row r="23" spans="1:19" ht="7.5" customHeight="1" x14ac:dyDescent="0.2"/>
    <row r="24" spans="1:19" x14ac:dyDescent="0.2">
      <c r="A24" s="2" t="s">
        <v>24</v>
      </c>
      <c r="F24" s="66" t="str">
        <f>'1.Kwestionariusz'!G15</f>
        <v/>
      </c>
      <c r="G24" s="66"/>
      <c r="H24" s="66"/>
      <c r="I24" s="66"/>
      <c r="J24" s="66"/>
      <c r="K24" s="66"/>
      <c r="L24" s="66"/>
      <c r="M24" s="66"/>
      <c r="O24" s="2" t="s">
        <v>25</v>
      </c>
      <c r="Q24" s="465" t="str">
        <f>'1.Kwestionariusz'!V15</f>
        <v/>
      </c>
      <c r="R24" s="465"/>
      <c r="S24" s="465"/>
    </row>
    <row r="25" spans="1:19" ht="7.5" customHeight="1" x14ac:dyDescent="0.2"/>
    <row r="26" spans="1:19" x14ac:dyDescent="0.2">
      <c r="A26" s="2" t="s">
        <v>26</v>
      </c>
      <c r="E26" s="565" t="str">
        <f>IF('Dane personalne'!D31="","",'Dane personalne'!D31)</f>
        <v/>
      </c>
      <c r="F26" s="565"/>
      <c r="G26" s="565"/>
      <c r="H26" s="565"/>
      <c r="I26" s="565"/>
      <c r="J26" s="565"/>
      <c r="K26" s="565"/>
      <c r="L26" s="565"/>
      <c r="M26" s="458" t="s">
        <v>27</v>
      </c>
      <c r="N26" s="458"/>
      <c r="O26" s="565" t="str">
        <f>IF('Dane personalne'!D30="","",'Dane personalne'!D30)</f>
        <v/>
      </c>
      <c r="P26" s="565"/>
      <c r="Q26" s="565"/>
      <c r="R26" s="565"/>
      <c r="S26" s="565"/>
    </row>
    <row r="27" spans="1:19" ht="6" customHeight="1" x14ac:dyDescent="0.2"/>
    <row r="28" spans="1:19" x14ac:dyDescent="0.2">
      <c r="A28" s="569" t="s">
        <v>28</v>
      </c>
      <c r="B28" s="569"/>
      <c r="C28" s="569"/>
      <c r="D28" s="565" t="str">
        <f>'2.R-k bankowy'!F18</f>
        <v/>
      </c>
      <c r="E28" s="565"/>
      <c r="F28" s="565"/>
      <c r="G28" s="565"/>
      <c r="H28" s="565"/>
      <c r="I28" s="2" t="s">
        <v>8</v>
      </c>
      <c r="K28" s="465" t="str">
        <f>'2.R-k bankowy'!C20</f>
        <v/>
      </c>
      <c r="L28" s="465"/>
      <c r="M28" s="465"/>
      <c r="N28" s="465"/>
      <c r="O28" s="465"/>
      <c r="P28" s="2" t="s">
        <v>178</v>
      </c>
      <c r="Q28" s="11" t="str">
        <f>'2.R-k bankowy'!Q20</f>
        <v xml:space="preserve">  </v>
      </c>
      <c r="S28" s="47"/>
    </row>
    <row r="29" spans="1:19" ht="6" customHeight="1" x14ac:dyDescent="0.2"/>
    <row r="30" spans="1:19" x14ac:dyDescent="0.2">
      <c r="A30" s="569" t="s">
        <v>29</v>
      </c>
      <c r="B30" s="569"/>
      <c r="C30" s="569"/>
      <c r="D30" s="569"/>
      <c r="E30" s="569"/>
      <c r="F30" s="13" t="str">
        <f>'2.R-k bankowy'!X18</f>
        <v/>
      </c>
      <c r="G30" s="13" t="str">
        <f>'2.R-k bankowy'!Y18</f>
        <v/>
      </c>
      <c r="H30" s="21" t="s">
        <v>13</v>
      </c>
      <c r="I30" s="13" t="str">
        <f>'2.R-k bankowy'!AA18</f>
        <v/>
      </c>
      <c r="J30" s="13" t="str">
        <f>'2.R-k bankowy'!AB18</f>
        <v/>
      </c>
      <c r="K30" s="13" t="str">
        <f>'2.R-k bankowy'!AC18</f>
        <v/>
      </c>
      <c r="N30" s="2" t="s">
        <v>30</v>
      </c>
      <c r="P30" s="465" t="str">
        <f>'2.R-k bankowy'!F18</f>
        <v/>
      </c>
      <c r="Q30" s="465"/>
      <c r="R30" s="465"/>
      <c r="S30" s="465"/>
    </row>
    <row r="31" spans="1:19" ht="9" customHeight="1" x14ac:dyDescent="0.2"/>
    <row r="32" spans="1:19" x14ac:dyDescent="0.2">
      <c r="A32" s="569" t="s">
        <v>126</v>
      </c>
      <c r="B32" s="569"/>
      <c r="C32" s="569"/>
      <c r="D32" s="569"/>
      <c r="E32" s="569"/>
      <c r="F32" s="569"/>
      <c r="G32" s="580" t="str">
        <f>IF('Dane personalne'!D48="","",'Dane personalne'!D48)</f>
        <v/>
      </c>
      <c r="H32" s="580"/>
      <c r="I32" s="580"/>
      <c r="J32" s="580"/>
      <c r="K32" s="580"/>
      <c r="L32" s="580"/>
      <c r="M32" s="580"/>
      <c r="N32" s="580"/>
      <c r="O32" s="580"/>
      <c r="P32" s="580"/>
      <c r="Q32" s="580"/>
      <c r="R32" s="348" t="s">
        <v>2383</v>
      </c>
      <c r="S32" s="19" t="str">
        <f>IF('Dane personalne'!D49="","",'Dane personalne'!D49)</f>
        <v/>
      </c>
    </row>
    <row r="33" spans="1:19" ht="9.75" customHeight="1" x14ac:dyDescent="0.2"/>
    <row r="34" spans="1:19" ht="7.5" customHeight="1" x14ac:dyDescent="0.2">
      <c r="S34" s="46"/>
    </row>
    <row r="35" spans="1:19" x14ac:dyDescent="0.2">
      <c r="A35" s="569" t="s">
        <v>31</v>
      </c>
      <c r="B35" s="569"/>
      <c r="C35" s="569"/>
      <c r="D35" s="569"/>
      <c r="E35" s="569"/>
      <c r="F35" s="569"/>
      <c r="G35" s="569"/>
      <c r="H35" s="569"/>
      <c r="I35" s="569"/>
      <c r="J35" s="465" t="str">
        <f>IF(const!$B$8="","",const!$B$8)</f>
        <v/>
      </c>
      <c r="K35" s="465"/>
      <c r="L35" s="465"/>
      <c r="M35" s="465"/>
      <c r="N35" s="465"/>
      <c r="O35" s="465"/>
      <c r="P35" s="465"/>
      <c r="Q35" s="465"/>
      <c r="R35" s="465"/>
      <c r="S35" s="465"/>
    </row>
    <row r="36" spans="1:19" x14ac:dyDescent="0.2">
      <c r="J36" s="579" t="s">
        <v>58</v>
      </c>
      <c r="K36" s="579"/>
      <c r="L36" s="579"/>
      <c r="M36" s="579"/>
      <c r="N36" s="579"/>
      <c r="O36" s="579"/>
      <c r="P36" s="579"/>
      <c r="Q36" s="579"/>
      <c r="R36" s="579"/>
      <c r="S36" s="579"/>
    </row>
    <row r="37" spans="1:19" x14ac:dyDescent="0.2">
      <c r="A37" s="569" t="s">
        <v>32</v>
      </c>
      <c r="B37" s="569"/>
      <c r="C37" s="569"/>
      <c r="D37" s="569"/>
      <c r="E37" s="569"/>
      <c r="F37" s="569"/>
      <c r="G37" s="569"/>
      <c r="H37" s="569"/>
      <c r="I37" s="569"/>
      <c r="J37" s="569"/>
      <c r="K37" s="569"/>
      <c r="L37" s="569"/>
      <c r="M37" s="569"/>
      <c r="N37" s="569"/>
      <c r="O37" s="569"/>
      <c r="P37" s="569"/>
      <c r="Q37" s="569"/>
      <c r="R37" s="569"/>
      <c r="S37" s="569"/>
    </row>
    <row r="38" spans="1:19" x14ac:dyDescent="0.2">
      <c r="A38" s="569" t="s">
        <v>33</v>
      </c>
      <c r="B38" s="569"/>
      <c r="C38" s="569"/>
      <c r="D38" s="569"/>
      <c r="E38" s="569"/>
      <c r="F38" s="569"/>
      <c r="G38" s="569"/>
      <c r="H38" s="569"/>
      <c r="I38" s="569"/>
      <c r="J38" s="569"/>
      <c r="K38" s="569"/>
      <c r="L38" s="569"/>
      <c r="M38" s="569"/>
      <c r="N38" s="569"/>
      <c r="O38" s="569"/>
      <c r="P38" s="569"/>
      <c r="Q38" s="569"/>
      <c r="R38" s="569"/>
      <c r="S38" s="569"/>
    </row>
    <row r="39" spans="1:19" x14ac:dyDescent="0.2">
      <c r="A39" s="2" t="s">
        <v>0</v>
      </c>
      <c r="B39" s="569" t="s">
        <v>209</v>
      </c>
      <c r="C39" s="569"/>
      <c r="D39" s="569"/>
      <c r="E39" s="569"/>
      <c r="F39" s="569"/>
      <c r="G39" s="569"/>
      <c r="H39" s="569"/>
      <c r="I39" s="569"/>
      <c r="J39" s="569"/>
      <c r="K39" s="569"/>
      <c r="L39" s="569"/>
      <c r="M39" s="569"/>
      <c r="N39" s="569"/>
      <c r="O39" s="569"/>
      <c r="P39" s="569"/>
      <c r="Q39" s="569"/>
      <c r="R39" s="569"/>
      <c r="S39" s="569"/>
    </row>
    <row r="40" spans="1:19" x14ac:dyDescent="0.2">
      <c r="A40" s="2" t="s">
        <v>1</v>
      </c>
      <c r="B40" s="569" t="s">
        <v>34</v>
      </c>
      <c r="C40" s="569"/>
      <c r="D40" s="569"/>
      <c r="E40" s="569"/>
      <c r="F40" s="569"/>
      <c r="G40" s="569"/>
      <c r="H40" s="569"/>
      <c r="I40" s="569"/>
      <c r="J40" s="569"/>
      <c r="K40" s="569"/>
      <c r="L40" s="569"/>
      <c r="M40" s="569"/>
      <c r="N40" s="569"/>
      <c r="O40" s="569"/>
      <c r="P40" s="569"/>
      <c r="Q40" s="569"/>
      <c r="R40" s="569"/>
      <c r="S40" s="569"/>
    </row>
    <row r="41" spans="1:19" x14ac:dyDescent="0.2">
      <c r="B41" s="569" t="s">
        <v>35</v>
      </c>
      <c r="C41" s="569"/>
      <c r="D41" s="569"/>
      <c r="E41" s="569"/>
      <c r="F41" s="569"/>
      <c r="G41" s="569"/>
      <c r="H41" s="569"/>
      <c r="I41" s="569"/>
      <c r="J41" s="569"/>
      <c r="K41" s="569"/>
      <c r="L41" s="569"/>
      <c r="M41" s="569"/>
      <c r="N41" s="569"/>
      <c r="O41" s="569"/>
      <c r="P41" s="569"/>
      <c r="Q41" s="569"/>
      <c r="R41" s="569"/>
      <c r="S41" s="569"/>
    </row>
    <row r="42" spans="1:19" x14ac:dyDescent="0.2">
      <c r="A42" s="2" t="s">
        <v>2</v>
      </c>
      <c r="B42" s="569" t="s">
        <v>210</v>
      </c>
      <c r="C42" s="569"/>
      <c r="D42" s="569"/>
      <c r="E42" s="569"/>
      <c r="F42" s="569"/>
      <c r="G42" s="569"/>
      <c r="H42" s="569"/>
      <c r="I42" s="569"/>
      <c r="J42" s="569"/>
      <c r="K42" s="569"/>
      <c r="L42" s="569"/>
      <c r="M42" s="569"/>
      <c r="N42" s="569"/>
      <c r="O42" s="569"/>
      <c r="P42" s="569"/>
      <c r="Q42" s="569"/>
      <c r="R42" s="569"/>
      <c r="S42" s="569"/>
    </row>
    <row r="43" spans="1:19" x14ac:dyDescent="0.2">
      <c r="A43" s="2" t="s">
        <v>211</v>
      </c>
      <c r="B43" s="4"/>
      <c r="C43" s="4"/>
      <c r="D43" s="4"/>
      <c r="E43" s="4"/>
      <c r="F43" s="4"/>
      <c r="G43" s="4"/>
      <c r="H43" s="4"/>
      <c r="I43" s="4"/>
      <c r="J43" s="4"/>
      <c r="K43" s="4"/>
      <c r="L43" s="4"/>
      <c r="M43" s="4"/>
      <c r="N43" s="4"/>
      <c r="O43" s="4"/>
      <c r="P43" s="4"/>
      <c r="Q43" s="4"/>
      <c r="R43" s="4"/>
      <c r="S43" s="4"/>
    </row>
    <row r="44" spans="1:19" x14ac:dyDescent="0.2">
      <c r="A44" s="2" t="s">
        <v>3</v>
      </c>
      <c r="B44" s="569" t="s">
        <v>127</v>
      </c>
      <c r="C44" s="569"/>
      <c r="D44" s="569"/>
      <c r="E44" s="569"/>
      <c r="F44" s="569"/>
      <c r="G44" s="569"/>
      <c r="H44" s="569"/>
      <c r="I44" s="569"/>
      <c r="J44" s="569"/>
      <c r="K44" s="569"/>
      <c r="L44" s="569"/>
      <c r="M44" s="569"/>
      <c r="N44" s="569"/>
      <c r="O44" s="569"/>
      <c r="P44" s="569"/>
      <c r="Q44" s="569"/>
      <c r="R44" s="569"/>
      <c r="S44" s="569"/>
    </row>
    <row r="45" spans="1:19" x14ac:dyDescent="0.2">
      <c r="B45" s="569" t="s">
        <v>36</v>
      </c>
      <c r="C45" s="569"/>
      <c r="D45" s="569"/>
      <c r="E45" s="569"/>
      <c r="F45" s="569"/>
      <c r="G45" s="569"/>
      <c r="H45" s="569"/>
      <c r="I45" s="569"/>
      <c r="J45" s="569"/>
      <c r="K45" s="569"/>
      <c r="L45" s="569"/>
      <c r="M45" s="569"/>
      <c r="N45" s="569"/>
      <c r="O45" s="569"/>
      <c r="P45" s="569"/>
      <c r="Q45" s="569"/>
      <c r="R45" s="569"/>
      <c r="S45" s="569"/>
    </row>
    <row r="46" spans="1:19" x14ac:dyDescent="0.2">
      <c r="B46" s="2" t="s">
        <v>13</v>
      </c>
      <c r="C46" s="2" t="s">
        <v>215</v>
      </c>
    </row>
    <row r="47" spans="1:19" x14ac:dyDescent="0.2">
      <c r="B47" s="2" t="s">
        <v>13</v>
      </c>
      <c r="C47" s="2" t="s">
        <v>128</v>
      </c>
    </row>
    <row r="49" spans="1:20" x14ac:dyDescent="0.2">
      <c r="A49" s="569" t="s">
        <v>39</v>
      </c>
      <c r="B49" s="569"/>
      <c r="C49" s="569"/>
      <c r="D49" s="569"/>
      <c r="E49" s="569"/>
      <c r="F49" s="569"/>
      <c r="G49" s="569"/>
      <c r="H49" s="569"/>
      <c r="I49" s="569"/>
      <c r="J49" s="569"/>
      <c r="K49" s="569"/>
      <c r="L49" s="569"/>
      <c r="M49" s="569"/>
      <c r="N49" s="569"/>
      <c r="O49" s="569"/>
      <c r="P49" s="569"/>
      <c r="Q49" s="569"/>
      <c r="R49" s="569"/>
      <c r="S49" s="569"/>
    </row>
    <row r="50" spans="1:20" x14ac:dyDescent="0.2">
      <c r="A50" s="569" t="s">
        <v>212</v>
      </c>
      <c r="B50" s="569"/>
      <c r="C50" s="569"/>
      <c r="D50" s="569"/>
      <c r="E50" s="569"/>
      <c r="F50" s="569"/>
      <c r="G50" s="569"/>
      <c r="H50" s="569"/>
      <c r="I50" s="569"/>
      <c r="J50" s="569"/>
      <c r="K50" s="569"/>
      <c r="L50" s="569"/>
      <c r="M50" s="569"/>
      <c r="N50" s="569"/>
      <c r="O50" s="569"/>
      <c r="P50" s="569"/>
      <c r="Q50" s="569"/>
      <c r="R50" s="569"/>
      <c r="S50" s="569"/>
    </row>
    <row r="53" spans="1:20" x14ac:dyDescent="0.2">
      <c r="A53" s="581" t="s">
        <v>40</v>
      </c>
      <c r="B53" s="581"/>
      <c r="C53" s="581"/>
      <c r="D53" s="581"/>
      <c r="E53" s="581"/>
      <c r="F53" s="581"/>
      <c r="G53" s="581"/>
      <c r="H53" s="581"/>
      <c r="I53" s="581"/>
      <c r="J53" s="581"/>
      <c r="K53" s="581"/>
      <c r="L53" s="581"/>
      <c r="M53" s="581"/>
      <c r="N53" s="581"/>
      <c r="O53" s="581"/>
      <c r="P53" s="581"/>
      <c r="Q53" s="581"/>
      <c r="R53" s="581"/>
      <c r="S53" s="581"/>
      <c r="T53" s="24"/>
    </row>
    <row r="54" spans="1:20" x14ac:dyDescent="0.2">
      <c r="A54" s="24" t="s">
        <v>13</v>
      </c>
      <c r="B54" s="581" t="s">
        <v>37</v>
      </c>
      <c r="C54" s="581"/>
      <c r="D54" s="581"/>
      <c r="E54" s="581"/>
      <c r="F54" s="581"/>
      <c r="G54" s="581"/>
      <c r="H54" s="581"/>
      <c r="I54" s="581"/>
      <c r="J54" s="581"/>
      <c r="K54" s="581"/>
      <c r="L54" s="581"/>
      <c r="M54" s="581"/>
      <c r="N54" s="581"/>
      <c r="O54" s="581"/>
      <c r="P54" s="581"/>
      <c r="Q54" s="581"/>
      <c r="R54" s="581"/>
      <c r="S54" s="581"/>
      <c r="T54" s="24"/>
    </row>
    <row r="55" spans="1:20" x14ac:dyDescent="0.2">
      <c r="A55" s="24" t="s">
        <v>13</v>
      </c>
      <c r="B55" s="581" t="s">
        <v>216</v>
      </c>
      <c r="C55" s="581"/>
      <c r="D55" s="581"/>
      <c r="E55" s="581"/>
      <c r="F55" s="581"/>
      <c r="G55" s="581"/>
      <c r="H55" s="581"/>
      <c r="I55" s="581"/>
      <c r="J55" s="581"/>
      <c r="K55" s="581"/>
      <c r="L55" s="581"/>
      <c r="M55" s="581"/>
      <c r="N55" s="581"/>
      <c r="O55" s="581"/>
      <c r="P55" s="581"/>
      <c r="Q55" s="581"/>
      <c r="R55" s="581"/>
      <c r="S55" s="581"/>
      <c r="T55" s="581"/>
    </row>
    <row r="56" spans="1:20" x14ac:dyDescent="0.2">
      <c r="A56" s="24" t="s">
        <v>13</v>
      </c>
      <c r="B56" s="581" t="s">
        <v>213</v>
      </c>
      <c r="C56" s="581"/>
      <c r="D56" s="581"/>
      <c r="E56" s="581"/>
      <c r="F56" s="581"/>
      <c r="G56" s="581"/>
      <c r="H56" s="581"/>
      <c r="I56" s="581"/>
      <c r="J56" s="581"/>
      <c r="K56" s="581"/>
      <c r="L56" s="581"/>
      <c r="M56" s="581"/>
      <c r="N56" s="581"/>
      <c r="O56" s="581"/>
      <c r="P56" s="581"/>
      <c r="Q56" s="581"/>
      <c r="R56" s="581"/>
      <c r="S56" s="581"/>
      <c r="T56" s="581"/>
    </row>
    <row r="57" spans="1:20" x14ac:dyDescent="0.2">
      <c r="A57" s="24"/>
      <c r="B57" s="581" t="s">
        <v>214</v>
      </c>
      <c r="C57" s="581"/>
      <c r="D57" s="581"/>
      <c r="E57" s="581"/>
      <c r="F57" s="581"/>
      <c r="G57" s="581"/>
      <c r="H57" s="581"/>
      <c r="I57" s="581"/>
      <c r="J57" s="581"/>
      <c r="K57" s="581"/>
      <c r="L57" s="581"/>
      <c r="M57" s="581"/>
      <c r="N57" s="581"/>
      <c r="O57" s="581"/>
      <c r="P57" s="581"/>
      <c r="Q57" s="581"/>
      <c r="R57" s="581"/>
      <c r="S57" s="581"/>
      <c r="T57" s="581"/>
    </row>
    <row r="58" spans="1:20" x14ac:dyDescent="0.2">
      <c r="A58" s="24"/>
      <c r="B58" s="102"/>
      <c r="C58" s="102"/>
      <c r="D58" s="102"/>
      <c r="E58" s="102"/>
      <c r="F58" s="102"/>
      <c r="G58" s="102"/>
      <c r="H58" s="102"/>
      <c r="I58" s="102"/>
      <c r="J58" s="102"/>
      <c r="K58" s="102"/>
      <c r="L58" s="102"/>
      <c r="M58" s="102"/>
      <c r="N58" s="102"/>
      <c r="O58" s="102"/>
      <c r="P58" s="102"/>
      <c r="Q58" s="102"/>
      <c r="R58" s="102"/>
      <c r="S58" s="102"/>
      <c r="T58" s="102"/>
    </row>
    <row r="59" spans="1:20" x14ac:dyDescent="0.2">
      <c r="A59" s="2" t="s">
        <v>473</v>
      </c>
    </row>
    <row r="60" spans="1:20" x14ac:dyDescent="0.2">
      <c r="A60" s="569" t="s">
        <v>474</v>
      </c>
      <c r="B60" s="569"/>
      <c r="C60" s="569"/>
      <c r="D60" s="569"/>
      <c r="E60" s="569"/>
      <c r="F60" s="569"/>
      <c r="G60" s="569"/>
      <c r="H60" s="569"/>
      <c r="I60" s="569"/>
      <c r="J60" s="569"/>
      <c r="K60" s="569"/>
      <c r="L60" s="569"/>
      <c r="M60" s="569"/>
      <c r="N60" s="569"/>
      <c r="O60" s="569"/>
      <c r="P60" s="569"/>
      <c r="Q60" s="569"/>
      <c r="R60" s="569"/>
      <c r="S60" s="569"/>
    </row>
    <row r="61" spans="1:20" x14ac:dyDescent="0.2">
      <c r="A61" s="569" t="s">
        <v>475</v>
      </c>
      <c r="B61" s="569"/>
      <c r="C61" s="569"/>
      <c r="D61" s="569"/>
      <c r="E61" s="569"/>
      <c r="F61" s="569"/>
      <c r="G61" s="569"/>
      <c r="H61" s="569"/>
      <c r="I61" s="569"/>
      <c r="J61" s="569"/>
      <c r="K61" s="569"/>
      <c r="L61" s="569"/>
      <c r="M61" s="569"/>
      <c r="N61" s="569"/>
      <c r="O61" s="569"/>
      <c r="P61" s="569"/>
      <c r="Q61" s="569"/>
      <c r="R61" s="569"/>
      <c r="S61" s="569"/>
    </row>
    <row r="64" spans="1:20" x14ac:dyDescent="0.2">
      <c r="A64" s="466" t="str">
        <f>'Dane personalne'!$D$94&amp;""</f>
        <v/>
      </c>
      <c r="B64" s="466"/>
      <c r="C64" s="466"/>
      <c r="D64" s="466"/>
      <c r="E64" s="466"/>
      <c r="F64" s="466"/>
      <c r="G64" s="466" t="str">
        <f>'Dane personalne'!$F$94</f>
        <v/>
      </c>
      <c r="H64" s="466"/>
      <c r="I64" s="466"/>
      <c r="J64" s="466"/>
      <c r="K64" s="466"/>
      <c r="O64" s="469"/>
      <c r="P64" s="469"/>
      <c r="Q64" s="469"/>
      <c r="R64" s="469"/>
      <c r="S64" s="469"/>
    </row>
    <row r="65" spans="1:19" x14ac:dyDescent="0.2">
      <c r="A65" s="458" t="s">
        <v>556</v>
      </c>
      <c r="B65" s="458"/>
      <c r="C65" s="458"/>
      <c r="D65" s="458"/>
      <c r="E65" s="458"/>
      <c r="F65" s="458"/>
      <c r="G65" s="458"/>
      <c r="H65" s="458"/>
      <c r="I65" s="458"/>
      <c r="J65" s="458"/>
      <c r="K65" s="458"/>
      <c r="O65" s="458" t="s">
        <v>80</v>
      </c>
      <c r="P65" s="458"/>
      <c r="Q65" s="458"/>
      <c r="R65" s="458"/>
      <c r="S65" s="458"/>
    </row>
  </sheetData>
  <mergeCells count="45">
    <mergeCell ref="A8:M8"/>
    <mergeCell ref="G22:O22"/>
    <mergeCell ref="P22:S22"/>
    <mergeCell ref="A49:S49"/>
    <mergeCell ref="A50:S50"/>
    <mergeCell ref="B40:S40"/>
    <mergeCell ref="B41:S41"/>
    <mergeCell ref="B42:S42"/>
    <mergeCell ref="B44:S44"/>
    <mergeCell ref="B45:S45"/>
    <mergeCell ref="B39:S39"/>
    <mergeCell ref="M26:N26"/>
    <mergeCell ref="A30:E30"/>
    <mergeCell ref="P30:S30"/>
    <mergeCell ref="A32:F32"/>
    <mergeCell ref="A38:S38"/>
    <mergeCell ref="O65:S65"/>
    <mergeCell ref="A65:K65"/>
    <mergeCell ref="O64:S64"/>
    <mergeCell ref="A53:S53"/>
    <mergeCell ref="B54:S54"/>
    <mergeCell ref="B55:T55"/>
    <mergeCell ref="A60:S60"/>
    <mergeCell ref="B56:T56"/>
    <mergeCell ref="B57:T57"/>
    <mergeCell ref="A61:S61"/>
    <mergeCell ref="A64:F64"/>
    <mergeCell ref="G64:K64"/>
    <mergeCell ref="A28:C28"/>
    <mergeCell ref="D28:H28"/>
    <mergeCell ref="K28:O28"/>
    <mergeCell ref="E26:L26"/>
    <mergeCell ref="O26:S26"/>
    <mergeCell ref="A35:I35"/>
    <mergeCell ref="J35:S35"/>
    <mergeCell ref="J36:S36"/>
    <mergeCell ref="A37:S37"/>
    <mergeCell ref="G32:Q32"/>
    <mergeCell ref="Q24:S24"/>
    <mergeCell ref="A9:M9"/>
    <mergeCell ref="A13:S13"/>
    <mergeCell ref="A14:S14"/>
    <mergeCell ref="A15:S15"/>
    <mergeCell ref="A12:M12"/>
    <mergeCell ref="A11:M11"/>
  </mergeCells>
  <phoneticPr fontId="2" type="noConversion"/>
  <pageMargins left="0.34" right="0.42" top="0.36" bottom="0.38" header="0.28999999999999998" footer="0.3"/>
  <pageSetup scale="9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H77"/>
  <sheetViews>
    <sheetView showGridLines="0" topLeftCell="A16" zoomScaleNormal="100" zoomScaleSheetLayoutView="80" workbookViewId="0">
      <selection activeCell="J35" sqref="J35:S35"/>
    </sheetView>
  </sheetViews>
  <sheetFormatPr defaultColWidth="9.140625" defaultRowHeight="12.75" x14ac:dyDescent="0.2"/>
  <cols>
    <col min="1" max="1" width="2.7109375" style="2" customWidth="1"/>
    <col min="2" max="2" width="3.28515625" style="2" customWidth="1"/>
    <col min="3" max="3" width="5.42578125" style="2" customWidth="1"/>
    <col min="4" max="13" width="3.28515625" style="2" customWidth="1"/>
    <col min="14" max="14" width="4.5703125" style="2" customWidth="1"/>
    <col min="15" max="15" width="10.28515625" style="2" customWidth="1"/>
    <col min="16" max="16" width="9.140625" style="2"/>
    <col min="17" max="17" width="9.28515625" style="2" customWidth="1"/>
    <col min="18" max="18" width="8" style="2" customWidth="1"/>
    <col min="19" max="19" width="16.140625" style="2" customWidth="1"/>
    <col min="20" max="16384" width="9.140625" style="2"/>
  </cols>
  <sheetData>
    <row r="1" spans="1:34" x14ac:dyDescent="0.2">
      <c r="A1" s="120"/>
      <c r="B1" s="120"/>
      <c r="C1" s="120"/>
      <c r="D1" s="120"/>
      <c r="E1" s="120"/>
      <c r="F1" s="120"/>
      <c r="G1" s="120"/>
      <c r="H1" s="120"/>
      <c r="I1" s="120"/>
      <c r="J1" s="120"/>
      <c r="K1" s="120"/>
      <c r="L1" s="120"/>
      <c r="M1" s="120"/>
      <c r="N1" s="120"/>
      <c r="O1" s="120"/>
      <c r="P1" s="120"/>
      <c r="Q1" s="120"/>
      <c r="R1" s="120"/>
      <c r="S1" s="120"/>
      <c r="T1" s="120"/>
      <c r="U1" s="114"/>
      <c r="V1" s="114"/>
      <c r="W1" s="114"/>
      <c r="X1" s="114"/>
      <c r="Y1" s="114"/>
      <c r="Z1" s="114"/>
      <c r="AA1" s="114"/>
      <c r="AB1" s="114"/>
      <c r="AC1" s="114"/>
      <c r="AD1" s="114"/>
      <c r="AE1" s="114"/>
      <c r="AF1" s="114"/>
      <c r="AG1" s="114"/>
      <c r="AH1" s="114"/>
    </row>
    <row r="2" spans="1:34" x14ac:dyDescent="0.2">
      <c r="A2" s="120"/>
      <c r="B2" s="120"/>
      <c r="C2" s="120"/>
      <c r="D2" s="120"/>
      <c r="E2" s="120"/>
      <c r="F2" s="120"/>
      <c r="G2" s="120"/>
      <c r="H2" s="120"/>
      <c r="I2" s="120"/>
      <c r="J2" s="120"/>
      <c r="K2" s="120"/>
      <c r="L2" s="120"/>
      <c r="M2" s="120"/>
      <c r="N2" s="120"/>
      <c r="O2" s="120"/>
      <c r="P2" s="120"/>
      <c r="Q2" s="120"/>
      <c r="R2" s="120"/>
      <c r="S2" s="120"/>
      <c r="T2" s="120"/>
      <c r="U2" s="114"/>
      <c r="V2" s="114"/>
      <c r="W2" s="114"/>
      <c r="X2" s="114"/>
      <c r="Y2" s="114"/>
      <c r="Z2" s="114"/>
      <c r="AA2" s="114"/>
      <c r="AB2" s="114"/>
      <c r="AC2" s="114"/>
      <c r="AD2" s="114"/>
      <c r="AE2" s="114"/>
      <c r="AF2" s="114"/>
      <c r="AG2" s="114"/>
      <c r="AH2" s="114"/>
    </row>
    <row r="3" spans="1:34" x14ac:dyDescent="0.2">
      <c r="A3" s="120"/>
      <c r="B3" s="120"/>
      <c r="C3" s="120"/>
      <c r="D3" s="120"/>
      <c r="E3" s="120"/>
      <c r="F3" s="120"/>
      <c r="G3" s="120"/>
      <c r="H3" s="120"/>
      <c r="I3" s="120"/>
      <c r="J3" s="120"/>
      <c r="K3" s="120"/>
      <c r="L3" s="120"/>
      <c r="M3" s="120"/>
      <c r="N3" s="120"/>
      <c r="O3" s="120"/>
      <c r="P3" s="120"/>
      <c r="Q3" s="120"/>
      <c r="R3" s="120"/>
      <c r="S3" s="120"/>
      <c r="T3" s="120"/>
      <c r="U3" s="114"/>
      <c r="V3" s="114"/>
      <c r="W3" s="114"/>
      <c r="X3" s="114"/>
      <c r="Y3" s="114"/>
      <c r="Z3" s="114"/>
      <c r="AA3" s="114"/>
      <c r="AB3" s="114"/>
      <c r="AC3" s="114"/>
      <c r="AD3" s="114"/>
      <c r="AE3" s="114"/>
      <c r="AF3" s="114"/>
      <c r="AG3" s="114"/>
      <c r="AH3" s="114"/>
    </row>
    <row r="4" spans="1:34" x14ac:dyDescent="0.2">
      <c r="A4" s="120"/>
      <c r="B4" s="120"/>
      <c r="C4" s="120"/>
      <c r="D4" s="120"/>
      <c r="E4" s="120"/>
      <c r="F4" s="120"/>
      <c r="G4" s="120"/>
      <c r="H4" s="120"/>
      <c r="I4" s="120"/>
      <c r="J4" s="120"/>
      <c r="K4" s="120"/>
      <c r="L4" s="120"/>
      <c r="M4" s="120"/>
      <c r="N4" s="120"/>
      <c r="O4" s="120"/>
      <c r="P4" s="120"/>
      <c r="Q4" s="120"/>
      <c r="R4" s="120"/>
      <c r="S4" s="120"/>
      <c r="T4" s="120"/>
      <c r="U4" s="114"/>
      <c r="V4" s="114"/>
      <c r="W4" s="114"/>
      <c r="X4" s="114"/>
      <c r="Y4" s="114"/>
      <c r="Z4" s="114"/>
      <c r="AA4" s="114"/>
      <c r="AB4" s="114"/>
      <c r="AC4" s="114"/>
      <c r="AD4" s="114"/>
      <c r="AE4" s="114"/>
      <c r="AF4" s="114"/>
      <c r="AG4" s="114"/>
      <c r="AH4" s="114"/>
    </row>
    <row r="5" spans="1:34" ht="13.5" thickBot="1" x14ac:dyDescent="0.25">
      <c r="A5" s="120"/>
      <c r="B5" s="120"/>
      <c r="C5" s="120"/>
      <c r="D5" s="120"/>
      <c r="E5" s="120"/>
      <c r="F5" s="120"/>
      <c r="G5" s="120"/>
      <c r="H5" s="120"/>
      <c r="I5" s="120"/>
      <c r="J5" s="120"/>
      <c r="K5" s="120"/>
      <c r="L5" s="120"/>
      <c r="M5" s="120"/>
      <c r="N5" s="120"/>
      <c r="O5" s="120"/>
      <c r="P5" s="120"/>
      <c r="Q5" s="120"/>
      <c r="R5" s="120"/>
      <c r="S5" s="120"/>
      <c r="T5" s="120"/>
      <c r="U5" s="114"/>
      <c r="V5" s="114"/>
      <c r="W5" s="114"/>
      <c r="X5" s="114"/>
      <c r="Y5" s="114"/>
      <c r="Z5" s="114"/>
      <c r="AA5" s="114"/>
      <c r="AB5" s="114"/>
      <c r="AC5" s="114"/>
      <c r="AD5" s="114"/>
      <c r="AE5" s="114"/>
      <c r="AF5" s="114"/>
      <c r="AG5" s="114"/>
      <c r="AH5" s="114"/>
    </row>
    <row r="6" spans="1:34" x14ac:dyDescent="0.2">
      <c r="A6" s="125"/>
      <c r="B6" s="125"/>
      <c r="C6" s="125"/>
      <c r="D6" s="125"/>
      <c r="E6" s="125"/>
      <c r="F6" s="125"/>
      <c r="G6" s="125"/>
      <c r="H6" s="125"/>
      <c r="I6" s="125"/>
      <c r="J6" s="125"/>
      <c r="K6" s="125"/>
      <c r="L6" s="125"/>
      <c r="M6" s="125"/>
      <c r="N6" s="125"/>
      <c r="O6" s="125"/>
      <c r="P6" s="125"/>
      <c r="Q6" s="125"/>
      <c r="R6" s="125"/>
      <c r="S6" s="125"/>
      <c r="T6" s="120"/>
      <c r="U6" s="114"/>
      <c r="V6" s="114"/>
      <c r="W6" s="114"/>
      <c r="X6" s="114"/>
      <c r="Y6" s="114"/>
      <c r="Z6" s="114"/>
      <c r="AA6" s="114"/>
      <c r="AB6" s="114"/>
      <c r="AC6" s="114"/>
      <c r="AD6" s="114"/>
      <c r="AE6" s="114"/>
      <c r="AF6" s="114"/>
      <c r="AG6" s="114"/>
      <c r="AH6" s="114"/>
    </row>
    <row r="7" spans="1:34" x14ac:dyDescent="0.2">
      <c r="A7" s="120"/>
      <c r="B7" s="120"/>
      <c r="C7" s="120"/>
      <c r="D7" s="120"/>
      <c r="E7" s="120"/>
      <c r="F7" s="120"/>
      <c r="G7" s="120"/>
      <c r="H7" s="120"/>
      <c r="I7" s="120"/>
      <c r="J7" s="120"/>
      <c r="K7" s="120"/>
      <c r="L7" s="120"/>
      <c r="M7" s="120"/>
      <c r="N7" s="120"/>
      <c r="O7" s="120"/>
      <c r="P7" s="120"/>
      <c r="Q7" s="120"/>
      <c r="R7" s="120"/>
      <c r="S7" s="131" t="s">
        <v>106</v>
      </c>
      <c r="T7" s="120"/>
      <c r="U7" s="114"/>
      <c r="V7" s="114"/>
      <c r="W7" s="114"/>
      <c r="X7" s="114"/>
      <c r="Y7" s="114"/>
      <c r="Z7" s="114"/>
      <c r="AA7" s="114"/>
      <c r="AB7" s="114"/>
      <c r="AC7" s="114"/>
      <c r="AD7" s="114"/>
      <c r="AE7" s="114"/>
      <c r="AF7" s="114"/>
      <c r="AG7" s="114"/>
      <c r="AH7" s="114"/>
    </row>
    <row r="8" spans="1:34" x14ac:dyDescent="0.2">
      <c r="A8" s="577" t="str">
        <f>'1.Kwestionariusz'!O18</f>
        <v/>
      </c>
      <c r="B8" s="586"/>
      <c r="C8" s="586"/>
      <c r="D8" s="586"/>
      <c r="E8" s="586"/>
      <c r="F8" s="586"/>
      <c r="G8" s="586"/>
      <c r="H8" s="586"/>
      <c r="I8" s="586"/>
      <c r="J8" s="586"/>
      <c r="K8" s="586"/>
      <c r="L8" s="586"/>
      <c r="M8" s="586"/>
      <c r="N8" s="120"/>
      <c r="O8" s="120"/>
      <c r="P8" s="120"/>
      <c r="Q8" s="120"/>
      <c r="R8" s="120"/>
      <c r="S8" s="120"/>
      <c r="T8" s="120"/>
      <c r="U8" s="114"/>
      <c r="V8" s="114"/>
      <c r="W8" s="114"/>
      <c r="X8" s="114"/>
      <c r="Y8" s="114"/>
      <c r="Z8" s="114"/>
      <c r="AA8" s="114"/>
      <c r="AB8" s="114"/>
      <c r="AC8" s="114"/>
      <c r="AD8" s="114"/>
      <c r="AE8" s="114"/>
      <c r="AF8" s="114"/>
      <c r="AG8" s="114"/>
      <c r="AH8" s="114"/>
    </row>
    <row r="9" spans="1:34" x14ac:dyDescent="0.2">
      <c r="A9" s="515" t="s">
        <v>330</v>
      </c>
      <c r="B9" s="515"/>
      <c r="C9" s="515"/>
      <c r="D9" s="515"/>
      <c r="E9" s="515"/>
      <c r="F9" s="515"/>
      <c r="G9" s="515"/>
      <c r="H9" s="515"/>
      <c r="I9" s="515"/>
      <c r="J9" s="515"/>
      <c r="K9" s="515"/>
      <c r="L9" s="515"/>
      <c r="M9" s="515"/>
      <c r="N9" s="120"/>
      <c r="O9" s="120"/>
      <c r="P9" s="120"/>
      <c r="Q9" s="120"/>
      <c r="R9" s="120"/>
      <c r="S9" s="120"/>
      <c r="T9" s="120"/>
      <c r="U9" s="114"/>
      <c r="V9" s="114"/>
      <c r="W9" s="114"/>
      <c r="X9" s="114"/>
      <c r="Y9" s="114"/>
      <c r="Z9" s="114"/>
      <c r="AA9" s="114"/>
      <c r="AB9" s="114"/>
      <c r="AC9" s="114"/>
      <c r="AD9" s="114"/>
      <c r="AE9" s="114"/>
      <c r="AF9" s="114"/>
      <c r="AG9" s="114"/>
      <c r="AH9" s="114"/>
    </row>
    <row r="10" spans="1:34" x14ac:dyDescent="0.2">
      <c r="A10" s="121"/>
      <c r="B10" s="121"/>
      <c r="C10" s="121"/>
      <c r="D10" s="121"/>
      <c r="E10" s="121"/>
      <c r="F10" s="121"/>
      <c r="G10" s="121"/>
      <c r="H10" s="121"/>
      <c r="I10" s="121"/>
      <c r="J10" s="121"/>
      <c r="K10" s="121"/>
      <c r="L10" s="121"/>
      <c r="M10" s="121"/>
      <c r="N10" s="120"/>
      <c r="O10" s="120"/>
      <c r="P10" s="120"/>
      <c r="Q10" s="120"/>
      <c r="R10" s="120"/>
      <c r="S10" s="120"/>
      <c r="T10" s="120"/>
      <c r="U10" s="114"/>
      <c r="V10" s="114"/>
      <c r="W10" s="114"/>
      <c r="X10" s="114"/>
      <c r="Y10" s="114"/>
      <c r="Z10" s="114"/>
      <c r="AA10" s="114"/>
      <c r="AB10" s="114"/>
      <c r="AC10" s="114"/>
      <c r="AD10" s="114"/>
      <c r="AE10" s="114"/>
      <c r="AF10" s="114"/>
      <c r="AG10" s="114"/>
      <c r="AH10" s="114"/>
    </row>
    <row r="11" spans="1:34" x14ac:dyDescent="0.2">
      <c r="A11" s="577" t="str">
        <f>'1.Kwestionariusz'!B18</f>
        <v/>
      </c>
      <c r="B11" s="586"/>
      <c r="C11" s="586"/>
      <c r="D11" s="586"/>
      <c r="E11" s="586"/>
      <c r="F11" s="586"/>
      <c r="G11" s="586"/>
      <c r="H11" s="586"/>
      <c r="I11" s="586"/>
      <c r="J11" s="586"/>
      <c r="K11" s="586"/>
      <c r="L11" s="586"/>
      <c r="M11" s="586"/>
      <c r="N11" s="120"/>
      <c r="O11" s="120"/>
      <c r="P11" s="120"/>
      <c r="Q11" s="120"/>
      <c r="R11" s="120"/>
      <c r="S11" s="120"/>
      <c r="T11" s="120"/>
      <c r="U11" s="114"/>
      <c r="V11" s="114"/>
      <c r="W11" s="114"/>
      <c r="X11" s="114"/>
      <c r="Y11" s="114"/>
      <c r="Z11" s="114"/>
      <c r="AA11" s="114"/>
      <c r="AB11" s="114"/>
      <c r="AC11" s="114"/>
      <c r="AD11" s="114"/>
      <c r="AE11" s="114"/>
      <c r="AF11" s="114"/>
      <c r="AG11" s="114"/>
      <c r="AH11" s="114"/>
    </row>
    <row r="12" spans="1:34" x14ac:dyDescent="0.2">
      <c r="A12" s="515" t="s">
        <v>331</v>
      </c>
      <c r="B12" s="515"/>
      <c r="C12" s="515"/>
      <c r="D12" s="515"/>
      <c r="E12" s="515"/>
      <c r="F12" s="515"/>
      <c r="G12" s="515"/>
      <c r="H12" s="515"/>
      <c r="I12" s="515"/>
      <c r="J12" s="515"/>
      <c r="K12" s="515"/>
      <c r="L12" s="515"/>
      <c r="M12" s="515"/>
      <c r="N12" s="120"/>
      <c r="O12" s="120"/>
      <c r="P12" s="120"/>
      <c r="Q12" s="120"/>
      <c r="R12" s="120"/>
      <c r="S12" s="120"/>
      <c r="T12" s="120"/>
      <c r="U12" s="114"/>
      <c r="V12" s="114"/>
      <c r="W12" s="114"/>
      <c r="X12" s="114"/>
      <c r="Y12" s="114"/>
      <c r="Z12" s="114"/>
      <c r="AA12" s="114"/>
      <c r="AB12" s="114"/>
      <c r="AC12" s="114"/>
      <c r="AD12" s="114"/>
      <c r="AE12" s="114"/>
      <c r="AF12" s="114"/>
      <c r="AG12" s="114"/>
      <c r="AH12" s="114"/>
    </row>
    <row r="13" spans="1:34" ht="22.7" customHeight="1" x14ac:dyDescent="0.2">
      <c r="A13" s="584" t="s">
        <v>332</v>
      </c>
      <c r="B13" s="584"/>
      <c r="C13" s="584"/>
      <c r="D13" s="584"/>
      <c r="E13" s="584"/>
      <c r="F13" s="584"/>
      <c r="G13" s="584"/>
      <c r="H13" s="584"/>
      <c r="I13" s="584"/>
      <c r="J13" s="584"/>
      <c r="K13" s="584"/>
      <c r="L13" s="584"/>
      <c r="M13" s="584"/>
      <c r="N13" s="584"/>
      <c r="O13" s="584"/>
      <c r="P13" s="584"/>
      <c r="Q13" s="584"/>
      <c r="R13" s="584"/>
      <c r="S13" s="585"/>
      <c r="T13" s="120"/>
      <c r="U13" s="114"/>
      <c r="V13" s="114"/>
      <c r="W13" s="114"/>
      <c r="X13" s="114"/>
      <c r="Y13" s="114"/>
      <c r="Z13" s="114"/>
      <c r="AA13" s="114"/>
      <c r="AB13" s="114"/>
      <c r="AC13" s="114"/>
      <c r="AD13" s="114"/>
      <c r="AE13" s="114"/>
      <c r="AF13" s="114"/>
      <c r="AG13" s="114"/>
      <c r="AH13" s="114"/>
    </row>
    <row r="14" spans="1:34" x14ac:dyDescent="0.2">
      <c r="A14" s="584" t="s">
        <v>333</v>
      </c>
      <c r="B14" s="584"/>
      <c r="C14" s="584"/>
      <c r="D14" s="584"/>
      <c r="E14" s="584"/>
      <c r="F14" s="584"/>
      <c r="G14" s="584"/>
      <c r="H14" s="584"/>
      <c r="I14" s="584"/>
      <c r="J14" s="584"/>
      <c r="K14" s="584"/>
      <c r="L14" s="584"/>
      <c r="M14" s="584"/>
      <c r="N14" s="584"/>
      <c r="O14" s="584"/>
      <c r="P14" s="584"/>
      <c r="Q14" s="584"/>
      <c r="R14" s="584"/>
      <c r="S14" s="585"/>
      <c r="T14" s="120"/>
      <c r="U14" s="114"/>
      <c r="V14" s="114"/>
      <c r="W14" s="114"/>
      <c r="X14" s="114"/>
      <c r="Y14" s="114"/>
      <c r="Z14" s="114"/>
      <c r="AA14" s="114"/>
      <c r="AB14" s="114"/>
      <c r="AC14" s="114"/>
      <c r="AD14" s="114"/>
      <c r="AE14" s="114"/>
      <c r="AF14" s="114"/>
      <c r="AG14" s="114"/>
      <c r="AH14" s="114"/>
    </row>
    <row r="15" spans="1:34" x14ac:dyDescent="0.2">
      <c r="A15" s="584" t="s">
        <v>334</v>
      </c>
      <c r="B15" s="584"/>
      <c r="C15" s="584"/>
      <c r="D15" s="584"/>
      <c r="E15" s="584"/>
      <c r="F15" s="584"/>
      <c r="G15" s="584"/>
      <c r="H15" s="584"/>
      <c r="I15" s="584"/>
      <c r="J15" s="584"/>
      <c r="K15" s="584"/>
      <c r="L15" s="584"/>
      <c r="M15" s="584"/>
      <c r="N15" s="584"/>
      <c r="O15" s="584"/>
      <c r="P15" s="584"/>
      <c r="Q15" s="584"/>
      <c r="R15" s="584"/>
      <c r="S15" s="585"/>
      <c r="T15" s="120"/>
      <c r="U15" s="114"/>
      <c r="V15" s="114"/>
      <c r="W15" s="114"/>
      <c r="X15" s="114"/>
      <c r="Y15" s="114"/>
      <c r="Z15" s="114"/>
      <c r="AA15" s="114"/>
      <c r="AB15" s="114"/>
      <c r="AC15" s="114"/>
      <c r="AD15" s="114"/>
      <c r="AE15" s="114"/>
      <c r="AF15" s="114"/>
      <c r="AG15" s="114"/>
      <c r="AH15" s="114"/>
    </row>
    <row r="16" spans="1:34" x14ac:dyDescent="0.2">
      <c r="A16" s="120"/>
      <c r="B16" s="120"/>
      <c r="C16" s="120"/>
      <c r="D16" s="120"/>
      <c r="E16" s="120"/>
      <c r="F16" s="120"/>
      <c r="G16" s="120"/>
      <c r="H16" s="120"/>
      <c r="I16" s="120"/>
      <c r="J16" s="120"/>
      <c r="K16" s="120"/>
      <c r="L16" s="120"/>
      <c r="M16" s="120"/>
      <c r="N16" s="120"/>
      <c r="O16" s="120"/>
      <c r="P16" s="120"/>
      <c r="Q16" s="120"/>
      <c r="R16" s="120"/>
      <c r="S16" s="120"/>
      <c r="T16" s="120"/>
      <c r="U16" s="114"/>
      <c r="V16" s="114"/>
      <c r="W16" s="114"/>
      <c r="X16" s="114"/>
      <c r="Y16" s="114"/>
      <c r="Z16" s="114"/>
      <c r="AA16" s="114"/>
      <c r="AB16" s="114"/>
      <c r="AC16" s="114"/>
      <c r="AD16" s="114"/>
      <c r="AE16" s="114"/>
      <c r="AF16" s="114"/>
      <c r="AG16" s="114"/>
      <c r="AH16" s="114"/>
    </row>
    <row r="17" spans="1:34" x14ac:dyDescent="0.2">
      <c r="A17" s="120" t="s">
        <v>595</v>
      </c>
      <c r="B17" s="120"/>
      <c r="C17" s="120"/>
      <c r="D17" s="120"/>
      <c r="E17" s="120"/>
      <c r="F17" s="120"/>
      <c r="G17" s="120"/>
      <c r="H17" s="120"/>
      <c r="I17" s="120"/>
      <c r="J17" s="120"/>
      <c r="K17" s="120"/>
      <c r="L17" s="120"/>
      <c r="M17" s="120"/>
      <c r="N17" s="120"/>
      <c r="O17" s="120"/>
      <c r="P17" s="120"/>
      <c r="Q17" s="120"/>
      <c r="R17" s="120"/>
      <c r="S17" s="120"/>
      <c r="T17" s="120"/>
      <c r="U17" s="114"/>
      <c r="V17" s="114"/>
      <c r="W17" s="114"/>
      <c r="X17" s="114"/>
      <c r="Y17" s="114"/>
      <c r="Z17" s="114"/>
      <c r="AA17" s="114"/>
      <c r="AB17" s="114"/>
      <c r="AC17" s="114"/>
      <c r="AD17" s="114"/>
      <c r="AE17" s="114"/>
      <c r="AF17" s="114"/>
      <c r="AG17" s="114"/>
      <c r="AH17" s="114"/>
    </row>
    <row r="18" spans="1:34" x14ac:dyDescent="0.2">
      <c r="A18" s="120" t="s">
        <v>596</v>
      </c>
      <c r="B18" s="120"/>
      <c r="C18" s="120"/>
      <c r="D18" s="120"/>
      <c r="E18" s="120"/>
      <c r="F18" s="120"/>
      <c r="G18" s="120"/>
      <c r="H18" s="120"/>
      <c r="I18" s="120"/>
      <c r="J18" s="120"/>
      <c r="K18" s="120"/>
      <c r="L18" s="120"/>
      <c r="M18" s="120"/>
      <c r="N18" s="120"/>
      <c r="O18" s="120"/>
      <c r="P18" s="120"/>
      <c r="Q18" s="120"/>
      <c r="R18" s="120"/>
      <c r="S18" s="120"/>
      <c r="T18" s="120"/>
      <c r="U18" s="114"/>
      <c r="V18" s="114"/>
      <c r="W18" s="114"/>
      <c r="X18" s="114"/>
      <c r="Y18" s="114"/>
      <c r="Z18" s="114"/>
      <c r="AA18" s="114"/>
      <c r="AB18" s="114"/>
      <c r="AC18" s="114"/>
      <c r="AD18" s="114"/>
      <c r="AE18" s="114"/>
      <c r="AF18" s="114"/>
      <c r="AG18" s="114"/>
      <c r="AH18" s="114"/>
    </row>
    <row r="19" spans="1:34" x14ac:dyDescent="0.2">
      <c r="A19" s="120"/>
      <c r="B19" s="120"/>
      <c r="C19" s="120"/>
      <c r="D19" s="120"/>
      <c r="E19" s="120"/>
      <c r="F19" s="120"/>
      <c r="G19" s="120"/>
      <c r="H19" s="120"/>
      <c r="I19" s="120"/>
      <c r="J19" s="120"/>
      <c r="K19" s="120"/>
      <c r="L19" s="120"/>
      <c r="M19" s="120"/>
      <c r="N19" s="120"/>
      <c r="O19" s="120"/>
      <c r="P19" s="120"/>
      <c r="Q19" s="120"/>
      <c r="R19" s="120"/>
      <c r="S19" s="120"/>
      <c r="T19" s="120"/>
      <c r="U19" s="114"/>
      <c r="V19" s="114"/>
      <c r="W19" s="114"/>
      <c r="X19" s="114"/>
      <c r="Y19" s="114"/>
      <c r="Z19" s="114"/>
      <c r="AA19" s="114"/>
      <c r="AB19" s="114"/>
      <c r="AC19" s="114"/>
      <c r="AD19" s="114"/>
      <c r="AE19" s="114"/>
      <c r="AF19" s="114"/>
      <c r="AG19" s="114"/>
      <c r="AH19" s="114"/>
    </row>
    <row r="20" spans="1:34" x14ac:dyDescent="0.2">
      <c r="A20" s="131" t="s">
        <v>567</v>
      </c>
      <c r="B20" s="131"/>
      <c r="C20" s="131"/>
      <c r="D20" s="131"/>
      <c r="E20" s="131"/>
      <c r="F20" s="131"/>
      <c r="G20" s="131"/>
      <c r="H20" s="131"/>
      <c r="I20" s="131"/>
      <c r="J20" s="131"/>
      <c r="K20" s="131"/>
      <c r="L20" s="131"/>
      <c r="M20" s="131"/>
      <c r="N20" s="131"/>
      <c r="O20" s="131"/>
      <c r="P20" s="120"/>
      <c r="Q20" s="120"/>
      <c r="R20" s="120"/>
      <c r="S20" s="120"/>
      <c r="T20" s="120"/>
      <c r="U20" s="114"/>
      <c r="V20" s="114"/>
      <c r="W20" s="114"/>
      <c r="X20" s="114"/>
      <c r="Y20" s="114"/>
      <c r="Z20" s="114"/>
      <c r="AA20" s="114"/>
      <c r="AB20" s="114"/>
      <c r="AC20" s="114"/>
      <c r="AD20" s="114"/>
      <c r="AE20" s="114"/>
      <c r="AF20" s="114"/>
      <c r="AG20" s="114"/>
      <c r="AH20" s="114"/>
    </row>
    <row r="21" spans="1:34" ht="7.5" customHeight="1" x14ac:dyDescent="0.2">
      <c r="A21" s="120"/>
      <c r="B21" s="120"/>
      <c r="C21" s="120"/>
      <c r="D21" s="120"/>
      <c r="E21" s="120"/>
      <c r="F21" s="120"/>
      <c r="G21" s="120"/>
      <c r="H21" s="120"/>
      <c r="I21" s="120"/>
      <c r="J21" s="120"/>
      <c r="K21" s="120"/>
      <c r="L21" s="120"/>
      <c r="M21" s="120"/>
      <c r="N21" s="120"/>
      <c r="O21" s="120"/>
      <c r="P21" s="120"/>
      <c r="Q21" s="120"/>
      <c r="R21" s="120"/>
      <c r="S21" s="120"/>
      <c r="T21" s="120"/>
      <c r="U21" s="114"/>
      <c r="V21" s="114"/>
      <c r="W21" s="114"/>
      <c r="X21" s="114"/>
      <c r="Y21" s="114"/>
      <c r="Z21" s="114"/>
      <c r="AA21" s="114"/>
      <c r="AB21" s="114"/>
      <c r="AC21" s="114"/>
      <c r="AD21" s="114"/>
      <c r="AE21" s="114"/>
      <c r="AF21" s="114"/>
      <c r="AG21" s="114"/>
      <c r="AH21" s="114"/>
    </row>
    <row r="22" spans="1:34" x14ac:dyDescent="0.2">
      <c r="A22" s="120" t="s">
        <v>335</v>
      </c>
      <c r="B22" s="120"/>
      <c r="C22" s="120"/>
      <c r="D22" s="120"/>
      <c r="E22" s="120"/>
      <c r="F22" s="137"/>
      <c r="G22" s="405" t="str">
        <f>IF('Dane personalne'!D11="","",'Dane personalne'!D11)</f>
        <v/>
      </c>
      <c r="H22" s="405"/>
      <c r="I22" s="405"/>
      <c r="J22" s="574"/>
      <c r="K22" s="405"/>
      <c r="L22" s="405"/>
      <c r="M22" s="405"/>
      <c r="N22" s="405"/>
      <c r="O22" s="405"/>
      <c r="P22" s="405" t="str">
        <f>IF('Dane personalne'!D12="","",'Dane personalne'!D12)</f>
        <v/>
      </c>
      <c r="Q22" s="405"/>
      <c r="R22" s="405"/>
      <c r="S22" s="405"/>
      <c r="T22" s="120"/>
      <c r="U22" s="114"/>
      <c r="V22" s="114"/>
      <c r="W22" s="114"/>
      <c r="X22" s="114"/>
      <c r="Y22" s="114"/>
      <c r="Z22" s="114"/>
      <c r="AA22" s="114"/>
      <c r="AB22" s="114"/>
      <c r="AC22" s="114"/>
      <c r="AD22" s="114"/>
      <c r="AE22" s="114"/>
      <c r="AF22" s="114"/>
      <c r="AG22" s="114"/>
      <c r="AH22" s="114"/>
    </row>
    <row r="23" spans="1:34" ht="7.5" customHeight="1" x14ac:dyDescent="0.2">
      <c r="A23" s="120"/>
      <c r="B23" s="120"/>
      <c r="C23" s="120"/>
      <c r="D23" s="120"/>
      <c r="E23" s="120"/>
      <c r="F23" s="120"/>
      <c r="G23" s="120"/>
      <c r="H23" s="120"/>
      <c r="I23" s="120"/>
      <c r="J23" s="120"/>
      <c r="K23" s="120"/>
      <c r="L23" s="120"/>
      <c r="M23" s="120"/>
      <c r="N23" s="120"/>
      <c r="O23" s="120"/>
      <c r="P23" s="120"/>
      <c r="Q23" s="120"/>
      <c r="R23" s="120"/>
      <c r="S23" s="120"/>
      <c r="T23" s="120"/>
      <c r="U23" s="114"/>
      <c r="V23" s="114"/>
      <c r="W23" s="114"/>
      <c r="X23" s="114"/>
      <c r="Y23" s="114"/>
      <c r="Z23" s="114"/>
      <c r="AA23" s="114"/>
      <c r="AB23" s="114"/>
      <c r="AC23" s="114"/>
      <c r="AD23" s="114"/>
      <c r="AE23" s="114"/>
      <c r="AF23" s="114"/>
      <c r="AG23" s="114"/>
      <c r="AH23" s="114"/>
    </row>
    <row r="24" spans="1:34" x14ac:dyDescent="0.2">
      <c r="A24" s="120" t="s">
        <v>336</v>
      </c>
      <c r="B24" s="120"/>
      <c r="C24" s="120"/>
      <c r="D24" s="120"/>
      <c r="E24" s="120"/>
      <c r="F24" s="146" t="str">
        <f>'1.Kwestionariusz'!G15</f>
        <v/>
      </c>
      <c r="G24" s="146"/>
      <c r="H24" s="146"/>
      <c r="I24" s="146"/>
      <c r="J24" s="146"/>
      <c r="K24" s="146"/>
      <c r="L24" s="146"/>
      <c r="M24" s="146"/>
      <c r="N24" s="120"/>
      <c r="O24" s="120" t="s">
        <v>337</v>
      </c>
      <c r="P24" s="120"/>
      <c r="Q24" s="405" t="str">
        <f>'1.Kwestionariusz'!V15</f>
        <v/>
      </c>
      <c r="R24" s="405"/>
      <c r="S24" s="405"/>
      <c r="T24" s="120"/>
      <c r="U24" s="114"/>
      <c r="V24" s="114"/>
      <c r="W24" s="114"/>
      <c r="X24" s="114"/>
      <c r="Y24" s="114"/>
      <c r="Z24" s="114"/>
      <c r="AA24" s="114"/>
      <c r="AB24" s="114"/>
      <c r="AC24" s="114"/>
      <c r="AD24" s="114"/>
      <c r="AE24" s="114"/>
      <c r="AF24" s="114"/>
      <c r="AG24" s="114"/>
      <c r="AH24" s="114"/>
    </row>
    <row r="25" spans="1:34" ht="7.5" customHeight="1" x14ac:dyDescent="0.2">
      <c r="A25" s="120"/>
      <c r="B25" s="120"/>
      <c r="C25" s="120"/>
      <c r="D25" s="120"/>
      <c r="E25" s="120"/>
      <c r="F25" s="120"/>
      <c r="G25" s="120"/>
      <c r="H25" s="120"/>
      <c r="I25" s="120"/>
      <c r="J25" s="120"/>
      <c r="K25" s="120"/>
      <c r="L25" s="120"/>
      <c r="M25" s="120"/>
      <c r="N25" s="120"/>
      <c r="O25" s="120"/>
      <c r="P25" s="120"/>
      <c r="Q25" s="120"/>
      <c r="R25" s="120"/>
      <c r="S25" s="120"/>
      <c r="T25" s="120"/>
      <c r="U25" s="114"/>
      <c r="V25" s="114"/>
      <c r="W25" s="114"/>
      <c r="X25" s="114"/>
      <c r="Y25" s="114"/>
      <c r="Z25" s="114"/>
      <c r="AA25" s="114"/>
      <c r="AB25" s="114"/>
      <c r="AC25" s="114"/>
      <c r="AD25" s="114"/>
      <c r="AE25" s="114"/>
      <c r="AF25" s="114"/>
      <c r="AG25" s="114"/>
      <c r="AH25" s="114"/>
    </row>
    <row r="26" spans="1:34" x14ac:dyDescent="0.2">
      <c r="A26" s="120" t="s">
        <v>597</v>
      </c>
      <c r="B26" s="120"/>
      <c r="C26" s="120"/>
      <c r="D26" s="120"/>
      <c r="E26" s="565" t="str">
        <f>IF('Dane personalne'!D31="","",'Dane personalne'!D31)</f>
        <v/>
      </c>
      <c r="F26" s="565"/>
      <c r="G26" s="565"/>
      <c r="H26" s="565"/>
      <c r="I26" s="565"/>
      <c r="J26" s="565"/>
      <c r="K26" s="565"/>
      <c r="L26" s="565"/>
      <c r="M26" s="515" t="s">
        <v>338</v>
      </c>
      <c r="N26" s="515"/>
      <c r="O26" s="565" t="str">
        <f>IF('Dane personalne'!D30="","",'Dane personalne'!D30)</f>
        <v/>
      </c>
      <c r="P26" s="565"/>
      <c r="Q26" s="565"/>
      <c r="R26" s="565"/>
      <c r="S26" s="565"/>
      <c r="T26" s="120"/>
      <c r="U26" s="114"/>
      <c r="V26" s="114"/>
      <c r="W26" s="114"/>
      <c r="X26" s="114"/>
      <c r="Y26" s="114"/>
      <c r="Z26" s="114"/>
      <c r="AA26" s="114"/>
      <c r="AB26" s="114"/>
      <c r="AC26" s="114"/>
      <c r="AD26" s="114"/>
      <c r="AE26" s="114"/>
      <c r="AF26" s="114"/>
      <c r="AG26" s="114"/>
      <c r="AH26" s="114"/>
    </row>
    <row r="27" spans="1:34" ht="6" customHeight="1" x14ac:dyDescent="0.2">
      <c r="A27" s="120"/>
      <c r="B27" s="120"/>
      <c r="C27" s="120"/>
      <c r="D27" s="120"/>
      <c r="E27" s="120"/>
      <c r="F27" s="120"/>
      <c r="G27" s="120"/>
      <c r="H27" s="120"/>
      <c r="I27" s="120"/>
      <c r="J27" s="120"/>
      <c r="K27" s="120"/>
      <c r="L27" s="120"/>
      <c r="M27" s="120"/>
      <c r="N27" s="120"/>
      <c r="O27" s="120"/>
      <c r="P27" s="120"/>
      <c r="Q27" s="120"/>
      <c r="R27" s="120"/>
      <c r="S27" s="120"/>
      <c r="T27" s="120"/>
      <c r="U27" s="114"/>
      <c r="V27" s="114"/>
      <c r="W27" s="114"/>
      <c r="X27" s="114"/>
      <c r="Y27" s="114"/>
      <c r="Z27" s="114"/>
      <c r="AA27" s="114"/>
      <c r="AB27" s="114"/>
      <c r="AC27" s="114"/>
      <c r="AD27" s="114"/>
      <c r="AE27" s="114"/>
      <c r="AF27" s="114"/>
      <c r="AG27" s="114"/>
      <c r="AH27" s="114"/>
    </row>
    <row r="28" spans="1:34" x14ac:dyDescent="0.2">
      <c r="A28" s="571" t="s">
        <v>339</v>
      </c>
      <c r="B28" s="571"/>
      <c r="C28" s="571"/>
      <c r="D28" s="565" t="str">
        <f>'2.R-k bankowy'!F18</f>
        <v/>
      </c>
      <c r="E28" s="565"/>
      <c r="F28" s="565"/>
      <c r="G28" s="565"/>
      <c r="H28" s="565"/>
      <c r="I28" s="120" t="s">
        <v>322</v>
      </c>
      <c r="J28" s="120"/>
      <c r="K28" s="405" t="str">
        <f>'2.R-k bankowy'!C20</f>
        <v/>
      </c>
      <c r="L28" s="405"/>
      <c r="M28" s="405"/>
      <c r="N28" s="405"/>
      <c r="O28" s="405"/>
      <c r="P28" s="120" t="s">
        <v>323</v>
      </c>
      <c r="Q28" s="137" t="str">
        <f>'2.R-k bankowy'!Q20</f>
        <v xml:space="preserve">  </v>
      </c>
      <c r="R28" s="120"/>
      <c r="S28" s="135"/>
      <c r="T28" s="120"/>
      <c r="U28" s="114"/>
      <c r="V28" s="114"/>
      <c r="W28" s="114"/>
      <c r="X28" s="114"/>
      <c r="Y28" s="114"/>
      <c r="Z28" s="114"/>
      <c r="AA28" s="114"/>
      <c r="AB28" s="114"/>
      <c r="AC28" s="114"/>
      <c r="AD28" s="114"/>
      <c r="AE28" s="114"/>
      <c r="AF28" s="114"/>
      <c r="AG28" s="114"/>
      <c r="AH28" s="114"/>
    </row>
    <row r="29" spans="1:34" ht="6" customHeight="1" x14ac:dyDescent="0.2">
      <c r="A29" s="120"/>
      <c r="B29" s="120"/>
      <c r="C29" s="120"/>
      <c r="D29" s="120"/>
      <c r="E29" s="120"/>
      <c r="F29" s="120"/>
      <c r="G29" s="120"/>
      <c r="H29" s="120"/>
      <c r="I29" s="120"/>
      <c r="J29" s="120"/>
      <c r="K29" s="120"/>
      <c r="L29" s="120"/>
      <c r="M29" s="120"/>
      <c r="N29" s="120"/>
      <c r="O29" s="120"/>
      <c r="P29" s="120"/>
      <c r="Q29" s="120"/>
      <c r="R29" s="120"/>
      <c r="S29" s="120"/>
      <c r="T29" s="120"/>
      <c r="U29" s="114"/>
      <c r="V29" s="114"/>
      <c r="W29" s="114"/>
      <c r="X29" s="114"/>
      <c r="Y29" s="114"/>
      <c r="Z29" s="114"/>
      <c r="AA29" s="114"/>
      <c r="AB29" s="114"/>
      <c r="AC29" s="114"/>
      <c r="AD29" s="114"/>
      <c r="AE29" s="114"/>
      <c r="AF29" s="114"/>
      <c r="AG29" s="114"/>
      <c r="AH29" s="114"/>
    </row>
    <row r="30" spans="1:34" x14ac:dyDescent="0.2">
      <c r="A30" s="571" t="s">
        <v>321</v>
      </c>
      <c r="B30" s="571"/>
      <c r="C30" s="571"/>
      <c r="D30" s="571"/>
      <c r="E30" s="571"/>
      <c r="F30" s="132" t="str">
        <f>'2.R-k bankowy'!X18</f>
        <v/>
      </c>
      <c r="G30" s="132" t="str">
        <f>'2.R-k bankowy'!Y18</f>
        <v/>
      </c>
      <c r="H30" s="133" t="s">
        <v>13</v>
      </c>
      <c r="I30" s="132" t="str">
        <f>'2.R-k bankowy'!AA18</f>
        <v/>
      </c>
      <c r="J30" s="132" t="str">
        <f>'2.R-k bankowy'!AB18</f>
        <v/>
      </c>
      <c r="K30" s="132" t="str">
        <f>'2.R-k bankowy'!AC18</f>
        <v/>
      </c>
      <c r="L30" s="120"/>
      <c r="M30" s="120"/>
      <c r="N30" s="120" t="s">
        <v>324</v>
      </c>
      <c r="O30" s="120"/>
      <c r="P30" s="405" t="str">
        <f>'2.R-k bankowy'!F18</f>
        <v/>
      </c>
      <c r="Q30" s="405"/>
      <c r="R30" s="405"/>
      <c r="S30" s="405"/>
      <c r="T30" s="120"/>
      <c r="U30" s="114"/>
      <c r="V30" s="114"/>
      <c r="W30" s="114"/>
      <c r="X30" s="114"/>
      <c r="Y30" s="114"/>
      <c r="Z30" s="114"/>
      <c r="AA30" s="114"/>
      <c r="AB30" s="114"/>
      <c r="AC30" s="114"/>
      <c r="AD30" s="114"/>
      <c r="AE30" s="114"/>
      <c r="AF30" s="114"/>
      <c r="AG30" s="114"/>
      <c r="AH30" s="114"/>
    </row>
    <row r="31" spans="1:34" ht="9" customHeight="1" x14ac:dyDescent="0.2">
      <c r="A31" s="120"/>
      <c r="B31" s="120"/>
      <c r="C31" s="120"/>
      <c r="D31" s="120"/>
      <c r="E31" s="120"/>
      <c r="F31" s="120"/>
      <c r="G31" s="120"/>
      <c r="H31" s="120"/>
      <c r="I31" s="120"/>
      <c r="J31" s="120"/>
      <c r="K31" s="120"/>
      <c r="L31" s="120"/>
      <c r="M31" s="120"/>
      <c r="N31" s="120"/>
      <c r="O31" s="120"/>
      <c r="P31" s="120"/>
      <c r="Q31" s="120"/>
      <c r="R31" s="120"/>
      <c r="S31" s="120"/>
      <c r="T31" s="120"/>
      <c r="U31" s="114"/>
      <c r="V31" s="114"/>
      <c r="W31" s="114"/>
      <c r="X31" s="114"/>
      <c r="Y31" s="114"/>
      <c r="Z31" s="114"/>
      <c r="AA31" s="114"/>
      <c r="AB31" s="114"/>
      <c r="AC31" s="114"/>
      <c r="AD31" s="114"/>
      <c r="AE31" s="114"/>
      <c r="AF31" s="114"/>
      <c r="AG31" s="114"/>
      <c r="AH31" s="114"/>
    </row>
    <row r="32" spans="1:34" x14ac:dyDescent="0.2">
      <c r="A32" s="571" t="s">
        <v>311</v>
      </c>
      <c r="B32" s="571"/>
      <c r="C32" s="571"/>
      <c r="D32" s="571"/>
      <c r="E32" s="571"/>
      <c r="F32" s="571"/>
      <c r="G32" s="580" t="str">
        <f>IF('Dane personalne'!D48="","",'Dane personalne'!D48)</f>
        <v/>
      </c>
      <c r="H32" s="580"/>
      <c r="I32" s="580"/>
      <c r="J32" s="580"/>
      <c r="K32" s="580"/>
      <c r="L32" s="580"/>
      <c r="M32" s="580"/>
      <c r="N32" s="580"/>
      <c r="O32" s="580"/>
      <c r="P32" s="580"/>
      <c r="Q32" s="580"/>
      <c r="R32" s="349" t="s">
        <v>322</v>
      </c>
      <c r="S32" s="147" t="str">
        <f>IF('Dane personalne'!D49="","",'Dane personalne'!D49)</f>
        <v/>
      </c>
      <c r="T32" s="120"/>
      <c r="U32" s="114"/>
      <c r="V32" s="114"/>
      <c r="W32" s="114"/>
      <c r="X32" s="114"/>
      <c r="Y32" s="114"/>
      <c r="Z32" s="114"/>
      <c r="AA32" s="114"/>
      <c r="AB32" s="114"/>
      <c r="AC32" s="114"/>
      <c r="AD32" s="114"/>
      <c r="AE32" s="114"/>
      <c r="AF32" s="114"/>
      <c r="AG32" s="114"/>
      <c r="AH32" s="114"/>
    </row>
    <row r="33" spans="1:34" ht="9.75" customHeight="1" x14ac:dyDescent="0.2">
      <c r="A33" s="120"/>
      <c r="B33" s="120"/>
      <c r="C33" s="120"/>
      <c r="D33" s="120"/>
      <c r="E33" s="120"/>
      <c r="F33" s="120"/>
      <c r="G33" s="120"/>
      <c r="H33" s="120"/>
      <c r="I33" s="120"/>
      <c r="J33" s="120"/>
      <c r="K33" s="120"/>
      <c r="L33" s="120"/>
      <c r="M33" s="120"/>
      <c r="N33" s="120"/>
      <c r="O33" s="120"/>
      <c r="P33" s="120"/>
      <c r="Q33" s="120"/>
      <c r="R33" s="120"/>
      <c r="S33" s="120"/>
      <c r="T33" s="120"/>
      <c r="U33" s="114"/>
      <c r="V33" s="114"/>
      <c r="W33" s="114"/>
      <c r="X33" s="114"/>
      <c r="Y33" s="114"/>
      <c r="Z33" s="114"/>
      <c r="AA33" s="114"/>
      <c r="AB33" s="114"/>
      <c r="AC33" s="114"/>
      <c r="AD33" s="114"/>
      <c r="AE33" s="114"/>
      <c r="AF33" s="114"/>
      <c r="AG33" s="114"/>
      <c r="AH33" s="114"/>
    </row>
    <row r="34" spans="1:34" ht="7.5" customHeight="1" x14ac:dyDescent="0.2">
      <c r="A34" s="120"/>
      <c r="B34" s="120"/>
      <c r="C34" s="120"/>
      <c r="D34" s="120"/>
      <c r="E34" s="120"/>
      <c r="F34" s="120"/>
      <c r="G34" s="120"/>
      <c r="H34" s="120"/>
      <c r="I34" s="120"/>
      <c r="J34" s="120"/>
      <c r="K34" s="120"/>
      <c r="L34" s="120"/>
      <c r="M34" s="120"/>
      <c r="N34" s="120"/>
      <c r="O34" s="120"/>
      <c r="P34" s="120"/>
      <c r="Q34" s="120"/>
      <c r="R34" s="120"/>
      <c r="S34" s="120"/>
      <c r="T34" s="120"/>
      <c r="U34" s="114"/>
      <c r="V34" s="114"/>
      <c r="W34" s="114"/>
      <c r="X34" s="114"/>
      <c r="Y34" s="114"/>
      <c r="Z34" s="114"/>
      <c r="AA34" s="114"/>
      <c r="AB34" s="114"/>
      <c r="AC34" s="114"/>
      <c r="AD34" s="114"/>
      <c r="AE34" s="114"/>
      <c r="AF34" s="114"/>
      <c r="AG34" s="114"/>
      <c r="AH34" s="114"/>
    </row>
    <row r="35" spans="1:34" x14ac:dyDescent="0.2">
      <c r="A35" s="571" t="s">
        <v>340</v>
      </c>
      <c r="B35" s="571"/>
      <c r="C35" s="571"/>
      <c r="D35" s="571"/>
      <c r="E35" s="571"/>
      <c r="F35" s="571"/>
      <c r="G35" s="571"/>
      <c r="H35" s="571"/>
      <c r="I35" s="571"/>
      <c r="J35" s="405"/>
      <c r="K35" s="405"/>
      <c r="L35" s="405"/>
      <c r="M35" s="405"/>
      <c r="N35" s="405"/>
      <c r="O35" s="405"/>
      <c r="P35" s="405"/>
      <c r="Q35" s="405"/>
      <c r="R35" s="405"/>
      <c r="S35" s="405"/>
      <c r="T35" s="120"/>
      <c r="U35" s="114"/>
      <c r="V35" s="114"/>
      <c r="W35" s="114"/>
      <c r="X35" s="114"/>
      <c r="Y35" s="114"/>
      <c r="Z35" s="114"/>
      <c r="AA35" s="114"/>
      <c r="AB35" s="114"/>
      <c r="AC35" s="114"/>
      <c r="AD35" s="114"/>
      <c r="AE35" s="114"/>
      <c r="AF35" s="114"/>
      <c r="AG35" s="114"/>
      <c r="AH35" s="114"/>
    </row>
    <row r="36" spans="1:34" x14ac:dyDescent="0.2">
      <c r="A36" s="120"/>
      <c r="B36" s="120"/>
      <c r="C36" s="120"/>
      <c r="D36" s="120"/>
      <c r="E36" s="120"/>
      <c r="F36" s="120"/>
      <c r="G36" s="120"/>
      <c r="H36" s="120"/>
      <c r="I36" s="120"/>
      <c r="J36" s="583" t="s">
        <v>573</v>
      </c>
      <c r="K36" s="583"/>
      <c r="L36" s="583"/>
      <c r="M36" s="583"/>
      <c r="N36" s="583"/>
      <c r="O36" s="583"/>
      <c r="P36" s="583"/>
      <c r="Q36" s="583"/>
      <c r="R36" s="583"/>
      <c r="S36" s="583"/>
      <c r="T36" s="120"/>
      <c r="U36" s="114"/>
      <c r="V36" s="114"/>
      <c r="W36" s="114"/>
      <c r="X36" s="114"/>
      <c r="Y36" s="114"/>
      <c r="Z36" s="114"/>
      <c r="AA36" s="114"/>
      <c r="AB36" s="114"/>
      <c r="AC36" s="114"/>
      <c r="AD36" s="114"/>
      <c r="AE36" s="114"/>
      <c r="AF36" s="114"/>
      <c r="AG36" s="114"/>
      <c r="AH36" s="114"/>
    </row>
    <row r="37" spans="1:34" x14ac:dyDescent="0.2">
      <c r="A37" s="571" t="s">
        <v>341</v>
      </c>
      <c r="B37" s="571"/>
      <c r="C37" s="571"/>
      <c r="D37" s="571"/>
      <c r="E37" s="571"/>
      <c r="F37" s="571"/>
      <c r="G37" s="571"/>
      <c r="H37" s="571"/>
      <c r="I37" s="571"/>
      <c r="J37" s="571"/>
      <c r="K37" s="571"/>
      <c r="L37" s="571"/>
      <c r="M37" s="571"/>
      <c r="N37" s="571"/>
      <c r="O37" s="571"/>
      <c r="P37" s="571"/>
      <c r="Q37" s="571"/>
      <c r="R37" s="571"/>
      <c r="S37" s="571"/>
      <c r="T37" s="120"/>
      <c r="U37" s="114"/>
      <c r="V37" s="114"/>
      <c r="W37" s="114"/>
      <c r="X37" s="114"/>
      <c r="Y37" s="114"/>
      <c r="Z37" s="114"/>
      <c r="AA37" s="114"/>
      <c r="AB37" s="114"/>
      <c r="AC37" s="114"/>
      <c r="AD37" s="114"/>
      <c r="AE37" s="114"/>
      <c r="AF37" s="114"/>
      <c r="AG37" s="114"/>
      <c r="AH37" s="114"/>
    </row>
    <row r="38" spans="1:34" x14ac:dyDescent="0.2">
      <c r="A38" s="571" t="s">
        <v>592</v>
      </c>
      <c r="B38" s="571"/>
      <c r="C38" s="571"/>
      <c r="D38" s="571"/>
      <c r="E38" s="571"/>
      <c r="F38" s="571"/>
      <c r="G38" s="571"/>
      <c r="H38" s="571"/>
      <c r="I38" s="571"/>
      <c r="J38" s="571"/>
      <c r="K38" s="571"/>
      <c r="L38" s="571"/>
      <c r="M38" s="571"/>
      <c r="N38" s="571"/>
      <c r="O38" s="571"/>
      <c r="P38" s="571"/>
      <c r="Q38" s="571"/>
      <c r="R38" s="571"/>
      <c r="S38" s="571"/>
      <c r="T38" s="120"/>
      <c r="U38" s="114"/>
      <c r="V38" s="114"/>
      <c r="W38" s="114"/>
      <c r="X38" s="114"/>
      <c r="Y38" s="114"/>
      <c r="Z38" s="114"/>
      <c r="AA38" s="114"/>
      <c r="AB38" s="114"/>
      <c r="AC38" s="114"/>
      <c r="AD38" s="114"/>
      <c r="AE38" s="114"/>
      <c r="AF38" s="114"/>
      <c r="AG38" s="114"/>
      <c r="AH38" s="114"/>
    </row>
    <row r="39" spans="1:34" x14ac:dyDescent="0.2">
      <c r="A39" s="120" t="s">
        <v>0</v>
      </c>
      <c r="B39" s="571" t="s">
        <v>600</v>
      </c>
      <c r="C39" s="571"/>
      <c r="D39" s="571"/>
      <c r="E39" s="571"/>
      <c r="F39" s="571"/>
      <c r="G39" s="571"/>
      <c r="H39" s="571"/>
      <c r="I39" s="571"/>
      <c r="J39" s="571"/>
      <c r="K39" s="571"/>
      <c r="L39" s="571"/>
      <c r="M39" s="571"/>
      <c r="N39" s="571"/>
      <c r="O39" s="571"/>
      <c r="P39" s="571"/>
      <c r="Q39" s="571"/>
      <c r="R39" s="571"/>
      <c r="S39" s="571"/>
      <c r="T39" s="120"/>
      <c r="U39" s="114"/>
      <c r="V39" s="114"/>
      <c r="W39" s="114"/>
      <c r="X39" s="114"/>
      <c r="Y39" s="114"/>
      <c r="Z39" s="114"/>
      <c r="AA39" s="114"/>
      <c r="AB39" s="114"/>
      <c r="AC39" s="114"/>
      <c r="AD39" s="114"/>
      <c r="AE39" s="114"/>
      <c r="AF39" s="114"/>
      <c r="AG39" s="114"/>
      <c r="AH39" s="114"/>
    </row>
    <row r="40" spans="1:34" x14ac:dyDescent="0.2">
      <c r="A40" s="120" t="s">
        <v>1</v>
      </c>
      <c r="B40" s="571" t="s">
        <v>342</v>
      </c>
      <c r="C40" s="571"/>
      <c r="D40" s="571"/>
      <c r="E40" s="571"/>
      <c r="F40" s="571"/>
      <c r="G40" s="571"/>
      <c r="H40" s="571"/>
      <c r="I40" s="571"/>
      <c r="J40" s="571"/>
      <c r="K40" s="571"/>
      <c r="L40" s="571"/>
      <c r="M40" s="571"/>
      <c r="N40" s="571"/>
      <c r="O40" s="571"/>
      <c r="P40" s="571"/>
      <c r="Q40" s="571"/>
      <c r="R40" s="571"/>
      <c r="S40" s="571"/>
      <c r="T40" s="120"/>
      <c r="U40" s="114"/>
      <c r="V40" s="114"/>
      <c r="W40" s="114"/>
      <c r="X40" s="114"/>
      <c r="Y40" s="114"/>
      <c r="Z40" s="114"/>
      <c r="AA40" s="114"/>
      <c r="AB40" s="114"/>
      <c r="AC40" s="114"/>
      <c r="AD40" s="114"/>
      <c r="AE40" s="114"/>
      <c r="AF40" s="114"/>
      <c r="AG40" s="114"/>
      <c r="AH40" s="114"/>
    </row>
    <row r="41" spans="1:34" x14ac:dyDescent="0.2">
      <c r="A41" s="120"/>
      <c r="B41" s="571" t="s">
        <v>343</v>
      </c>
      <c r="C41" s="571"/>
      <c r="D41" s="571"/>
      <c r="E41" s="571"/>
      <c r="F41" s="571"/>
      <c r="G41" s="571"/>
      <c r="H41" s="571"/>
      <c r="I41" s="571"/>
      <c r="J41" s="571"/>
      <c r="K41" s="571"/>
      <c r="L41" s="571"/>
      <c r="M41" s="571"/>
      <c r="N41" s="571"/>
      <c r="O41" s="571"/>
      <c r="P41" s="571"/>
      <c r="Q41" s="571"/>
      <c r="R41" s="571"/>
      <c r="S41" s="571"/>
      <c r="T41" s="120"/>
      <c r="U41" s="114"/>
      <c r="V41" s="114"/>
      <c r="W41" s="114"/>
      <c r="X41" s="114"/>
      <c r="Y41" s="114"/>
      <c r="Z41" s="114"/>
      <c r="AA41" s="114"/>
      <c r="AB41" s="114"/>
      <c r="AC41" s="114"/>
      <c r="AD41" s="114"/>
      <c r="AE41" s="114"/>
      <c r="AF41" s="114"/>
      <c r="AG41" s="114"/>
      <c r="AH41" s="114"/>
    </row>
    <row r="42" spans="1:34" x14ac:dyDescent="0.2">
      <c r="A42" s="120" t="s">
        <v>2</v>
      </c>
      <c r="B42" s="571" t="s">
        <v>345</v>
      </c>
      <c r="C42" s="571"/>
      <c r="D42" s="571"/>
      <c r="E42" s="571"/>
      <c r="F42" s="571"/>
      <c r="G42" s="571"/>
      <c r="H42" s="571"/>
      <c r="I42" s="571"/>
      <c r="J42" s="571"/>
      <c r="K42" s="571"/>
      <c r="L42" s="571"/>
      <c r="M42" s="571"/>
      <c r="N42" s="571"/>
      <c r="O42" s="571"/>
      <c r="P42" s="571"/>
      <c r="Q42" s="571"/>
      <c r="R42" s="571"/>
      <c r="S42" s="571"/>
      <c r="T42" s="120"/>
      <c r="U42" s="114"/>
      <c r="V42" s="114"/>
      <c r="W42" s="114"/>
      <c r="X42" s="114"/>
      <c r="Y42" s="114"/>
      <c r="Z42" s="114"/>
      <c r="AA42" s="114"/>
      <c r="AB42" s="114"/>
      <c r="AC42" s="114"/>
      <c r="AD42" s="114"/>
      <c r="AE42" s="114"/>
      <c r="AF42" s="114"/>
      <c r="AG42" s="114"/>
      <c r="AH42" s="114"/>
    </row>
    <row r="43" spans="1:34" x14ac:dyDescent="0.2">
      <c r="A43" s="120" t="s">
        <v>344</v>
      </c>
      <c r="B43" s="123"/>
      <c r="C43" s="123"/>
      <c r="D43" s="123"/>
      <c r="E43" s="123"/>
      <c r="F43" s="123"/>
      <c r="G43" s="123"/>
      <c r="H43" s="123"/>
      <c r="I43" s="123"/>
      <c r="J43" s="123"/>
      <c r="K43" s="123"/>
      <c r="L43" s="123"/>
      <c r="M43" s="123"/>
      <c r="N43" s="123"/>
      <c r="O43" s="123"/>
      <c r="P43" s="123"/>
      <c r="Q43" s="123"/>
      <c r="R43" s="123"/>
      <c r="S43" s="123"/>
      <c r="T43" s="120"/>
      <c r="U43" s="112"/>
      <c r="V43" s="112"/>
      <c r="W43" s="112"/>
      <c r="X43" s="112"/>
      <c r="Y43" s="112"/>
      <c r="Z43" s="112"/>
      <c r="AA43" s="112"/>
      <c r="AB43" s="112"/>
      <c r="AC43" s="112"/>
      <c r="AD43" s="112"/>
    </row>
    <row r="44" spans="1:34" x14ac:dyDescent="0.2">
      <c r="A44" s="120" t="s">
        <v>3</v>
      </c>
      <c r="B44" s="571" t="s">
        <v>598</v>
      </c>
      <c r="C44" s="571"/>
      <c r="D44" s="571"/>
      <c r="E44" s="571"/>
      <c r="F44" s="571"/>
      <c r="G44" s="571"/>
      <c r="H44" s="571"/>
      <c r="I44" s="571"/>
      <c r="J44" s="571"/>
      <c r="K44" s="571"/>
      <c r="L44" s="571"/>
      <c r="M44" s="571"/>
      <c r="N44" s="571"/>
      <c r="O44" s="571"/>
      <c r="P44" s="571"/>
      <c r="Q44" s="571"/>
      <c r="R44" s="571"/>
      <c r="S44" s="571"/>
      <c r="T44" s="120"/>
      <c r="U44" s="114"/>
      <c r="V44" s="114"/>
      <c r="W44" s="114"/>
      <c r="X44" s="114"/>
      <c r="Y44" s="114"/>
      <c r="Z44" s="114"/>
      <c r="AA44" s="114"/>
      <c r="AB44" s="114"/>
      <c r="AC44" s="112"/>
      <c r="AD44" s="112"/>
    </row>
    <row r="45" spans="1:34" x14ac:dyDescent="0.2">
      <c r="A45" s="120"/>
      <c r="B45" s="571" t="s">
        <v>599</v>
      </c>
      <c r="C45" s="571"/>
      <c r="D45" s="571"/>
      <c r="E45" s="571"/>
      <c r="F45" s="571"/>
      <c r="G45" s="571"/>
      <c r="H45" s="571"/>
      <c r="I45" s="571"/>
      <c r="J45" s="571"/>
      <c r="K45" s="571"/>
      <c r="L45" s="571"/>
      <c r="M45" s="571"/>
      <c r="N45" s="571"/>
      <c r="O45" s="571"/>
      <c r="P45" s="571"/>
      <c r="Q45" s="571"/>
      <c r="R45" s="571"/>
      <c r="S45" s="571"/>
      <c r="T45" s="120"/>
      <c r="U45" s="114"/>
      <c r="V45" s="114"/>
      <c r="W45" s="114"/>
      <c r="X45" s="114"/>
      <c r="Y45" s="114"/>
      <c r="Z45" s="114"/>
      <c r="AA45" s="114"/>
      <c r="AB45" s="114"/>
      <c r="AC45" s="112"/>
      <c r="AD45" s="112"/>
    </row>
    <row r="46" spans="1:34" x14ac:dyDescent="0.2">
      <c r="A46" s="120"/>
      <c r="B46" s="120" t="s">
        <v>13</v>
      </c>
      <c r="C46" s="120" t="s">
        <v>346</v>
      </c>
      <c r="D46" s="120"/>
      <c r="E46" s="120"/>
      <c r="F46" s="120"/>
      <c r="G46" s="120"/>
      <c r="H46" s="120"/>
      <c r="I46" s="120"/>
      <c r="J46" s="120"/>
      <c r="K46" s="120"/>
      <c r="L46" s="120"/>
      <c r="M46" s="120"/>
      <c r="N46" s="120"/>
      <c r="O46" s="120"/>
      <c r="P46" s="120"/>
      <c r="Q46" s="120"/>
      <c r="R46" s="120"/>
      <c r="S46" s="120"/>
      <c r="T46" s="120"/>
      <c r="U46" s="114"/>
      <c r="V46" s="114"/>
      <c r="W46" s="114"/>
      <c r="X46" s="114"/>
      <c r="Y46" s="114"/>
      <c r="Z46" s="114"/>
      <c r="AA46" s="114"/>
      <c r="AB46" s="114"/>
      <c r="AC46" s="112"/>
      <c r="AD46" s="112"/>
    </row>
    <row r="47" spans="1:34" x14ac:dyDescent="0.2">
      <c r="A47" s="120"/>
      <c r="B47" s="120" t="s">
        <v>13</v>
      </c>
      <c r="C47" s="120" t="s">
        <v>347</v>
      </c>
      <c r="D47" s="120"/>
      <c r="E47" s="120"/>
      <c r="F47" s="120"/>
      <c r="G47" s="120"/>
      <c r="H47" s="120"/>
      <c r="I47" s="120"/>
      <c r="J47" s="120"/>
      <c r="K47" s="120"/>
      <c r="L47" s="120"/>
      <c r="M47" s="120"/>
      <c r="N47" s="120"/>
      <c r="O47" s="120"/>
      <c r="P47" s="120"/>
      <c r="Q47" s="120"/>
      <c r="R47" s="120"/>
      <c r="S47" s="120"/>
      <c r="T47" s="120"/>
      <c r="U47" s="114"/>
      <c r="V47" s="114"/>
      <c r="W47" s="114"/>
      <c r="X47" s="114"/>
      <c r="Y47" s="114"/>
      <c r="Z47" s="114"/>
      <c r="AA47" s="114"/>
      <c r="AB47" s="114"/>
      <c r="AC47" s="112"/>
      <c r="AD47" s="112"/>
    </row>
    <row r="48" spans="1:34" x14ac:dyDescent="0.2">
      <c r="A48" s="120"/>
      <c r="B48" s="120"/>
      <c r="C48" s="120"/>
      <c r="D48" s="120"/>
      <c r="E48" s="120"/>
      <c r="F48" s="120"/>
      <c r="G48" s="120"/>
      <c r="H48" s="120"/>
      <c r="I48" s="120"/>
      <c r="J48" s="120"/>
      <c r="K48" s="120"/>
      <c r="L48" s="120"/>
      <c r="M48" s="120"/>
      <c r="N48" s="120"/>
      <c r="O48" s="120"/>
      <c r="P48" s="120"/>
      <c r="Q48" s="120"/>
      <c r="R48" s="120"/>
      <c r="S48" s="120"/>
      <c r="T48" s="120"/>
      <c r="U48" s="114"/>
      <c r="V48" s="114"/>
      <c r="W48" s="114"/>
      <c r="X48" s="114"/>
      <c r="Y48" s="114"/>
      <c r="Z48" s="114"/>
      <c r="AA48" s="114"/>
      <c r="AB48" s="114"/>
      <c r="AC48" s="112"/>
      <c r="AD48" s="112"/>
    </row>
    <row r="49" spans="1:30" x14ac:dyDescent="0.2">
      <c r="A49" s="571" t="s">
        <v>348</v>
      </c>
      <c r="B49" s="571"/>
      <c r="C49" s="571"/>
      <c r="D49" s="571"/>
      <c r="E49" s="571"/>
      <c r="F49" s="571"/>
      <c r="G49" s="571"/>
      <c r="H49" s="571"/>
      <c r="I49" s="571"/>
      <c r="J49" s="571"/>
      <c r="K49" s="571"/>
      <c r="L49" s="571"/>
      <c r="M49" s="571"/>
      <c r="N49" s="571"/>
      <c r="O49" s="571"/>
      <c r="P49" s="571"/>
      <c r="Q49" s="571"/>
      <c r="R49" s="571"/>
      <c r="S49" s="571"/>
      <c r="T49" s="120"/>
      <c r="U49" s="114"/>
      <c r="V49" s="114"/>
      <c r="W49" s="114"/>
      <c r="X49" s="114"/>
      <c r="Y49" s="114"/>
      <c r="Z49" s="114"/>
      <c r="AA49" s="114"/>
      <c r="AB49" s="114"/>
      <c r="AC49" s="112"/>
      <c r="AD49" s="112"/>
    </row>
    <row r="50" spans="1:30" x14ac:dyDescent="0.2">
      <c r="A50" s="571" t="s">
        <v>601</v>
      </c>
      <c r="B50" s="571"/>
      <c r="C50" s="571"/>
      <c r="D50" s="571"/>
      <c r="E50" s="571"/>
      <c r="F50" s="571"/>
      <c r="G50" s="571"/>
      <c r="H50" s="571"/>
      <c r="I50" s="571"/>
      <c r="J50" s="571"/>
      <c r="K50" s="571"/>
      <c r="L50" s="571"/>
      <c r="M50" s="571"/>
      <c r="N50" s="571"/>
      <c r="O50" s="571"/>
      <c r="P50" s="571"/>
      <c r="Q50" s="571"/>
      <c r="R50" s="571"/>
      <c r="S50" s="571"/>
      <c r="T50" s="120"/>
      <c r="U50" s="114"/>
      <c r="V50" s="114"/>
      <c r="W50" s="114"/>
      <c r="X50" s="114"/>
      <c r="Y50" s="114"/>
      <c r="Z50" s="114"/>
      <c r="AA50" s="114"/>
      <c r="AB50" s="114"/>
      <c r="AC50" s="112"/>
      <c r="AD50" s="112"/>
    </row>
    <row r="51" spans="1:30" x14ac:dyDescent="0.2">
      <c r="A51" s="120"/>
      <c r="B51" s="120"/>
      <c r="C51" s="120"/>
      <c r="D51" s="120"/>
      <c r="E51" s="120"/>
      <c r="F51" s="120"/>
      <c r="G51" s="120"/>
      <c r="H51" s="120"/>
      <c r="I51" s="120"/>
      <c r="J51" s="120"/>
      <c r="K51" s="120"/>
      <c r="L51" s="120"/>
      <c r="M51" s="120"/>
      <c r="N51" s="120"/>
      <c r="O51" s="120"/>
      <c r="P51" s="120"/>
      <c r="Q51" s="120"/>
      <c r="R51" s="120"/>
      <c r="S51" s="120"/>
      <c r="T51" s="120"/>
      <c r="U51" s="114"/>
      <c r="V51" s="114"/>
      <c r="W51" s="114"/>
      <c r="X51" s="114"/>
      <c r="Y51" s="114"/>
      <c r="Z51" s="114"/>
      <c r="AA51" s="114"/>
      <c r="AB51" s="114"/>
      <c r="AC51" s="112"/>
      <c r="AD51" s="112"/>
    </row>
    <row r="52" spans="1:30" x14ac:dyDescent="0.2">
      <c r="A52" s="120"/>
      <c r="B52" s="120"/>
      <c r="C52" s="120"/>
      <c r="D52" s="120"/>
      <c r="E52" s="120"/>
      <c r="F52" s="120"/>
      <c r="G52" s="120"/>
      <c r="H52" s="120"/>
      <c r="I52" s="120"/>
      <c r="J52" s="120"/>
      <c r="K52" s="120"/>
      <c r="L52" s="120"/>
      <c r="M52" s="120"/>
      <c r="N52" s="120"/>
      <c r="O52" s="120"/>
      <c r="P52" s="120"/>
      <c r="Q52" s="120"/>
      <c r="R52" s="120"/>
      <c r="S52" s="120"/>
      <c r="T52" s="120"/>
      <c r="U52" s="114"/>
      <c r="V52" s="114"/>
      <c r="W52" s="114"/>
      <c r="X52" s="114"/>
      <c r="Y52" s="114"/>
      <c r="Z52" s="114"/>
      <c r="AA52" s="114"/>
      <c r="AB52" s="114"/>
      <c r="AC52" s="112"/>
      <c r="AD52" s="112"/>
    </row>
    <row r="53" spans="1:30" x14ac:dyDescent="0.2">
      <c r="A53" s="582" t="s">
        <v>603</v>
      </c>
      <c r="B53" s="582"/>
      <c r="C53" s="582"/>
      <c r="D53" s="582"/>
      <c r="E53" s="582"/>
      <c r="F53" s="582"/>
      <c r="G53" s="582"/>
      <c r="H53" s="582"/>
      <c r="I53" s="582"/>
      <c r="J53" s="582"/>
      <c r="K53" s="582"/>
      <c r="L53" s="582"/>
      <c r="M53" s="582"/>
      <c r="N53" s="582"/>
      <c r="O53" s="582"/>
      <c r="P53" s="582"/>
      <c r="Q53" s="582"/>
      <c r="R53" s="582"/>
      <c r="S53" s="582"/>
      <c r="T53" s="138"/>
      <c r="U53" s="112"/>
      <c r="V53" s="112"/>
      <c r="W53" s="112"/>
      <c r="X53" s="112"/>
      <c r="Y53" s="112"/>
      <c r="Z53" s="112"/>
      <c r="AA53" s="112"/>
      <c r="AB53" s="112"/>
      <c r="AC53" s="112"/>
      <c r="AD53" s="112"/>
    </row>
    <row r="54" spans="1:30" x14ac:dyDescent="0.2">
      <c r="A54" s="138" t="s">
        <v>13</v>
      </c>
      <c r="B54" s="582" t="s">
        <v>604</v>
      </c>
      <c r="C54" s="582"/>
      <c r="D54" s="582"/>
      <c r="E54" s="582"/>
      <c r="F54" s="582"/>
      <c r="G54" s="582"/>
      <c r="H54" s="582"/>
      <c r="I54" s="582"/>
      <c r="J54" s="582"/>
      <c r="K54" s="582"/>
      <c r="L54" s="582"/>
      <c r="M54" s="582"/>
      <c r="N54" s="582"/>
      <c r="O54" s="582"/>
      <c r="P54" s="582"/>
      <c r="Q54" s="582"/>
      <c r="R54" s="582"/>
      <c r="S54" s="582"/>
      <c r="T54" s="120"/>
      <c r="U54" s="113"/>
      <c r="V54" s="112"/>
      <c r="W54" s="112"/>
      <c r="X54" s="112"/>
      <c r="Y54" s="112"/>
      <c r="Z54" s="112"/>
      <c r="AA54" s="112"/>
      <c r="AB54" s="112"/>
      <c r="AC54" s="112"/>
      <c r="AD54" s="112"/>
    </row>
    <row r="55" spans="1:30" x14ac:dyDescent="0.2">
      <c r="A55" s="138" t="s">
        <v>13</v>
      </c>
      <c r="B55" s="582" t="s">
        <v>607</v>
      </c>
      <c r="C55" s="582"/>
      <c r="D55" s="582"/>
      <c r="E55" s="582"/>
      <c r="F55" s="582"/>
      <c r="G55" s="582"/>
      <c r="H55" s="582"/>
      <c r="I55" s="582"/>
      <c r="J55" s="582"/>
      <c r="K55" s="582"/>
      <c r="L55" s="582"/>
      <c r="M55" s="582"/>
      <c r="N55" s="582"/>
      <c r="O55" s="582"/>
      <c r="P55" s="582"/>
      <c r="Q55" s="582"/>
      <c r="R55" s="582"/>
      <c r="S55" s="582"/>
      <c r="T55" s="582"/>
      <c r="U55" s="112"/>
      <c r="V55" s="112"/>
      <c r="W55" s="112"/>
      <c r="X55" s="112"/>
      <c r="Y55" s="112"/>
      <c r="Z55" s="112"/>
      <c r="AA55" s="112"/>
      <c r="AB55" s="112"/>
      <c r="AC55" s="112"/>
      <c r="AD55" s="112"/>
    </row>
    <row r="56" spans="1:30" x14ac:dyDescent="0.2">
      <c r="A56" s="138" t="s">
        <v>13</v>
      </c>
      <c r="B56" s="582" t="s">
        <v>605</v>
      </c>
      <c r="C56" s="582"/>
      <c r="D56" s="582"/>
      <c r="E56" s="582"/>
      <c r="F56" s="582"/>
      <c r="G56" s="582"/>
      <c r="H56" s="582"/>
      <c r="I56" s="582"/>
      <c r="J56" s="582"/>
      <c r="K56" s="582"/>
      <c r="L56" s="582"/>
      <c r="M56" s="582"/>
      <c r="N56" s="582"/>
      <c r="O56" s="582"/>
      <c r="P56" s="582"/>
      <c r="Q56" s="582"/>
      <c r="R56" s="582"/>
      <c r="S56" s="582"/>
      <c r="T56" s="582"/>
      <c r="U56" s="112"/>
      <c r="V56" s="112"/>
      <c r="W56" s="112"/>
      <c r="X56" s="112"/>
      <c r="Y56" s="112"/>
      <c r="Z56" s="112"/>
      <c r="AA56" s="112"/>
      <c r="AB56" s="112"/>
      <c r="AC56" s="112"/>
      <c r="AD56" s="112"/>
    </row>
    <row r="57" spans="1:30" x14ac:dyDescent="0.2">
      <c r="A57" s="138"/>
      <c r="B57" s="582" t="s">
        <v>606</v>
      </c>
      <c r="C57" s="582"/>
      <c r="D57" s="582"/>
      <c r="E57" s="582"/>
      <c r="F57" s="582"/>
      <c r="G57" s="582"/>
      <c r="H57" s="582"/>
      <c r="I57" s="582"/>
      <c r="J57" s="582"/>
      <c r="K57" s="582"/>
      <c r="L57" s="582"/>
      <c r="M57" s="582"/>
      <c r="N57" s="582"/>
      <c r="O57" s="582"/>
      <c r="P57" s="582"/>
      <c r="Q57" s="582"/>
      <c r="R57" s="582"/>
      <c r="S57" s="582"/>
      <c r="T57" s="582"/>
      <c r="U57" s="112"/>
      <c r="V57" s="112"/>
      <c r="W57" s="112"/>
      <c r="X57" s="112"/>
      <c r="Y57" s="112"/>
      <c r="Z57" s="112"/>
      <c r="AA57" s="112"/>
      <c r="AB57" s="112"/>
      <c r="AC57" s="112"/>
      <c r="AD57" s="112"/>
    </row>
    <row r="58" spans="1:30" x14ac:dyDescent="0.2">
      <c r="A58" s="138"/>
      <c r="B58" s="139"/>
      <c r="C58" s="139"/>
      <c r="D58" s="139"/>
      <c r="E58" s="139"/>
      <c r="F58" s="139"/>
      <c r="G58" s="139"/>
      <c r="H58" s="139"/>
      <c r="I58" s="139"/>
      <c r="J58" s="139"/>
      <c r="K58" s="139"/>
      <c r="L58" s="139"/>
      <c r="M58" s="139"/>
      <c r="N58" s="139"/>
      <c r="O58" s="139"/>
      <c r="P58" s="139"/>
      <c r="Q58" s="139"/>
      <c r="R58" s="139"/>
      <c r="S58" s="139"/>
      <c r="T58" s="139"/>
      <c r="U58" s="112"/>
      <c r="V58" s="112"/>
      <c r="W58" s="112"/>
      <c r="X58" s="112"/>
      <c r="Y58" s="112"/>
      <c r="Z58" s="112"/>
      <c r="AA58" s="112"/>
      <c r="AB58" s="112"/>
      <c r="AC58" s="112"/>
      <c r="AD58" s="112"/>
    </row>
    <row r="59" spans="1:30" x14ac:dyDescent="0.2">
      <c r="A59" s="120" t="s">
        <v>570</v>
      </c>
      <c r="B59" s="120"/>
      <c r="C59" s="120"/>
      <c r="D59" s="120"/>
      <c r="E59" s="120"/>
      <c r="F59" s="120"/>
      <c r="G59" s="120"/>
      <c r="H59" s="120"/>
      <c r="I59" s="120"/>
      <c r="J59" s="120"/>
      <c r="K59" s="120"/>
      <c r="L59" s="120"/>
      <c r="M59" s="120"/>
      <c r="N59" s="120"/>
      <c r="O59" s="120"/>
      <c r="P59" s="120"/>
      <c r="Q59" s="120"/>
      <c r="R59" s="120"/>
      <c r="S59" s="120"/>
      <c r="T59" s="120"/>
      <c r="U59" s="112"/>
      <c r="V59" s="112"/>
      <c r="W59" s="112"/>
      <c r="X59" s="112"/>
      <c r="Y59" s="112"/>
      <c r="Z59" s="112"/>
      <c r="AA59" s="112"/>
      <c r="AB59" s="112"/>
      <c r="AC59" s="112"/>
      <c r="AD59" s="112"/>
    </row>
    <row r="60" spans="1:30" x14ac:dyDescent="0.2">
      <c r="A60" s="571" t="s">
        <v>571</v>
      </c>
      <c r="B60" s="571"/>
      <c r="C60" s="571"/>
      <c r="D60" s="571"/>
      <c r="E60" s="571"/>
      <c r="F60" s="571"/>
      <c r="G60" s="571"/>
      <c r="H60" s="571"/>
      <c r="I60" s="571"/>
      <c r="J60" s="571"/>
      <c r="K60" s="571"/>
      <c r="L60" s="571"/>
      <c r="M60" s="571"/>
      <c r="N60" s="571"/>
      <c r="O60" s="571"/>
      <c r="P60" s="571"/>
      <c r="Q60" s="571"/>
      <c r="R60" s="571"/>
      <c r="S60" s="571"/>
      <c r="T60" s="120"/>
      <c r="U60" s="112"/>
      <c r="V60" s="112"/>
      <c r="W60" s="112"/>
      <c r="X60" s="112"/>
      <c r="Y60" s="112"/>
      <c r="Z60" s="112"/>
      <c r="AA60" s="112"/>
      <c r="AB60" s="112"/>
      <c r="AC60" s="112"/>
      <c r="AD60" s="112"/>
    </row>
    <row r="61" spans="1:30" x14ac:dyDescent="0.2">
      <c r="A61" s="571" t="s">
        <v>572</v>
      </c>
      <c r="B61" s="571"/>
      <c r="C61" s="571"/>
      <c r="D61" s="571"/>
      <c r="E61" s="571"/>
      <c r="F61" s="571"/>
      <c r="G61" s="571"/>
      <c r="H61" s="571"/>
      <c r="I61" s="571"/>
      <c r="J61" s="571"/>
      <c r="K61" s="571"/>
      <c r="L61" s="571"/>
      <c r="M61" s="571"/>
      <c r="N61" s="571"/>
      <c r="O61" s="571"/>
      <c r="P61" s="571"/>
      <c r="Q61" s="571"/>
      <c r="R61" s="571"/>
      <c r="S61" s="571"/>
      <c r="T61" s="120"/>
      <c r="U61" s="112"/>
      <c r="V61" s="112"/>
      <c r="W61" s="112"/>
      <c r="X61" s="112"/>
      <c r="Y61" s="112"/>
      <c r="Z61" s="112"/>
      <c r="AA61" s="112"/>
      <c r="AB61" s="112"/>
      <c r="AC61" s="112"/>
      <c r="AD61" s="112"/>
    </row>
    <row r="62" spans="1:30" x14ac:dyDescent="0.2">
      <c r="A62" s="120"/>
      <c r="B62" s="120"/>
      <c r="C62" s="120"/>
      <c r="D62" s="120"/>
      <c r="E62" s="120"/>
      <c r="F62" s="120"/>
      <c r="G62" s="120"/>
      <c r="H62" s="120"/>
      <c r="I62" s="120"/>
      <c r="J62" s="120"/>
      <c r="K62" s="120"/>
      <c r="L62" s="120"/>
      <c r="M62" s="120"/>
      <c r="N62" s="120"/>
      <c r="O62" s="120"/>
      <c r="P62" s="120"/>
      <c r="Q62" s="120"/>
      <c r="R62" s="120"/>
      <c r="S62" s="120"/>
      <c r="T62" s="120"/>
      <c r="U62" s="112"/>
      <c r="V62" s="112"/>
      <c r="W62" s="112"/>
      <c r="X62" s="112"/>
      <c r="Y62" s="112"/>
      <c r="Z62" s="112"/>
      <c r="AA62" s="112"/>
      <c r="AB62" s="112"/>
      <c r="AC62" s="112"/>
      <c r="AD62" s="112"/>
    </row>
    <row r="63" spans="1:30" x14ac:dyDescent="0.2">
      <c r="A63" s="120"/>
      <c r="B63" s="120"/>
      <c r="C63" s="120"/>
      <c r="D63" s="120"/>
      <c r="E63" s="120"/>
      <c r="F63" s="120"/>
      <c r="G63" s="120"/>
      <c r="H63" s="120"/>
      <c r="I63" s="120"/>
      <c r="J63" s="120"/>
      <c r="K63" s="120"/>
      <c r="L63" s="120"/>
      <c r="M63" s="120"/>
      <c r="N63" s="120"/>
      <c r="O63" s="120"/>
      <c r="P63" s="120"/>
      <c r="Q63" s="120"/>
      <c r="R63" s="120"/>
      <c r="S63" s="120"/>
      <c r="T63" s="120"/>
      <c r="U63" s="112"/>
      <c r="V63" s="112"/>
      <c r="W63" s="112"/>
      <c r="X63" s="112"/>
      <c r="Y63" s="112"/>
      <c r="Z63" s="112"/>
      <c r="AA63" s="112"/>
      <c r="AB63" s="112"/>
      <c r="AC63" s="112"/>
      <c r="AD63" s="112"/>
    </row>
    <row r="64" spans="1:30" x14ac:dyDescent="0.2">
      <c r="A64" s="466" t="str">
        <f>'Dane personalne'!$D$94&amp;""</f>
        <v/>
      </c>
      <c r="B64" s="466"/>
      <c r="C64" s="466"/>
      <c r="D64" s="466"/>
      <c r="E64" s="466"/>
      <c r="F64" s="466"/>
      <c r="G64" s="466" t="str">
        <f>'Dane personalne'!$F$94</f>
        <v/>
      </c>
      <c r="H64" s="466"/>
      <c r="I64" s="466"/>
      <c r="J64" s="466"/>
      <c r="K64" s="466"/>
      <c r="L64" s="120"/>
      <c r="M64" s="120"/>
      <c r="N64" s="120"/>
      <c r="O64" s="574"/>
      <c r="P64" s="574"/>
      <c r="Q64" s="574"/>
      <c r="R64" s="574"/>
      <c r="S64" s="574"/>
      <c r="T64" s="120"/>
      <c r="U64" s="112"/>
      <c r="V64" s="112"/>
      <c r="W64" s="112"/>
      <c r="X64" s="112"/>
      <c r="Y64" s="112"/>
      <c r="Z64" s="112"/>
      <c r="AA64" s="112"/>
      <c r="AB64" s="112"/>
      <c r="AC64" s="112"/>
      <c r="AD64" s="112"/>
    </row>
    <row r="65" spans="1:30" x14ac:dyDescent="0.2">
      <c r="A65" s="515" t="s">
        <v>555</v>
      </c>
      <c r="B65" s="515"/>
      <c r="C65" s="515"/>
      <c r="D65" s="515"/>
      <c r="E65" s="515"/>
      <c r="F65" s="515"/>
      <c r="G65" s="515"/>
      <c r="H65" s="515"/>
      <c r="I65" s="515"/>
      <c r="J65" s="515"/>
      <c r="K65" s="515"/>
      <c r="L65" s="120"/>
      <c r="M65" s="120"/>
      <c r="N65" s="120"/>
      <c r="O65" s="515" t="s">
        <v>349</v>
      </c>
      <c r="P65" s="515"/>
      <c r="Q65" s="515"/>
      <c r="R65" s="515"/>
      <c r="S65" s="515"/>
      <c r="T65" s="120"/>
      <c r="U65" s="112"/>
      <c r="V65" s="112"/>
      <c r="W65" s="112"/>
      <c r="X65" s="112"/>
      <c r="Y65" s="112"/>
      <c r="Z65" s="112"/>
      <c r="AA65" s="112"/>
      <c r="AB65" s="112"/>
      <c r="AC65" s="112"/>
      <c r="AD65" s="112"/>
    </row>
    <row r="66" spans="1:30" x14ac:dyDescent="0.2">
      <c r="A66" s="120"/>
      <c r="B66" s="120"/>
      <c r="C66" s="120"/>
      <c r="D66" s="120"/>
      <c r="E66" s="120"/>
      <c r="F66" s="120"/>
      <c r="G66" s="120"/>
      <c r="H66" s="120"/>
      <c r="I66" s="120"/>
      <c r="J66" s="120"/>
      <c r="K66" s="120"/>
      <c r="L66" s="120"/>
      <c r="M66" s="120"/>
      <c r="N66" s="120"/>
      <c r="O66" s="120"/>
      <c r="P66" s="120"/>
      <c r="Q66" s="120"/>
      <c r="R66" s="120"/>
      <c r="S66" s="120"/>
      <c r="T66" s="120"/>
      <c r="U66" s="112"/>
      <c r="V66" s="112"/>
      <c r="W66" s="112"/>
      <c r="X66" s="112"/>
      <c r="Y66" s="112"/>
      <c r="Z66" s="112"/>
      <c r="AA66" s="112"/>
      <c r="AB66" s="112"/>
      <c r="AC66" s="112"/>
      <c r="AD66" s="112"/>
    </row>
    <row r="67" spans="1:30" x14ac:dyDescent="0.2">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row>
    <row r="68" spans="1:30" x14ac:dyDescent="0.2">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row>
    <row r="69" spans="1:30" x14ac:dyDescent="0.2">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row>
    <row r="70" spans="1:30" x14ac:dyDescent="0.2">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row>
    <row r="71" spans="1:30" x14ac:dyDescent="0.2">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row>
    <row r="72" spans="1:30" x14ac:dyDescent="0.2">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row>
    <row r="73" spans="1:30" x14ac:dyDescent="0.2">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row>
    <row r="74" spans="1:30" x14ac:dyDescent="0.2">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row>
    <row r="75" spans="1:30" x14ac:dyDescent="0.2">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row>
    <row r="76" spans="1:30" x14ac:dyDescent="0.2">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row>
    <row r="77" spans="1:30" x14ac:dyDescent="0.2">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row>
  </sheetData>
  <mergeCells count="45">
    <mergeCell ref="A14:S14"/>
    <mergeCell ref="A8:M8"/>
    <mergeCell ref="A9:M9"/>
    <mergeCell ref="A11:M11"/>
    <mergeCell ref="A12:M12"/>
    <mergeCell ref="A13:S13"/>
    <mergeCell ref="A15:S15"/>
    <mergeCell ref="G22:O22"/>
    <mergeCell ref="P22:S22"/>
    <mergeCell ref="Q24:S24"/>
    <mergeCell ref="E26:L26"/>
    <mergeCell ref="M26:N26"/>
    <mergeCell ref="O26:S26"/>
    <mergeCell ref="B39:S39"/>
    <mergeCell ref="A28:C28"/>
    <mergeCell ref="D28:H28"/>
    <mergeCell ref="K28:O28"/>
    <mergeCell ref="A30:E30"/>
    <mergeCell ref="P30:S30"/>
    <mergeCell ref="A32:F32"/>
    <mergeCell ref="A35:I35"/>
    <mergeCell ref="J35:S35"/>
    <mergeCell ref="J36:S36"/>
    <mergeCell ref="A37:S37"/>
    <mergeCell ref="A38:S38"/>
    <mergeCell ref="G32:Q32"/>
    <mergeCell ref="B57:T57"/>
    <mergeCell ref="B40:S40"/>
    <mergeCell ref="B41:S41"/>
    <mergeCell ref="B42:S42"/>
    <mergeCell ref="B44:S44"/>
    <mergeCell ref="B45:S45"/>
    <mergeCell ref="A49:S49"/>
    <mergeCell ref="A50:S50"/>
    <mergeCell ref="A53:S53"/>
    <mergeCell ref="B54:S54"/>
    <mergeCell ref="B55:T55"/>
    <mergeCell ref="B56:T56"/>
    <mergeCell ref="A60:S60"/>
    <mergeCell ref="A61:S61"/>
    <mergeCell ref="O64:S64"/>
    <mergeCell ref="A65:K65"/>
    <mergeCell ref="O65:S65"/>
    <mergeCell ref="A64:F64"/>
    <mergeCell ref="G64:K64"/>
  </mergeCells>
  <pageMargins left="0.7" right="0.7" top="0.75" bottom="0.75" header="0.3" footer="0.3"/>
  <pageSetup paperSize="9" scale="86" orientation="portrait" r:id="rId1"/>
  <rowBreaks count="1" manualBreakCount="1">
    <brk id="66" max="18"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5:IV30"/>
  <sheetViews>
    <sheetView showGridLines="0" zoomScaleNormal="100" zoomScaleSheetLayoutView="80" workbookViewId="0"/>
  </sheetViews>
  <sheetFormatPr defaultColWidth="9.140625" defaultRowHeight="12.75" x14ac:dyDescent="0.2"/>
  <cols>
    <col min="1" max="16384" width="9.140625" style="2"/>
  </cols>
  <sheetData>
    <row r="5" spans="1:10" ht="13.5" thickBot="1" x14ac:dyDescent="0.25"/>
    <row r="6" spans="1:10" x14ac:dyDescent="0.2">
      <c r="A6" s="25"/>
      <c r="B6" s="25"/>
      <c r="C6" s="25"/>
      <c r="D6" s="25"/>
      <c r="E6" s="25"/>
      <c r="F6" s="25"/>
      <c r="G6" s="25"/>
      <c r="H6" s="25"/>
      <c r="I6" s="25"/>
      <c r="J6" s="25"/>
    </row>
    <row r="9" spans="1:10" ht="24.75" customHeight="1" x14ac:dyDescent="0.2">
      <c r="A9" s="587" t="s">
        <v>54</v>
      </c>
      <c r="B9" s="587"/>
      <c r="C9" s="587"/>
      <c r="D9" s="587"/>
      <c r="E9" s="587"/>
      <c r="F9" s="587"/>
      <c r="G9" s="587"/>
      <c r="H9" s="587"/>
      <c r="I9" s="587"/>
      <c r="J9" s="587"/>
    </row>
    <row r="13" spans="1:10" x14ac:dyDescent="0.2">
      <c r="A13" s="569" t="s">
        <v>422</v>
      </c>
      <c r="B13" s="569"/>
      <c r="C13" s="569"/>
      <c r="D13" s="409" t="str">
        <f>IF('Dane personalne'!D11="","",'Dane personalne'!D11)</f>
        <v/>
      </c>
      <c r="E13" s="409"/>
      <c r="F13" s="409"/>
      <c r="G13" s="409" t="str">
        <f>IF('Dane personalne'!D12="","",'Dane personalne'!D12)</f>
        <v/>
      </c>
      <c r="H13" s="409"/>
      <c r="I13" s="409"/>
    </row>
    <row r="18" spans="1:256" ht="19.5" customHeight="1" x14ac:dyDescent="0.2">
      <c r="A18" s="569" t="s">
        <v>217</v>
      </c>
      <c r="B18" s="569"/>
      <c r="C18" s="569"/>
      <c r="D18" s="569"/>
      <c r="E18" s="569"/>
      <c r="F18" s="569"/>
      <c r="G18" s="569"/>
      <c r="H18" s="569"/>
      <c r="I18" s="569"/>
      <c r="J18" s="569"/>
    </row>
    <row r="19" spans="1:256" ht="17.45" customHeight="1" x14ac:dyDescent="0.2">
      <c r="A19" s="465"/>
      <c r="B19" s="465"/>
      <c r="C19" s="465"/>
      <c r="D19" s="465"/>
      <c r="E19" s="465"/>
      <c r="F19" s="465"/>
      <c r="G19" s="465"/>
      <c r="H19" s="465"/>
      <c r="I19" s="465"/>
      <c r="J19" s="465"/>
    </row>
    <row r="20" spans="1:256" ht="16.5" customHeight="1" x14ac:dyDescent="0.2"/>
    <row r="21" spans="1:256" x14ac:dyDescent="0.2">
      <c r="A21" s="569" t="s">
        <v>218</v>
      </c>
      <c r="B21" s="569"/>
      <c r="C21" s="569"/>
      <c r="D21" s="569"/>
      <c r="E21" s="569"/>
      <c r="F21" s="569"/>
      <c r="G21" s="569"/>
      <c r="H21" s="569"/>
      <c r="I21" s="569"/>
      <c r="J21" s="569"/>
    </row>
    <row r="22" spans="1:256" x14ac:dyDescent="0.2">
      <c r="A22" s="569" t="s">
        <v>219</v>
      </c>
      <c r="B22" s="569"/>
      <c r="C22" s="569"/>
      <c r="D22" s="569"/>
      <c r="E22" s="569"/>
      <c r="F22" s="569"/>
      <c r="G22" s="569"/>
      <c r="H22" s="569"/>
      <c r="I22" s="569"/>
      <c r="J22" s="569"/>
      <c r="K22" s="569"/>
      <c r="L22" s="569"/>
      <c r="M22" s="569"/>
      <c r="N22" s="569"/>
      <c r="O22" s="569"/>
      <c r="P22" s="569"/>
      <c r="Q22" s="569"/>
      <c r="R22" s="569"/>
      <c r="S22" s="569"/>
      <c r="T22" s="569"/>
      <c r="U22" s="569"/>
      <c r="V22" s="569"/>
      <c r="W22" s="569"/>
      <c r="X22" s="569"/>
      <c r="Y22" s="569"/>
      <c r="Z22" s="569"/>
      <c r="AA22" s="569"/>
      <c r="AB22" s="569"/>
      <c r="AC22" s="569"/>
      <c r="AD22" s="569"/>
      <c r="AE22" s="569"/>
      <c r="AF22" s="569"/>
      <c r="AG22" s="569"/>
      <c r="AH22" s="569"/>
      <c r="AI22" s="569"/>
      <c r="AJ22" s="569"/>
      <c r="AK22" s="569"/>
      <c r="AL22" s="569"/>
      <c r="AM22" s="569"/>
      <c r="AN22" s="569"/>
      <c r="AO22" s="569"/>
      <c r="AP22" s="569"/>
      <c r="AQ22" s="569"/>
      <c r="AR22" s="569"/>
      <c r="AS22" s="569"/>
      <c r="AT22" s="569"/>
      <c r="AU22" s="569"/>
      <c r="AV22" s="569"/>
      <c r="AW22" s="569"/>
      <c r="AX22" s="569"/>
      <c r="AY22" s="569"/>
      <c r="AZ22" s="569"/>
      <c r="BA22" s="569"/>
      <c r="BB22" s="569"/>
      <c r="BC22" s="569"/>
      <c r="BD22" s="569"/>
      <c r="BE22" s="569"/>
      <c r="BF22" s="569"/>
      <c r="BG22" s="569"/>
      <c r="BH22" s="569"/>
      <c r="BI22" s="569"/>
      <c r="BJ22" s="569"/>
      <c r="BK22" s="569"/>
      <c r="BL22" s="569"/>
      <c r="BM22" s="569"/>
      <c r="BN22" s="569"/>
      <c r="BO22" s="569"/>
      <c r="BP22" s="569"/>
      <c r="BQ22" s="569"/>
      <c r="BR22" s="569"/>
      <c r="BS22" s="569"/>
      <c r="BT22" s="569"/>
      <c r="BU22" s="569"/>
      <c r="BV22" s="569"/>
      <c r="BW22" s="569"/>
      <c r="BX22" s="569"/>
      <c r="BY22" s="569"/>
      <c r="BZ22" s="569"/>
      <c r="CA22" s="569"/>
      <c r="CB22" s="569"/>
      <c r="CC22" s="569"/>
      <c r="CD22" s="569"/>
      <c r="CE22" s="569"/>
      <c r="CF22" s="569"/>
      <c r="CG22" s="569"/>
      <c r="CH22" s="569"/>
      <c r="CI22" s="569"/>
      <c r="CJ22" s="569"/>
      <c r="CK22" s="569"/>
      <c r="CL22" s="569"/>
      <c r="CM22" s="569"/>
      <c r="CN22" s="569"/>
      <c r="CO22" s="569"/>
      <c r="CP22" s="569"/>
      <c r="CQ22" s="569"/>
      <c r="CR22" s="569"/>
      <c r="CS22" s="569"/>
      <c r="CT22" s="569"/>
      <c r="CU22" s="569"/>
      <c r="CV22" s="569"/>
      <c r="CW22" s="569"/>
      <c r="CX22" s="569"/>
      <c r="CY22" s="569"/>
      <c r="CZ22" s="569"/>
      <c r="DA22" s="569"/>
      <c r="DB22" s="569"/>
      <c r="DC22" s="569"/>
      <c r="DD22" s="569"/>
      <c r="DE22" s="569"/>
      <c r="DF22" s="569"/>
      <c r="DG22" s="569"/>
      <c r="DH22" s="569"/>
      <c r="DI22" s="569"/>
      <c r="DJ22" s="569"/>
      <c r="DK22" s="569"/>
      <c r="DL22" s="569"/>
      <c r="DM22" s="569"/>
      <c r="DN22" s="569"/>
      <c r="DO22" s="569"/>
      <c r="DP22" s="569"/>
      <c r="DQ22" s="569"/>
      <c r="DR22" s="569"/>
      <c r="DS22" s="569"/>
      <c r="DT22" s="569"/>
      <c r="DU22" s="569"/>
      <c r="DV22" s="569"/>
      <c r="DW22" s="569"/>
      <c r="DX22" s="569"/>
      <c r="DY22" s="569"/>
      <c r="DZ22" s="569"/>
      <c r="EA22" s="569"/>
      <c r="EB22" s="569"/>
      <c r="EC22" s="569"/>
      <c r="ED22" s="569"/>
      <c r="EE22" s="569"/>
      <c r="EF22" s="569"/>
      <c r="EG22" s="569"/>
      <c r="EH22" s="569"/>
      <c r="EI22" s="569"/>
      <c r="EJ22" s="569"/>
      <c r="EK22" s="569"/>
      <c r="EL22" s="569"/>
      <c r="EM22" s="569"/>
      <c r="EN22" s="569"/>
      <c r="EO22" s="569"/>
      <c r="EP22" s="569"/>
      <c r="EQ22" s="569"/>
      <c r="ER22" s="569"/>
      <c r="ES22" s="569"/>
      <c r="ET22" s="569"/>
      <c r="EU22" s="569"/>
      <c r="EV22" s="569"/>
      <c r="EW22" s="569"/>
      <c r="EX22" s="569"/>
      <c r="EY22" s="569"/>
      <c r="EZ22" s="569"/>
      <c r="FA22" s="569"/>
      <c r="FB22" s="569"/>
      <c r="FC22" s="569"/>
      <c r="FD22" s="569"/>
      <c r="FE22" s="569"/>
      <c r="FF22" s="569"/>
      <c r="FG22" s="569"/>
      <c r="FH22" s="569"/>
      <c r="FI22" s="569"/>
      <c r="FJ22" s="569"/>
      <c r="FK22" s="569"/>
      <c r="FL22" s="569"/>
      <c r="FM22" s="569"/>
      <c r="FN22" s="569"/>
      <c r="FO22" s="569"/>
      <c r="FP22" s="569"/>
      <c r="FQ22" s="569"/>
      <c r="FR22" s="569"/>
      <c r="FS22" s="569"/>
      <c r="FT22" s="569"/>
      <c r="FU22" s="569"/>
      <c r="FV22" s="569"/>
      <c r="FW22" s="569"/>
      <c r="FX22" s="569"/>
      <c r="FY22" s="569"/>
      <c r="FZ22" s="569"/>
      <c r="GA22" s="569"/>
      <c r="GB22" s="569"/>
      <c r="GC22" s="569"/>
      <c r="GD22" s="569"/>
      <c r="GE22" s="569"/>
      <c r="GF22" s="569"/>
      <c r="GG22" s="569"/>
      <c r="GH22" s="569"/>
      <c r="GI22" s="569"/>
      <c r="GJ22" s="569"/>
      <c r="GK22" s="569"/>
      <c r="GL22" s="569"/>
      <c r="GM22" s="569"/>
      <c r="GN22" s="569"/>
      <c r="GO22" s="569"/>
      <c r="GP22" s="569"/>
      <c r="GQ22" s="569"/>
      <c r="GR22" s="569"/>
      <c r="GS22" s="569"/>
      <c r="GT22" s="569"/>
      <c r="GU22" s="569"/>
      <c r="GV22" s="569"/>
      <c r="GW22" s="569"/>
      <c r="GX22" s="569"/>
      <c r="GY22" s="569"/>
      <c r="GZ22" s="569"/>
      <c r="HA22" s="569"/>
      <c r="HB22" s="569"/>
      <c r="HC22" s="569"/>
      <c r="HD22" s="569"/>
      <c r="HE22" s="569"/>
      <c r="HF22" s="569"/>
      <c r="HG22" s="569"/>
      <c r="HH22" s="569"/>
      <c r="HI22" s="569"/>
      <c r="HJ22" s="569"/>
      <c r="HK22" s="569"/>
      <c r="HL22" s="569"/>
      <c r="HM22" s="569"/>
      <c r="HN22" s="569"/>
      <c r="HO22" s="569"/>
      <c r="HP22" s="569"/>
      <c r="HQ22" s="569"/>
      <c r="HR22" s="569"/>
      <c r="HS22" s="569"/>
      <c r="HT22" s="569"/>
      <c r="HU22" s="569"/>
      <c r="HV22" s="569"/>
      <c r="HW22" s="569"/>
      <c r="HX22" s="569"/>
      <c r="HY22" s="569"/>
      <c r="HZ22" s="569"/>
      <c r="IA22" s="569"/>
      <c r="IB22" s="569"/>
      <c r="IC22" s="569"/>
      <c r="ID22" s="569"/>
      <c r="IE22" s="569"/>
      <c r="IF22" s="569"/>
      <c r="IG22" s="569"/>
      <c r="IH22" s="569"/>
      <c r="II22" s="569"/>
      <c r="IJ22" s="569"/>
      <c r="IK22" s="569"/>
      <c r="IL22" s="569"/>
      <c r="IM22" s="569"/>
      <c r="IN22" s="569"/>
      <c r="IO22" s="569"/>
      <c r="IP22" s="569"/>
      <c r="IQ22" s="569"/>
      <c r="IR22" s="569"/>
      <c r="IS22" s="569"/>
      <c r="IT22" s="569"/>
      <c r="IU22" s="569"/>
      <c r="IV22" s="569"/>
    </row>
    <row r="23" spans="1:256" x14ac:dyDescent="0.2">
      <c r="A23" s="569" t="s">
        <v>220</v>
      </c>
      <c r="B23" s="569"/>
      <c r="C23" s="569"/>
      <c r="D23" s="569"/>
      <c r="E23" s="569"/>
      <c r="F23" s="569"/>
      <c r="G23" s="569"/>
      <c r="H23" s="569"/>
      <c r="I23" s="569"/>
      <c r="J23" s="569"/>
      <c r="K23" s="569"/>
      <c r="L23" s="569"/>
      <c r="M23" s="569"/>
      <c r="N23" s="569"/>
      <c r="O23" s="569"/>
      <c r="P23" s="569"/>
      <c r="Q23" s="569"/>
      <c r="R23" s="569"/>
      <c r="S23" s="569"/>
      <c r="T23" s="569"/>
      <c r="U23" s="569"/>
      <c r="V23" s="569"/>
      <c r="W23" s="569"/>
      <c r="X23" s="569"/>
      <c r="Y23" s="569"/>
      <c r="Z23" s="569"/>
      <c r="AA23" s="569"/>
      <c r="AB23" s="569"/>
      <c r="AC23" s="569"/>
      <c r="AD23" s="569"/>
      <c r="AE23" s="569"/>
      <c r="AF23" s="569"/>
      <c r="AG23" s="569"/>
      <c r="AH23" s="569"/>
      <c r="AI23" s="569"/>
      <c r="AJ23" s="569"/>
      <c r="AK23" s="569"/>
      <c r="AL23" s="569"/>
      <c r="AM23" s="569"/>
      <c r="AN23" s="569"/>
      <c r="AO23" s="569"/>
      <c r="AP23" s="569"/>
      <c r="AQ23" s="569"/>
      <c r="AR23" s="569"/>
      <c r="AS23" s="569"/>
      <c r="AT23" s="569"/>
      <c r="AU23" s="569"/>
      <c r="AV23" s="569"/>
      <c r="AW23" s="569"/>
      <c r="AX23" s="569"/>
      <c r="AY23" s="569"/>
      <c r="AZ23" s="569"/>
      <c r="BA23" s="569"/>
      <c r="BB23" s="569"/>
      <c r="BC23" s="569"/>
      <c r="BD23" s="569"/>
      <c r="BE23" s="569"/>
      <c r="BF23" s="569"/>
      <c r="BG23" s="569"/>
      <c r="BH23" s="569"/>
      <c r="BI23" s="569"/>
      <c r="BJ23" s="569"/>
      <c r="BK23" s="569"/>
      <c r="BL23" s="569"/>
      <c r="BM23" s="569"/>
      <c r="BN23" s="569"/>
      <c r="BO23" s="569"/>
      <c r="BP23" s="569"/>
      <c r="BQ23" s="569"/>
      <c r="BR23" s="569"/>
      <c r="BS23" s="569"/>
      <c r="BT23" s="569"/>
      <c r="BU23" s="569"/>
      <c r="BV23" s="569"/>
      <c r="BW23" s="569"/>
      <c r="BX23" s="569"/>
      <c r="BY23" s="569"/>
      <c r="BZ23" s="569"/>
      <c r="CA23" s="569"/>
      <c r="CB23" s="569"/>
      <c r="CC23" s="569"/>
      <c r="CD23" s="569"/>
      <c r="CE23" s="569"/>
      <c r="CF23" s="569"/>
      <c r="CG23" s="569"/>
      <c r="CH23" s="569"/>
      <c r="CI23" s="569"/>
      <c r="CJ23" s="569"/>
      <c r="CK23" s="569"/>
      <c r="CL23" s="569"/>
      <c r="CM23" s="569"/>
      <c r="CN23" s="569"/>
      <c r="CO23" s="569"/>
      <c r="CP23" s="569"/>
      <c r="CQ23" s="569"/>
      <c r="CR23" s="569"/>
      <c r="CS23" s="569"/>
      <c r="CT23" s="569"/>
      <c r="CU23" s="569"/>
      <c r="CV23" s="569"/>
      <c r="CW23" s="569"/>
      <c r="CX23" s="569"/>
      <c r="CY23" s="569"/>
      <c r="CZ23" s="569"/>
      <c r="DA23" s="569"/>
      <c r="DB23" s="569"/>
      <c r="DC23" s="569"/>
      <c r="DD23" s="569"/>
      <c r="DE23" s="569"/>
      <c r="DF23" s="569"/>
      <c r="DG23" s="569"/>
      <c r="DH23" s="569"/>
      <c r="DI23" s="569"/>
      <c r="DJ23" s="569"/>
      <c r="DK23" s="569"/>
      <c r="DL23" s="569"/>
      <c r="DM23" s="569"/>
      <c r="DN23" s="569"/>
      <c r="DO23" s="569"/>
      <c r="DP23" s="569"/>
      <c r="DQ23" s="569"/>
      <c r="DR23" s="569"/>
      <c r="DS23" s="569"/>
      <c r="DT23" s="569"/>
      <c r="DU23" s="569"/>
      <c r="DV23" s="569"/>
      <c r="DW23" s="569"/>
      <c r="DX23" s="569"/>
      <c r="DY23" s="569"/>
      <c r="DZ23" s="569"/>
      <c r="EA23" s="569"/>
      <c r="EB23" s="569"/>
      <c r="EC23" s="569"/>
      <c r="ED23" s="569"/>
      <c r="EE23" s="569"/>
      <c r="EF23" s="569"/>
      <c r="EG23" s="569"/>
      <c r="EH23" s="569"/>
      <c r="EI23" s="569"/>
      <c r="EJ23" s="569"/>
      <c r="EK23" s="569"/>
      <c r="EL23" s="569"/>
      <c r="EM23" s="569"/>
      <c r="EN23" s="569"/>
      <c r="EO23" s="569"/>
      <c r="EP23" s="569"/>
      <c r="EQ23" s="569"/>
      <c r="ER23" s="569"/>
      <c r="ES23" s="569"/>
      <c r="ET23" s="569"/>
      <c r="EU23" s="569"/>
      <c r="EV23" s="569"/>
      <c r="EW23" s="569"/>
      <c r="EX23" s="569"/>
      <c r="EY23" s="569"/>
      <c r="EZ23" s="569"/>
      <c r="FA23" s="569"/>
      <c r="FB23" s="569"/>
      <c r="FC23" s="569"/>
      <c r="FD23" s="569"/>
      <c r="FE23" s="569"/>
      <c r="FF23" s="569"/>
      <c r="FG23" s="569"/>
      <c r="FH23" s="569"/>
      <c r="FI23" s="569"/>
      <c r="FJ23" s="569"/>
      <c r="FK23" s="569"/>
      <c r="FL23" s="569"/>
      <c r="FM23" s="569"/>
      <c r="FN23" s="569"/>
      <c r="FO23" s="569"/>
      <c r="FP23" s="569"/>
      <c r="FQ23" s="569"/>
      <c r="FR23" s="569"/>
      <c r="FS23" s="569"/>
      <c r="FT23" s="569"/>
      <c r="FU23" s="569"/>
      <c r="FV23" s="569"/>
      <c r="FW23" s="569"/>
      <c r="FX23" s="569"/>
      <c r="FY23" s="569"/>
      <c r="FZ23" s="569"/>
      <c r="GA23" s="569"/>
      <c r="GB23" s="569"/>
      <c r="GC23" s="569"/>
      <c r="GD23" s="569"/>
      <c r="GE23" s="569"/>
      <c r="GF23" s="569"/>
      <c r="GG23" s="569"/>
      <c r="GH23" s="569"/>
      <c r="GI23" s="569"/>
      <c r="GJ23" s="569"/>
      <c r="GK23" s="569"/>
      <c r="GL23" s="569"/>
      <c r="GM23" s="569"/>
      <c r="GN23" s="569"/>
      <c r="GO23" s="569"/>
      <c r="GP23" s="569"/>
      <c r="GQ23" s="569"/>
      <c r="GR23" s="569"/>
      <c r="GS23" s="569"/>
      <c r="GT23" s="569"/>
      <c r="GU23" s="569"/>
      <c r="GV23" s="569"/>
      <c r="GW23" s="569"/>
      <c r="GX23" s="569"/>
      <c r="GY23" s="569"/>
      <c r="GZ23" s="569"/>
      <c r="HA23" s="569"/>
      <c r="HB23" s="569"/>
      <c r="HC23" s="569"/>
      <c r="HD23" s="569"/>
      <c r="HE23" s="569"/>
      <c r="HF23" s="569"/>
      <c r="HG23" s="569"/>
      <c r="HH23" s="569"/>
      <c r="HI23" s="569"/>
      <c r="HJ23" s="569"/>
      <c r="HK23" s="569"/>
      <c r="HL23" s="569"/>
      <c r="HM23" s="569"/>
      <c r="HN23" s="569"/>
      <c r="HO23" s="569"/>
      <c r="HP23" s="569"/>
      <c r="HQ23" s="569"/>
      <c r="HR23" s="569"/>
      <c r="HS23" s="569"/>
      <c r="HT23" s="569"/>
      <c r="HU23" s="569"/>
      <c r="HV23" s="569"/>
      <c r="HW23" s="569"/>
      <c r="HX23" s="569"/>
      <c r="HY23" s="569"/>
      <c r="HZ23" s="569"/>
      <c r="IA23" s="569"/>
      <c r="IB23" s="569"/>
      <c r="IC23" s="569"/>
      <c r="ID23" s="569"/>
      <c r="IE23" s="569"/>
      <c r="IF23" s="569"/>
      <c r="IG23" s="569"/>
      <c r="IH23" s="569"/>
      <c r="II23" s="569"/>
      <c r="IJ23" s="569"/>
      <c r="IK23" s="569"/>
      <c r="IL23" s="569"/>
      <c r="IM23" s="569"/>
      <c r="IN23" s="569"/>
      <c r="IO23" s="569"/>
      <c r="IP23" s="569"/>
      <c r="IQ23" s="569"/>
      <c r="IR23" s="569"/>
      <c r="IS23" s="569"/>
      <c r="IT23" s="569"/>
      <c r="IU23" s="569"/>
      <c r="IV23" s="569"/>
    </row>
    <row r="24" spans="1:256" x14ac:dyDescent="0.2">
      <c r="A24" s="569"/>
      <c r="B24" s="569"/>
      <c r="C24" s="569"/>
      <c r="D24" s="569"/>
      <c r="E24" s="569"/>
      <c r="F24" s="569"/>
      <c r="G24" s="569"/>
      <c r="H24" s="569"/>
      <c r="I24" s="569"/>
      <c r="J24" s="569"/>
      <c r="K24" s="569"/>
      <c r="L24" s="569"/>
      <c r="M24" s="569"/>
      <c r="N24" s="569"/>
      <c r="O24" s="569"/>
      <c r="P24" s="569"/>
      <c r="Q24" s="569"/>
      <c r="R24" s="569"/>
      <c r="S24" s="569"/>
      <c r="T24" s="569"/>
      <c r="U24" s="569"/>
      <c r="V24" s="569"/>
      <c r="W24" s="569"/>
      <c r="X24" s="569"/>
      <c r="Y24" s="569"/>
      <c r="Z24" s="569"/>
      <c r="AA24" s="569"/>
      <c r="AB24" s="569"/>
      <c r="AC24" s="569"/>
      <c r="AD24" s="569"/>
      <c r="AE24" s="569"/>
      <c r="AF24" s="569"/>
      <c r="AG24" s="569"/>
      <c r="AH24" s="569"/>
      <c r="AI24" s="569"/>
      <c r="AJ24" s="569"/>
      <c r="AK24" s="569"/>
      <c r="AL24" s="569"/>
      <c r="AM24" s="569"/>
      <c r="AN24" s="569"/>
      <c r="AO24" s="569"/>
      <c r="AP24" s="569"/>
      <c r="AQ24" s="569"/>
      <c r="AR24" s="569"/>
      <c r="AS24" s="569"/>
      <c r="AT24" s="569"/>
      <c r="AU24" s="569"/>
      <c r="AV24" s="569"/>
      <c r="AW24" s="569"/>
      <c r="AX24" s="569"/>
      <c r="AY24" s="569"/>
      <c r="AZ24" s="569"/>
      <c r="BA24" s="569"/>
      <c r="BB24" s="569"/>
      <c r="BC24" s="569"/>
      <c r="BD24" s="569"/>
      <c r="BE24" s="569"/>
      <c r="BF24" s="569"/>
      <c r="BG24" s="569"/>
      <c r="BH24" s="569"/>
      <c r="BI24" s="569"/>
      <c r="BJ24" s="569"/>
      <c r="BK24" s="569"/>
      <c r="BL24" s="569"/>
      <c r="BM24" s="569"/>
      <c r="BN24" s="569"/>
      <c r="BO24" s="569"/>
      <c r="BP24" s="569"/>
      <c r="BQ24" s="569"/>
      <c r="BR24" s="569"/>
      <c r="BS24" s="569"/>
      <c r="BT24" s="569"/>
      <c r="BU24" s="569"/>
      <c r="BV24" s="569"/>
      <c r="BW24" s="569"/>
      <c r="BX24" s="569"/>
      <c r="BY24" s="569"/>
      <c r="BZ24" s="569"/>
      <c r="CA24" s="569"/>
      <c r="CB24" s="569"/>
      <c r="CC24" s="569"/>
      <c r="CD24" s="569"/>
      <c r="CE24" s="569"/>
      <c r="CF24" s="569"/>
      <c r="CG24" s="569"/>
      <c r="CH24" s="569"/>
      <c r="CI24" s="569"/>
      <c r="CJ24" s="569"/>
      <c r="CK24" s="569"/>
      <c r="CL24" s="569"/>
      <c r="CM24" s="569"/>
      <c r="CN24" s="569"/>
      <c r="CO24" s="569"/>
      <c r="CP24" s="569"/>
      <c r="CQ24" s="569"/>
      <c r="CR24" s="569"/>
      <c r="CS24" s="569"/>
      <c r="CT24" s="569"/>
      <c r="CU24" s="569"/>
      <c r="CV24" s="569"/>
      <c r="CW24" s="569"/>
      <c r="CX24" s="569"/>
      <c r="CY24" s="569"/>
      <c r="CZ24" s="569"/>
      <c r="DA24" s="569"/>
      <c r="DB24" s="569"/>
      <c r="DC24" s="569"/>
      <c r="DD24" s="569"/>
      <c r="DE24" s="569"/>
      <c r="DF24" s="569"/>
      <c r="DG24" s="569"/>
      <c r="DH24" s="569"/>
      <c r="DI24" s="569"/>
      <c r="DJ24" s="569"/>
      <c r="DK24" s="569"/>
      <c r="DL24" s="569"/>
      <c r="DM24" s="569"/>
      <c r="DN24" s="569"/>
      <c r="DO24" s="569"/>
      <c r="DP24" s="569"/>
      <c r="DQ24" s="569"/>
      <c r="DR24" s="569"/>
      <c r="DS24" s="569"/>
      <c r="DT24" s="569"/>
      <c r="DU24" s="569"/>
      <c r="DV24" s="569"/>
      <c r="DW24" s="569"/>
      <c r="DX24" s="569"/>
      <c r="DY24" s="569"/>
      <c r="DZ24" s="569"/>
      <c r="EA24" s="569"/>
      <c r="EB24" s="569"/>
      <c r="EC24" s="569"/>
      <c r="ED24" s="569"/>
      <c r="EE24" s="569"/>
      <c r="EF24" s="569"/>
      <c r="EG24" s="569"/>
      <c r="EH24" s="569"/>
      <c r="EI24" s="569"/>
      <c r="EJ24" s="569"/>
      <c r="EK24" s="569"/>
      <c r="EL24" s="569"/>
      <c r="EM24" s="569"/>
      <c r="EN24" s="569"/>
      <c r="EO24" s="569"/>
      <c r="EP24" s="569"/>
      <c r="EQ24" s="569"/>
      <c r="ER24" s="569"/>
      <c r="ES24" s="569"/>
      <c r="ET24" s="569"/>
      <c r="EU24" s="569"/>
      <c r="EV24" s="569"/>
      <c r="EW24" s="569"/>
      <c r="EX24" s="569"/>
      <c r="EY24" s="569"/>
      <c r="EZ24" s="569"/>
      <c r="FA24" s="569"/>
      <c r="FB24" s="569"/>
      <c r="FC24" s="569"/>
      <c r="FD24" s="569"/>
      <c r="FE24" s="569"/>
      <c r="FF24" s="569"/>
      <c r="FG24" s="569"/>
      <c r="FH24" s="569"/>
      <c r="FI24" s="569"/>
      <c r="FJ24" s="569"/>
      <c r="FK24" s="569"/>
      <c r="FL24" s="569"/>
      <c r="FM24" s="569"/>
      <c r="FN24" s="569"/>
      <c r="FO24" s="569"/>
      <c r="FP24" s="569"/>
      <c r="FQ24" s="569"/>
      <c r="FR24" s="569"/>
      <c r="FS24" s="569"/>
      <c r="FT24" s="569"/>
      <c r="FU24" s="569"/>
      <c r="FV24" s="569"/>
      <c r="FW24" s="569"/>
      <c r="FX24" s="569"/>
      <c r="FY24" s="569"/>
      <c r="FZ24" s="569"/>
      <c r="GA24" s="569"/>
      <c r="GB24" s="569"/>
      <c r="GC24" s="569"/>
      <c r="GD24" s="569"/>
      <c r="GE24" s="569"/>
      <c r="GF24" s="569"/>
      <c r="GG24" s="569"/>
      <c r="GH24" s="569"/>
      <c r="GI24" s="569"/>
      <c r="GJ24" s="569"/>
      <c r="GK24" s="569"/>
      <c r="GL24" s="569"/>
      <c r="GM24" s="569"/>
      <c r="GN24" s="569"/>
      <c r="GO24" s="569"/>
      <c r="GP24" s="569"/>
      <c r="GQ24" s="569"/>
      <c r="GR24" s="569"/>
      <c r="GS24" s="569"/>
      <c r="GT24" s="569"/>
      <c r="GU24" s="569"/>
      <c r="GV24" s="569"/>
      <c r="GW24" s="569"/>
      <c r="GX24" s="569"/>
      <c r="GY24" s="569"/>
      <c r="GZ24" s="569"/>
      <c r="HA24" s="569"/>
      <c r="HB24" s="569"/>
      <c r="HC24" s="569"/>
      <c r="HD24" s="569"/>
      <c r="HE24" s="569"/>
      <c r="HF24" s="569"/>
      <c r="HG24" s="569"/>
      <c r="HH24" s="569"/>
      <c r="HI24" s="569"/>
      <c r="HJ24" s="569"/>
      <c r="HK24" s="569"/>
      <c r="HL24" s="569"/>
      <c r="HM24" s="569"/>
      <c r="HN24" s="569"/>
      <c r="HO24" s="569"/>
      <c r="HP24" s="569"/>
      <c r="HQ24" s="569"/>
      <c r="HR24" s="569"/>
      <c r="HS24" s="569"/>
      <c r="HT24" s="569"/>
      <c r="HU24" s="569"/>
      <c r="HV24" s="569"/>
      <c r="HW24" s="569"/>
      <c r="HX24" s="569"/>
      <c r="HY24" s="569"/>
      <c r="HZ24" s="569"/>
      <c r="IA24" s="569"/>
      <c r="IB24" s="569"/>
      <c r="IC24" s="569"/>
      <c r="ID24" s="569"/>
      <c r="IE24" s="569"/>
      <c r="IF24" s="569"/>
      <c r="IG24" s="569"/>
      <c r="IH24" s="569"/>
      <c r="II24" s="569"/>
      <c r="IJ24" s="569"/>
      <c r="IK24" s="569"/>
      <c r="IL24" s="569"/>
      <c r="IM24" s="569"/>
      <c r="IN24" s="569"/>
      <c r="IO24" s="569"/>
      <c r="IP24" s="569"/>
      <c r="IQ24" s="569"/>
      <c r="IR24" s="569"/>
      <c r="IS24" s="569"/>
      <c r="IT24" s="569"/>
      <c r="IU24" s="569"/>
      <c r="IV24" s="569"/>
    </row>
    <row r="25" spans="1:256" x14ac:dyDescent="0.2">
      <c r="A25" s="569"/>
      <c r="B25" s="569"/>
      <c r="C25" s="569"/>
      <c r="D25" s="569"/>
      <c r="E25" s="569"/>
      <c r="F25" s="569"/>
      <c r="G25" s="569"/>
      <c r="H25" s="569"/>
      <c r="I25" s="569"/>
      <c r="J25" s="569"/>
      <c r="K25" s="569"/>
      <c r="L25" s="569"/>
      <c r="M25" s="569"/>
      <c r="N25" s="569"/>
      <c r="O25" s="569"/>
      <c r="P25" s="569"/>
      <c r="Q25" s="569"/>
      <c r="R25" s="569"/>
      <c r="S25" s="569"/>
      <c r="T25" s="569"/>
      <c r="U25" s="569"/>
      <c r="V25" s="569"/>
      <c r="W25" s="569"/>
      <c r="X25" s="569"/>
      <c r="Y25" s="569"/>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c r="BE25" s="569"/>
      <c r="BF25" s="569"/>
      <c r="BG25" s="569"/>
      <c r="BH25" s="569"/>
      <c r="BI25" s="569"/>
      <c r="BJ25" s="569"/>
      <c r="BK25" s="569"/>
      <c r="BL25" s="569"/>
      <c r="BM25" s="569"/>
      <c r="BN25" s="569"/>
      <c r="BO25" s="569"/>
      <c r="BP25" s="569"/>
      <c r="BQ25" s="569"/>
      <c r="BR25" s="569"/>
      <c r="BS25" s="569"/>
      <c r="BT25" s="569"/>
      <c r="BU25" s="569"/>
      <c r="BV25" s="569"/>
      <c r="BW25" s="569"/>
      <c r="BX25" s="569"/>
      <c r="BY25" s="569"/>
      <c r="BZ25" s="569"/>
      <c r="CA25" s="569"/>
      <c r="CB25" s="569"/>
      <c r="CC25" s="569"/>
      <c r="CD25" s="569"/>
      <c r="CE25" s="569"/>
      <c r="CF25" s="569"/>
      <c r="CG25" s="569"/>
      <c r="CH25" s="569"/>
      <c r="CI25" s="569"/>
      <c r="CJ25" s="569"/>
      <c r="CK25" s="569"/>
      <c r="CL25" s="569"/>
      <c r="CM25" s="569"/>
      <c r="CN25" s="569"/>
      <c r="CO25" s="569"/>
      <c r="CP25" s="569"/>
      <c r="CQ25" s="569"/>
      <c r="CR25" s="569"/>
      <c r="CS25" s="569"/>
      <c r="CT25" s="569"/>
      <c r="CU25" s="569"/>
      <c r="CV25" s="569"/>
      <c r="CW25" s="569"/>
      <c r="CX25" s="569"/>
      <c r="CY25" s="569"/>
      <c r="CZ25" s="569"/>
      <c r="DA25" s="569"/>
      <c r="DB25" s="569"/>
      <c r="DC25" s="569"/>
      <c r="DD25" s="569"/>
      <c r="DE25" s="569"/>
      <c r="DF25" s="569"/>
      <c r="DG25" s="569"/>
      <c r="DH25" s="569"/>
      <c r="DI25" s="569"/>
      <c r="DJ25" s="569"/>
      <c r="DK25" s="569"/>
      <c r="DL25" s="569"/>
      <c r="DM25" s="569"/>
      <c r="DN25" s="569"/>
      <c r="DO25" s="569"/>
      <c r="DP25" s="569"/>
      <c r="DQ25" s="569"/>
      <c r="DR25" s="569"/>
      <c r="DS25" s="569"/>
      <c r="DT25" s="569"/>
      <c r="DU25" s="569"/>
      <c r="DV25" s="569"/>
      <c r="DW25" s="569"/>
      <c r="DX25" s="569"/>
      <c r="DY25" s="569"/>
      <c r="DZ25" s="569"/>
      <c r="EA25" s="569"/>
      <c r="EB25" s="569"/>
      <c r="EC25" s="569"/>
      <c r="ED25" s="569"/>
      <c r="EE25" s="569"/>
      <c r="EF25" s="569"/>
      <c r="EG25" s="569"/>
      <c r="EH25" s="569"/>
      <c r="EI25" s="569"/>
      <c r="EJ25" s="569"/>
      <c r="EK25" s="569"/>
      <c r="EL25" s="569"/>
      <c r="EM25" s="569"/>
      <c r="EN25" s="569"/>
      <c r="EO25" s="569"/>
      <c r="EP25" s="569"/>
      <c r="EQ25" s="569"/>
      <c r="ER25" s="569"/>
      <c r="ES25" s="569"/>
      <c r="ET25" s="569"/>
      <c r="EU25" s="569"/>
      <c r="EV25" s="569"/>
      <c r="EW25" s="569"/>
      <c r="EX25" s="569"/>
      <c r="EY25" s="569"/>
      <c r="EZ25" s="569"/>
      <c r="FA25" s="569"/>
      <c r="FB25" s="569"/>
      <c r="FC25" s="569"/>
      <c r="FD25" s="569"/>
      <c r="FE25" s="569"/>
      <c r="FF25" s="569"/>
      <c r="FG25" s="569"/>
      <c r="FH25" s="569"/>
      <c r="FI25" s="569"/>
      <c r="FJ25" s="569"/>
      <c r="FK25" s="569"/>
      <c r="FL25" s="569"/>
      <c r="FM25" s="569"/>
      <c r="FN25" s="569"/>
      <c r="FO25" s="569"/>
      <c r="FP25" s="569"/>
      <c r="FQ25" s="569"/>
      <c r="FR25" s="569"/>
      <c r="FS25" s="569"/>
      <c r="FT25" s="569"/>
      <c r="FU25" s="569"/>
      <c r="FV25" s="569"/>
      <c r="FW25" s="569"/>
      <c r="FX25" s="569"/>
      <c r="FY25" s="569"/>
      <c r="FZ25" s="569"/>
      <c r="GA25" s="569"/>
      <c r="GB25" s="569"/>
      <c r="GC25" s="569"/>
      <c r="GD25" s="569"/>
      <c r="GE25" s="569"/>
      <c r="GF25" s="569"/>
      <c r="GG25" s="569"/>
      <c r="GH25" s="569"/>
      <c r="GI25" s="569"/>
      <c r="GJ25" s="569"/>
      <c r="GK25" s="569"/>
      <c r="GL25" s="569"/>
      <c r="GM25" s="569"/>
      <c r="GN25" s="569"/>
      <c r="GO25" s="569"/>
      <c r="GP25" s="569"/>
      <c r="GQ25" s="569"/>
      <c r="GR25" s="569"/>
      <c r="GS25" s="569"/>
      <c r="GT25" s="569"/>
      <c r="GU25" s="569"/>
      <c r="GV25" s="569"/>
      <c r="GW25" s="569"/>
      <c r="GX25" s="569"/>
      <c r="GY25" s="569"/>
      <c r="GZ25" s="569"/>
      <c r="HA25" s="569"/>
      <c r="HB25" s="569"/>
      <c r="HC25" s="569"/>
      <c r="HD25" s="569"/>
      <c r="HE25" s="569"/>
      <c r="HF25" s="569"/>
      <c r="HG25" s="569"/>
      <c r="HH25" s="569"/>
      <c r="HI25" s="569"/>
      <c r="HJ25" s="569"/>
      <c r="HK25" s="569"/>
      <c r="HL25" s="569"/>
      <c r="HM25" s="569"/>
      <c r="HN25" s="569"/>
      <c r="HO25" s="569"/>
      <c r="HP25" s="569"/>
      <c r="HQ25" s="569"/>
      <c r="HR25" s="569"/>
      <c r="HS25" s="569"/>
      <c r="HT25" s="569"/>
      <c r="HU25" s="569"/>
      <c r="HV25" s="569"/>
      <c r="HW25" s="569"/>
      <c r="HX25" s="569"/>
      <c r="HY25" s="569"/>
      <c r="HZ25" s="569"/>
      <c r="IA25" s="569"/>
      <c r="IB25" s="569"/>
      <c r="IC25" s="569"/>
      <c r="ID25" s="569"/>
      <c r="IE25" s="569"/>
      <c r="IF25" s="569"/>
      <c r="IG25" s="569"/>
      <c r="IH25" s="569"/>
      <c r="II25" s="569"/>
      <c r="IJ25" s="569"/>
      <c r="IK25" s="569"/>
      <c r="IL25" s="569"/>
      <c r="IM25" s="569"/>
      <c r="IN25" s="569"/>
      <c r="IO25" s="569"/>
      <c r="IP25" s="569"/>
      <c r="IQ25" s="569"/>
      <c r="IR25" s="569"/>
      <c r="IS25" s="569"/>
      <c r="IT25" s="569"/>
      <c r="IU25" s="569"/>
      <c r="IV25" s="569"/>
    </row>
    <row r="26" spans="1:256" x14ac:dyDescent="0.2">
      <c r="A26" s="569"/>
      <c r="B26" s="569"/>
      <c r="C26" s="569"/>
      <c r="D26" s="569"/>
      <c r="E26" s="569"/>
      <c r="F26" s="569"/>
      <c r="G26" s="569"/>
      <c r="H26" s="569"/>
      <c r="I26" s="569"/>
      <c r="J26" s="569"/>
      <c r="K26" s="569"/>
      <c r="L26" s="569"/>
      <c r="M26" s="569"/>
      <c r="N26" s="569"/>
      <c r="O26" s="569"/>
      <c r="P26" s="569"/>
      <c r="Q26" s="569"/>
      <c r="R26" s="569"/>
      <c r="S26" s="569"/>
      <c r="T26" s="569"/>
      <c r="U26" s="569"/>
      <c r="V26" s="569"/>
      <c r="W26" s="569"/>
      <c r="X26" s="569"/>
      <c r="Y26" s="569"/>
      <c r="Z26" s="569"/>
      <c r="AA26" s="569"/>
      <c r="AB26" s="569"/>
      <c r="AC26" s="569"/>
      <c r="AD26" s="569"/>
      <c r="AE26" s="569"/>
      <c r="AF26" s="569"/>
      <c r="AG26" s="569"/>
      <c r="AH26" s="569"/>
      <c r="AI26" s="569"/>
      <c r="AJ26" s="569"/>
      <c r="AK26" s="569"/>
      <c r="AL26" s="569"/>
      <c r="AM26" s="569"/>
      <c r="AN26" s="569"/>
      <c r="AO26" s="569"/>
      <c r="AP26" s="569"/>
      <c r="AQ26" s="569"/>
      <c r="AR26" s="569"/>
      <c r="AS26" s="569"/>
      <c r="AT26" s="569"/>
      <c r="AU26" s="569"/>
      <c r="AV26" s="569"/>
      <c r="AW26" s="569"/>
      <c r="AX26" s="569"/>
      <c r="AY26" s="569"/>
      <c r="AZ26" s="569"/>
      <c r="BA26" s="569"/>
      <c r="BB26" s="569"/>
      <c r="BC26" s="569"/>
      <c r="BD26" s="569"/>
      <c r="BE26" s="569"/>
      <c r="BF26" s="569"/>
      <c r="BG26" s="569"/>
      <c r="BH26" s="569"/>
      <c r="BI26" s="569"/>
      <c r="BJ26" s="569"/>
      <c r="BK26" s="569"/>
      <c r="BL26" s="569"/>
      <c r="BM26" s="569"/>
      <c r="BN26" s="569"/>
      <c r="BO26" s="569"/>
      <c r="BP26" s="569"/>
      <c r="BQ26" s="569"/>
      <c r="BR26" s="569"/>
      <c r="BS26" s="569"/>
      <c r="BT26" s="569"/>
      <c r="BU26" s="569"/>
      <c r="BV26" s="569"/>
      <c r="BW26" s="569"/>
      <c r="BX26" s="569"/>
      <c r="BY26" s="569"/>
      <c r="BZ26" s="569"/>
      <c r="CA26" s="569"/>
      <c r="CB26" s="569"/>
      <c r="CC26" s="569"/>
      <c r="CD26" s="569"/>
      <c r="CE26" s="569"/>
      <c r="CF26" s="569"/>
      <c r="CG26" s="569"/>
      <c r="CH26" s="569"/>
      <c r="CI26" s="569"/>
      <c r="CJ26" s="569"/>
      <c r="CK26" s="569"/>
      <c r="CL26" s="569"/>
      <c r="CM26" s="569"/>
      <c r="CN26" s="569"/>
      <c r="CO26" s="569"/>
      <c r="CP26" s="569"/>
      <c r="CQ26" s="569"/>
      <c r="CR26" s="569"/>
      <c r="CS26" s="569"/>
      <c r="CT26" s="569"/>
      <c r="CU26" s="569"/>
      <c r="CV26" s="569"/>
      <c r="CW26" s="569"/>
      <c r="CX26" s="569"/>
      <c r="CY26" s="569"/>
      <c r="CZ26" s="569"/>
      <c r="DA26" s="569"/>
      <c r="DB26" s="569"/>
      <c r="DC26" s="569"/>
      <c r="DD26" s="569"/>
      <c r="DE26" s="569"/>
      <c r="DF26" s="569"/>
      <c r="DG26" s="569"/>
      <c r="DH26" s="569"/>
      <c r="DI26" s="569"/>
      <c r="DJ26" s="569"/>
      <c r="DK26" s="569"/>
      <c r="DL26" s="569"/>
      <c r="DM26" s="569"/>
      <c r="DN26" s="569"/>
      <c r="DO26" s="569"/>
      <c r="DP26" s="569"/>
      <c r="DQ26" s="569"/>
      <c r="DR26" s="569"/>
      <c r="DS26" s="569"/>
      <c r="DT26" s="569"/>
      <c r="DU26" s="569"/>
      <c r="DV26" s="569"/>
      <c r="DW26" s="569"/>
      <c r="DX26" s="569"/>
      <c r="DY26" s="569"/>
      <c r="DZ26" s="569"/>
      <c r="EA26" s="569"/>
      <c r="EB26" s="569"/>
      <c r="EC26" s="569"/>
      <c r="ED26" s="569"/>
      <c r="EE26" s="569"/>
      <c r="EF26" s="569"/>
      <c r="EG26" s="569"/>
      <c r="EH26" s="569"/>
      <c r="EI26" s="569"/>
      <c r="EJ26" s="569"/>
      <c r="EK26" s="569"/>
      <c r="EL26" s="569"/>
      <c r="EM26" s="569"/>
      <c r="EN26" s="569"/>
      <c r="EO26" s="569"/>
      <c r="EP26" s="569"/>
      <c r="EQ26" s="569"/>
      <c r="ER26" s="569"/>
      <c r="ES26" s="569"/>
      <c r="ET26" s="569"/>
      <c r="EU26" s="569"/>
      <c r="EV26" s="569"/>
      <c r="EW26" s="569"/>
      <c r="EX26" s="569"/>
      <c r="EY26" s="569"/>
      <c r="EZ26" s="569"/>
      <c r="FA26" s="569"/>
      <c r="FB26" s="569"/>
      <c r="FC26" s="569"/>
      <c r="FD26" s="569"/>
      <c r="FE26" s="569"/>
      <c r="FF26" s="569"/>
      <c r="FG26" s="569"/>
      <c r="FH26" s="569"/>
      <c r="FI26" s="569"/>
      <c r="FJ26" s="569"/>
      <c r="FK26" s="569"/>
      <c r="FL26" s="569"/>
      <c r="FM26" s="569"/>
      <c r="FN26" s="569"/>
      <c r="FO26" s="569"/>
      <c r="FP26" s="569"/>
      <c r="FQ26" s="569"/>
      <c r="FR26" s="569"/>
      <c r="FS26" s="569"/>
      <c r="FT26" s="569"/>
      <c r="FU26" s="569"/>
      <c r="FV26" s="569"/>
      <c r="FW26" s="569"/>
      <c r="FX26" s="569"/>
      <c r="FY26" s="569"/>
      <c r="FZ26" s="569"/>
      <c r="GA26" s="569"/>
      <c r="GB26" s="569"/>
      <c r="GC26" s="569"/>
      <c r="GD26" s="569"/>
      <c r="GE26" s="569"/>
      <c r="GF26" s="569"/>
      <c r="GG26" s="569"/>
      <c r="GH26" s="569"/>
      <c r="GI26" s="569"/>
      <c r="GJ26" s="569"/>
      <c r="GK26" s="569"/>
      <c r="GL26" s="569"/>
      <c r="GM26" s="569"/>
      <c r="GN26" s="569"/>
      <c r="GO26" s="569"/>
      <c r="GP26" s="569"/>
      <c r="GQ26" s="569"/>
      <c r="GR26" s="569"/>
      <c r="GS26" s="569"/>
      <c r="GT26" s="569"/>
      <c r="GU26" s="569"/>
      <c r="GV26" s="569"/>
      <c r="GW26" s="569"/>
      <c r="GX26" s="569"/>
      <c r="GY26" s="569"/>
      <c r="GZ26" s="569"/>
      <c r="HA26" s="569"/>
      <c r="HB26" s="569"/>
      <c r="HC26" s="569"/>
      <c r="HD26" s="569"/>
      <c r="HE26" s="569"/>
      <c r="HF26" s="569"/>
      <c r="HG26" s="569"/>
      <c r="HH26" s="569"/>
      <c r="HI26" s="569"/>
      <c r="HJ26" s="569"/>
      <c r="HK26" s="569"/>
      <c r="HL26" s="569"/>
      <c r="HM26" s="569"/>
      <c r="HN26" s="569"/>
      <c r="HO26" s="569"/>
      <c r="HP26" s="569"/>
      <c r="HQ26" s="569"/>
      <c r="HR26" s="569"/>
      <c r="HS26" s="569"/>
      <c r="HT26" s="569"/>
      <c r="HU26" s="569"/>
      <c r="HV26" s="569"/>
      <c r="HW26" s="569"/>
      <c r="HX26" s="569"/>
      <c r="HY26" s="569"/>
      <c r="HZ26" s="569"/>
      <c r="IA26" s="569"/>
      <c r="IB26" s="569"/>
      <c r="IC26" s="569"/>
      <c r="ID26" s="569"/>
      <c r="IE26" s="569"/>
      <c r="IF26" s="569"/>
      <c r="IG26" s="569"/>
      <c r="IH26" s="569"/>
      <c r="II26" s="569"/>
      <c r="IJ26" s="569"/>
      <c r="IK26" s="569"/>
      <c r="IL26" s="569"/>
      <c r="IM26" s="569"/>
      <c r="IN26" s="569"/>
      <c r="IO26" s="569"/>
      <c r="IP26" s="569"/>
      <c r="IQ26" s="569"/>
      <c r="IR26" s="569"/>
      <c r="IS26" s="569"/>
      <c r="IT26" s="569"/>
      <c r="IU26" s="569"/>
      <c r="IV26" s="569"/>
    </row>
    <row r="29" spans="1:256" x14ac:dyDescent="0.2">
      <c r="A29" s="466" t="str">
        <f>'Dane personalne'!$D$94&amp;""</f>
        <v/>
      </c>
      <c r="B29" s="466"/>
      <c r="C29" s="466" t="str">
        <f>'Dane personalne'!$F$94</f>
        <v/>
      </c>
      <c r="D29" s="466"/>
      <c r="E29" s="254"/>
      <c r="H29" s="253"/>
      <c r="I29" s="253"/>
      <c r="J29" s="253"/>
      <c r="K29" s="253"/>
    </row>
    <row r="30" spans="1:256" x14ac:dyDescent="0.2">
      <c r="A30" s="458" t="s">
        <v>41</v>
      </c>
      <c r="B30" s="458"/>
      <c r="C30" s="458"/>
      <c r="D30" s="458"/>
      <c r="E30" s="14"/>
      <c r="F30" s="441" t="s">
        <v>43</v>
      </c>
      <c r="G30" s="441"/>
      <c r="H30" s="441"/>
      <c r="I30" s="441"/>
      <c r="J30" s="441"/>
    </row>
  </sheetData>
  <mergeCells count="141">
    <mergeCell ref="IQ26:IV26"/>
    <mergeCell ref="GI26:GR26"/>
    <mergeCell ref="GS26:HB26"/>
    <mergeCell ref="HC26:HL26"/>
    <mergeCell ref="HM26:HV26"/>
    <mergeCell ref="HW26:IF26"/>
    <mergeCell ref="IG26:IP26"/>
    <mergeCell ref="CW26:DF26"/>
    <mergeCell ref="DG26:DP26"/>
    <mergeCell ref="DQ26:DZ26"/>
    <mergeCell ref="EA26:EJ26"/>
    <mergeCell ref="EK26:ET26"/>
    <mergeCell ref="EU26:FD26"/>
    <mergeCell ref="FE26:FN26"/>
    <mergeCell ref="FO26:FX26"/>
    <mergeCell ref="FY26:GH26"/>
    <mergeCell ref="K26:T26"/>
    <mergeCell ref="U26:AD26"/>
    <mergeCell ref="AE26:AN26"/>
    <mergeCell ref="AO26:AX26"/>
    <mergeCell ref="AY26:BH26"/>
    <mergeCell ref="BI26:BR26"/>
    <mergeCell ref="BS26:CB26"/>
    <mergeCell ref="CC26:CL26"/>
    <mergeCell ref="CM26:CV26"/>
    <mergeCell ref="FO25:FX25"/>
    <mergeCell ref="FY25:GH25"/>
    <mergeCell ref="GI25:GR25"/>
    <mergeCell ref="GS25:HB25"/>
    <mergeCell ref="HC25:HL25"/>
    <mergeCell ref="HM25:HV25"/>
    <mergeCell ref="HW25:IF25"/>
    <mergeCell ref="IG25:IP25"/>
    <mergeCell ref="IQ25:IV25"/>
    <mergeCell ref="GI24:GR24"/>
    <mergeCell ref="GS24:HB24"/>
    <mergeCell ref="HC24:HL24"/>
    <mergeCell ref="HM24:HV24"/>
    <mergeCell ref="HW24:IF24"/>
    <mergeCell ref="IG24:IP24"/>
    <mergeCell ref="IQ24:IV24"/>
    <mergeCell ref="A25:J25"/>
    <mergeCell ref="K25:T25"/>
    <mergeCell ref="U25:AD25"/>
    <mergeCell ref="AE25:AN25"/>
    <mergeCell ref="AO25:AX25"/>
    <mergeCell ref="AY25:BH25"/>
    <mergeCell ref="BI25:BR25"/>
    <mergeCell ref="BS25:CB25"/>
    <mergeCell ref="CC25:CL25"/>
    <mergeCell ref="CM25:CV25"/>
    <mergeCell ref="CW25:DF25"/>
    <mergeCell ref="DG25:DP25"/>
    <mergeCell ref="DQ25:DZ25"/>
    <mergeCell ref="EA25:EJ25"/>
    <mergeCell ref="EK25:ET25"/>
    <mergeCell ref="EU25:FD25"/>
    <mergeCell ref="FE25:FN25"/>
    <mergeCell ref="CW24:DF24"/>
    <mergeCell ref="DG24:DP24"/>
    <mergeCell ref="DQ24:DZ24"/>
    <mergeCell ref="EA24:EJ24"/>
    <mergeCell ref="EK24:ET24"/>
    <mergeCell ref="EU24:FD24"/>
    <mergeCell ref="FE24:FN24"/>
    <mergeCell ref="FO24:FX24"/>
    <mergeCell ref="FY24:GH24"/>
    <mergeCell ref="K24:T24"/>
    <mergeCell ref="U24:AD24"/>
    <mergeCell ref="AE24:AN24"/>
    <mergeCell ref="AO24:AX24"/>
    <mergeCell ref="AY24:BH24"/>
    <mergeCell ref="BI24:BR24"/>
    <mergeCell ref="BS24:CB24"/>
    <mergeCell ref="CC24:CL24"/>
    <mergeCell ref="CM24:CV24"/>
    <mergeCell ref="FO23:FX23"/>
    <mergeCell ref="FY23:GH23"/>
    <mergeCell ref="GI23:GR23"/>
    <mergeCell ref="GS23:HB23"/>
    <mergeCell ref="HC23:HL23"/>
    <mergeCell ref="HM23:HV23"/>
    <mergeCell ref="HW23:IF23"/>
    <mergeCell ref="IG23:IP23"/>
    <mergeCell ref="IQ23:IV23"/>
    <mergeCell ref="GI22:GR22"/>
    <mergeCell ref="GS22:HB22"/>
    <mergeCell ref="HC22:HL22"/>
    <mergeCell ref="HM22:HV22"/>
    <mergeCell ref="HW22:IF22"/>
    <mergeCell ref="IG22:IP22"/>
    <mergeCell ref="IQ22:IV22"/>
    <mergeCell ref="A23:J23"/>
    <mergeCell ref="K23:T23"/>
    <mergeCell ref="U23:AD23"/>
    <mergeCell ref="AE23:AN23"/>
    <mergeCell ref="AO23:AX23"/>
    <mergeCell ref="AY23:BH23"/>
    <mergeCell ref="BI23:BR23"/>
    <mergeCell ref="BS23:CB23"/>
    <mergeCell ref="CC23:CL23"/>
    <mergeCell ref="CM23:CV23"/>
    <mergeCell ref="CW23:DF23"/>
    <mergeCell ref="DG23:DP23"/>
    <mergeCell ref="DQ23:DZ23"/>
    <mergeCell ref="EA23:EJ23"/>
    <mergeCell ref="EK23:ET23"/>
    <mergeCell ref="EU23:FD23"/>
    <mergeCell ref="FE23:FN23"/>
    <mergeCell ref="CW22:DF22"/>
    <mergeCell ref="DG22:DP22"/>
    <mergeCell ref="DQ22:DZ22"/>
    <mergeCell ref="EA22:EJ22"/>
    <mergeCell ref="EK22:ET22"/>
    <mergeCell ref="EU22:FD22"/>
    <mergeCell ref="FE22:FN22"/>
    <mergeCell ref="FO22:FX22"/>
    <mergeCell ref="FY22:GH22"/>
    <mergeCell ref="K22:T22"/>
    <mergeCell ref="U22:AD22"/>
    <mergeCell ref="AE22:AN22"/>
    <mergeCell ref="AO22:AX22"/>
    <mergeCell ref="AY22:BH22"/>
    <mergeCell ref="BI22:BR22"/>
    <mergeCell ref="BS22:CB22"/>
    <mergeCell ref="CC22:CL22"/>
    <mergeCell ref="CM22:CV22"/>
    <mergeCell ref="A30:D30"/>
    <mergeCell ref="F30:J30"/>
    <mergeCell ref="A9:J9"/>
    <mergeCell ref="A13:C13"/>
    <mergeCell ref="A18:J18"/>
    <mergeCell ref="D13:F13"/>
    <mergeCell ref="G13:I13"/>
    <mergeCell ref="A21:J21"/>
    <mergeCell ref="A19:J19"/>
    <mergeCell ref="A22:J22"/>
    <mergeCell ref="A24:J24"/>
    <mergeCell ref="A26:J26"/>
    <mergeCell ref="A29:B29"/>
    <mergeCell ref="C29:D29"/>
  </mergeCells>
  <phoneticPr fontId="2" type="noConversion"/>
  <pageMargins left="0.51" right="0.36"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V307"/>
  <sheetViews>
    <sheetView zoomScaleNormal="100" zoomScaleSheetLayoutView="80" workbookViewId="0">
      <selection activeCell="N40" sqref="N40"/>
    </sheetView>
  </sheetViews>
  <sheetFormatPr defaultColWidth="9.140625" defaultRowHeight="12.75" x14ac:dyDescent="0.2"/>
  <cols>
    <col min="1" max="10" width="9.140625" style="114"/>
    <col min="11" max="38" width="9.140625" style="120"/>
    <col min="39" max="16384" width="9.140625" style="114"/>
  </cols>
  <sheetData>
    <row r="1" spans="1:10" x14ac:dyDescent="0.2">
      <c r="A1" s="120"/>
      <c r="B1" s="120"/>
      <c r="C1" s="120"/>
      <c r="D1" s="120"/>
      <c r="E1" s="120"/>
      <c r="F1" s="120"/>
      <c r="G1" s="120"/>
      <c r="H1" s="120"/>
      <c r="I1" s="120"/>
      <c r="J1" s="120"/>
    </row>
    <row r="2" spans="1:10" x14ac:dyDescent="0.2">
      <c r="A2" s="120"/>
      <c r="B2" s="120"/>
      <c r="C2" s="120"/>
      <c r="D2" s="120"/>
      <c r="E2" s="120"/>
      <c r="F2" s="120"/>
      <c r="G2" s="120"/>
      <c r="H2" s="120"/>
      <c r="I2" s="120"/>
      <c r="J2" s="120"/>
    </row>
    <row r="3" spans="1:10" x14ac:dyDescent="0.2">
      <c r="A3" s="120"/>
      <c r="B3" s="120"/>
      <c r="C3" s="120"/>
      <c r="D3" s="120"/>
      <c r="E3" s="120"/>
      <c r="F3" s="120"/>
      <c r="G3" s="120"/>
      <c r="H3" s="120"/>
      <c r="I3" s="120"/>
      <c r="J3" s="120"/>
    </row>
    <row r="4" spans="1:10" x14ac:dyDescent="0.2">
      <c r="A4" s="120"/>
      <c r="B4" s="120"/>
      <c r="C4" s="120"/>
      <c r="D4" s="120"/>
      <c r="E4" s="120"/>
      <c r="F4" s="120"/>
      <c r="G4" s="120"/>
      <c r="H4" s="120"/>
      <c r="I4" s="120"/>
      <c r="J4" s="120"/>
    </row>
    <row r="5" spans="1:10" ht="13.5" thickBot="1" x14ac:dyDescent="0.25">
      <c r="A5" s="120"/>
      <c r="B5" s="120"/>
      <c r="C5" s="120"/>
      <c r="D5" s="120"/>
      <c r="E5" s="120"/>
      <c r="F5" s="120"/>
      <c r="G5" s="120"/>
      <c r="H5" s="120"/>
      <c r="I5" s="120"/>
      <c r="J5" s="120"/>
    </row>
    <row r="6" spans="1:10" x14ac:dyDescent="0.2">
      <c r="A6" s="145"/>
      <c r="B6" s="145"/>
      <c r="C6" s="145"/>
      <c r="D6" s="145"/>
      <c r="E6" s="145"/>
      <c r="F6" s="145"/>
      <c r="G6" s="145"/>
      <c r="H6" s="145"/>
      <c r="I6" s="145"/>
      <c r="J6" s="145"/>
    </row>
    <row r="7" spans="1:10" x14ac:dyDescent="0.2">
      <c r="A7" s="120"/>
      <c r="B7" s="120"/>
      <c r="C7" s="120"/>
      <c r="D7" s="120"/>
      <c r="E7" s="120"/>
      <c r="F7" s="120"/>
      <c r="G7" s="120"/>
      <c r="H7" s="120"/>
      <c r="I7" s="120"/>
      <c r="J7" s="120"/>
    </row>
    <row r="8" spans="1:10" x14ac:dyDescent="0.2">
      <c r="A8" s="120"/>
      <c r="B8" s="120"/>
      <c r="C8" s="120"/>
      <c r="D8" s="120"/>
      <c r="E8" s="120"/>
      <c r="F8" s="120"/>
      <c r="G8" s="120"/>
      <c r="H8" s="120"/>
      <c r="I8" s="120"/>
      <c r="J8" s="120"/>
    </row>
    <row r="9" spans="1:10" ht="24.75" customHeight="1" x14ac:dyDescent="0.2">
      <c r="A9" s="589" t="s">
        <v>295</v>
      </c>
      <c r="B9" s="589"/>
      <c r="C9" s="589"/>
      <c r="D9" s="589"/>
      <c r="E9" s="589"/>
      <c r="F9" s="589"/>
      <c r="G9" s="589"/>
      <c r="H9" s="589"/>
      <c r="I9" s="589"/>
      <c r="J9" s="589"/>
    </row>
    <row r="10" spans="1:10" x14ac:dyDescent="0.2">
      <c r="A10" s="120"/>
      <c r="B10" s="120"/>
      <c r="C10" s="120"/>
      <c r="D10" s="120"/>
      <c r="E10" s="120"/>
      <c r="F10" s="120"/>
      <c r="G10" s="120"/>
      <c r="H10" s="120"/>
      <c r="I10" s="120"/>
      <c r="J10" s="120"/>
    </row>
    <row r="11" spans="1:10" x14ac:dyDescent="0.2">
      <c r="A11" s="120"/>
      <c r="B11" s="120"/>
      <c r="C11" s="120"/>
      <c r="D11" s="120"/>
      <c r="E11" s="120"/>
      <c r="F11" s="120"/>
      <c r="G11" s="120"/>
      <c r="H11" s="120"/>
      <c r="I11" s="120"/>
      <c r="J11" s="120"/>
    </row>
    <row r="12" spans="1:10" x14ac:dyDescent="0.2">
      <c r="A12" s="120"/>
      <c r="B12" s="120"/>
      <c r="C12" s="120"/>
      <c r="D12" s="120"/>
      <c r="E12" s="120"/>
      <c r="F12" s="120"/>
      <c r="G12" s="120"/>
      <c r="H12" s="120"/>
      <c r="I12" s="120"/>
      <c r="J12" s="120"/>
    </row>
    <row r="13" spans="1:10" x14ac:dyDescent="0.2">
      <c r="A13" s="571" t="s">
        <v>296</v>
      </c>
      <c r="B13" s="571"/>
      <c r="C13" s="571"/>
      <c r="D13" s="409" t="str">
        <f>IF('Dane personalne'!D11="","",'Dane personalne'!D11)</f>
        <v/>
      </c>
      <c r="E13" s="409"/>
      <c r="F13" s="409"/>
      <c r="G13" s="409" t="str">
        <f>IF('Dane personalne'!D12="","",'Dane personalne'!D12)</f>
        <v/>
      </c>
      <c r="H13" s="409"/>
      <c r="I13" s="409"/>
      <c r="J13" s="120"/>
    </row>
    <row r="14" spans="1:10" x14ac:dyDescent="0.2">
      <c r="A14" s="120"/>
      <c r="B14" s="120"/>
      <c r="C14" s="120"/>
      <c r="D14" s="120"/>
      <c r="E14" s="120"/>
      <c r="F14" s="120"/>
      <c r="G14" s="120"/>
      <c r="H14" s="120"/>
      <c r="I14" s="120"/>
      <c r="J14" s="120"/>
    </row>
    <row r="15" spans="1:10" x14ac:dyDescent="0.2">
      <c r="A15" s="120"/>
      <c r="B15" s="120"/>
      <c r="C15" s="120"/>
      <c r="D15" s="120"/>
      <c r="E15" s="120"/>
      <c r="F15" s="120"/>
      <c r="G15" s="120"/>
      <c r="H15" s="120"/>
      <c r="I15" s="120"/>
      <c r="J15" s="120"/>
    </row>
    <row r="16" spans="1:10" x14ac:dyDescent="0.2">
      <c r="A16" s="120"/>
      <c r="B16" s="120"/>
      <c r="C16" s="120"/>
      <c r="D16" s="120"/>
      <c r="E16" s="120"/>
      <c r="F16" s="120"/>
      <c r="G16" s="120"/>
      <c r="H16" s="120"/>
      <c r="I16" s="120"/>
      <c r="J16" s="120"/>
    </row>
    <row r="17" spans="1:256" x14ac:dyDescent="0.2">
      <c r="A17" s="120"/>
      <c r="B17" s="120"/>
      <c r="C17" s="120"/>
      <c r="D17" s="120"/>
      <c r="E17" s="120"/>
      <c r="F17" s="120"/>
      <c r="G17" s="120"/>
      <c r="H17" s="120"/>
      <c r="I17" s="120"/>
      <c r="J17" s="120"/>
    </row>
    <row r="18" spans="1:256" ht="19.5" customHeight="1" x14ac:dyDescent="0.2">
      <c r="A18" s="571" t="s">
        <v>353</v>
      </c>
      <c r="B18" s="571"/>
      <c r="C18" s="571"/>
      <c r="D18" s="571"/>
      <c r="E18" s="571"/>
      <c r="F18" s="571"/>
      <c r="G18" s="571"/>
      <c r="H18" s="571"/>
      <c r="I18" s="571"/>
      <c r="J18" s="571"/>
    </row>
    <row r="19" spans="1:256" ht="17.45" customHeight="1" x14ac:dyDescent="0.2">
      <c r="A19" s="405"/>
      <c r="B19" s="405"/>
      <c r="C19" s="405"/>
      <c r="D19" s="405"/>
      <c r="E19" s="405"/>
      <c r="F19" s="405"/>
      <c r="G19" s="405"/>
      <c r="H19" s="405"/>
      <c r="I19" s="405"/>
      <c r="J19" s="405"/>
    </row>
    <row r="20" spans="1:256" ht="16.5" customHeight="1" x14ac:dyDescent="0.2">
      <c r="A20" s="571" t="s">
        <v>575</v>
      </c>
      <c r="B20" s="571"/>
      <c r="C20" s="571"/>
      <c r="D20" s="571"/>
      <c r="E20" s="571"/>
      <c r="F20" s="571"/>
      <c r="G20" s="571"/>
      <c r="H20" s="571"/>
      <c r="I20" s="571"/>
      <c r="J20" s="571"/>
    </row>
    <row r="21" spans="1:256" x14ac:dyDescent="0.2">
      <c r="A21" s="120"/>
      <c r="B21" s="120"/>
      <c r="C21" s="120"/>
      <c r="D21" s="120"/>
      <c r="E21" s="120"/>
      <c r="F21" s="120"/>
      <c r="G21" s="120"/>
      <c r="H21" s="120"/>
      <c r="I21" s="120"/>
      <c r="J21" s="120"/>
    </row>
    <row r="22" spans="1:256" x14ac:dyDescent="0.2">
      <c r="A22" s="571" t="s">
        <v>356</v>
      </c>
      <c r="B22" s="571"/>
      <c r="C22" s="571"/>
      <c r="D22" s="571"/>
      <c r="E22" s="571"/>
      <c r="F22" s="571"/>
      <c r="G22" s="571"/>
      <c r="H22" s="571"/>
      <c r="I22" s="571"/>
      <c r="J22" s="571"/>
      <c r="K22" s="571"/>
      <c r="L22" s="571"/>
      <c r="M22" s="571"/>
      <c r="N22" s="571"/>
      <c r="O22" s="571"/>
      <c r="P22" s="571"/>
      <c r="Q22" s="571"/>
      <c r="R22" s="571"/>
      <c r="S22" s="571"/>
      <c r="T22" s="571"/>
      <c r="U22" s="571"/>
      <c r="V22" s="571"/>
      <c r="W22" s="571"/>
      <c r="X22" s="571"/>
      <c r="Y22" s="571"/>
      <c r="Z22" s="571"/>
      <c r="AA22" s="571"/>
      <c r="AB22" s="571"/>
      <c r="AC22" s="571"/>
      <c r="AD22" s="571"/>
      <c r="AE22" s="588"/>
      <c r="AF22" s="588"/>
      <c r="AG22" s="588"/>
      <c r="AH22" s="588"/>
      <c r="AI22" s="588"/>
      <c r="AJ22" s="588"/>
      <c r="AK22" s="588"/>
      <c r="AL22" s="588"/>
      <c r="AM22" s="588"/>
      <c r="AN22" s="588"/>
      <c r="AO22" s="588"/>
      <c r="AP22" s="588"/>
      <c r="AQ22" s="588"/>
      <c r="AR22" s="588"/>
      <c r="AS22" s="588"/>
      <c r="AT22" s="588"/>
      <c r="AU22" s="588"/>
      <c r="AV22" s="588"/>
      <c r="AW22" s="588"/>
      <c r="AX22" s="588"/>
      <c r="AY22" s="588"/>
      <c r="AZ22" s="588"/>
      <c r="BA22" s="588"/>
      <c r="BB22" s="588"/>
      <c r="BC22" s="588"/>
      <c r="BD22" s="588"/>
      <c r="BE22" s="588"/>
      <c r="BF22" s="588"/>
      <c r="BG22" s="588"/>
      <c r="BH22" s="588"/>
      <c r="BI22" s="588"/>
      <c r="BJ22" s="588"/>
      <c r="BK22" s="588"/>
      <c r="BL22" s="588"/>
      <c r="BM22" s="588"/>
      <c r="BN22" s="588"/>
      <c r="BO22" s="588"/>
      <c r="BP22" s="588"/>
      <c r="BQ22" s="588"/>
      <c r="BR22" s="588"/>
      <c r="BS22" s="588"/>
      <c r="BT22" s="588"/>
      <c r="BU22" s="588"/>
      <c r="BV22" s="588"/>
      <c r="BW22" s="588"/>
      <c r="BX22" s="588"/>
      <c r="BY22" s="588"/>
      <c r="BZ22" s="588"/>
      <c r="CA22" s="588"/>
      <c r="CB22" s="588"/>
      <c r="CC22" s="588"/>
      <c r="CD22" s="588"/>
      <c r="CE22" s="588"/>
      <c r="CF22" s="588"/>
      <c r="CG22" s="588"/>
      <c r="CH22" s="588"/>
      <c r="CI22" s="588"/>
      <c r="CJ22" s="588"/>
      <c r="CK22" s="588"/>
      <c r="CL22" s="588"/>
      <c r="CM22" s="588"/>
      <c r="CN22" s="588"/>
      <c r="CO22" s="588"/>
      <c r="CP22" s="588"/>
      <c r="CQ22" s="588"/>
      <c r="CR22" s="588"/>
      <c r="CS22" s="588"/>
      <c r="CT22" s="588"/>
      <c r="CU22" s="588"/>
      <c r="CV22" s="588"/>
      <c r="CW22" s="588"/>
      <c r="CX22" s="588"/>
      <c r="CY22" s="588"/>
      <c r="CZ22" s="588"/>
      <c r="DA22" s="588"/>
      <c r="DB22" s="588"/>
      <c r="DC22" s="588"/>
      <c r="DD22" s="588"/>
      <c r="DE22" s="588"/>
      <c r="DF22" s="588"/>
      <c r="DG22" s="588"/>
      <c r="DH22" s="588"/>
      <c r="DI22" s="588"/>
      <c r="DJ22" s="588"/>
      <c r="DK22" s="588"/>
      <c r="DL22" s="588"/>
      <c r="DM22" s="588"/>
      <c r="DN22" s="588"/>
      <c r="DO22" s="588"/>
      <c r="DP22" s="588"/>
      <c r="DQ22" s="588"/>
      <c r="DR22" s="588"/>
      <c r="DS22" s="588"/>
      <c r="DT22" s="588"/>
      <c r="DU22" s="588"/>
      <c r="DV22" s="588"/>
      <c r="DW22" s="588"/>
      <c r="DX22" s="588"/>
      <c r="DY22" s="588"/>
      <c r="DZ22" s="588"/>
      <c r="EA22" s="588"/>
      <c r="EB22" s="588"/>
      <c r="EC22" s="588"/>
      <c r="ED22" s="588"/>
      <c r="EE22" s="588"/>
      <c r="EF22" s="588"/>
      <c r="EG22" s="588"/>
      <c r="EH22" s="588"/>
      <c r="EI22" s="588"/>
      <c r="EJ22" s="588"/>
      <c r="EK22" s="588"/>
      <c r="EL22" s="588"/>
      <c r="EM22" s="588"/>
      <c r="EN22" s="588"/>
      <c r="EO22" s="588"/>
      <c r="EP22" s="588"/>
      <c r="EQ22" s="588"/>
      <c r="ER22" s="588"/>
      <c r="ES22" s="588"/>
      <c r="ET22" s="588"/>
      <c r="EU22" s="588"/>
      <c r="EV22" s="588"/>
      <c r="EW22" s="588"/>
      <c r="EX22" s="588"/>
      <c r="EY22" s="588"/>
      <c r="EZ22" s="588"/>
      <c r="FA22" s="588"/>
      <c r="FB22" s="588"/>
      <c r="FC22" s="588"/>
      <c r="FD22" s="588"/>
      <c r="FE22" s="588"/>
      <c r="FF22" s="588"/>
      <c r="FG22" s="588"/>
      <c r="FH22" s="588"/>
      <c r="FI22" s="588"/>
      <c r="FJ22" s="588"/>
      <c r="FK22" s="588"/>
      <c r="FL22" s="588"/>
      <c r="FM22" s="588"/>
      <c r="FN22" s="588"/>
      <c r="FO22" s="588"/>
      <c r="FP22" s="588"/>
      <c r="FQ22" s="588"/>
      <c r="FR22" s="588"/>
      <c r="FS22" s="588"/>
      <c r="FT22" s="588"/>
      <c r="FU22" s="588"/>
      <c r="FV22" s="588"/>
      <c r="FW22" s="588"/>
      <c r="FX22" s="588"/>
      <c r="FY22" s="588"/>
      <c r="FZ22" s="588"/>
      <c r="GA22" s="588"/>
      <c r="GB22" s="588"/>
      <c r="GC22" s="588"/>
      <c r="GD22" s="588"/>
      <c r="GE22" s="588"/>
      <c r="GF22" s="588"/>
      <c r="GG22" s="588"/>
      <c r="GH22" s="588"/>
      <c r="GI22" s="588"/>
      <c r="GJ22" s="588"/>
      <c r="GK22" s="588"/>
      <c r="GL22" s="588"/>
      <c r="GM22" s="588"/>
      <c r="GN22" s="588"/>
      <c r="GO22" s="588"/>
      <c r="GP22" s="588"/>
      <c r="GQ22" s="588"/>
      <c r="GR22" s="588"/>
      <c r="GS22" s="588"/>
      <c r="GT22" s="588"/>
      <c r="GU22" s="588"/>
      <c r="GV22" s="588"/>
      <c r="GW22" s="588"/>
      <c r="GX22" s="588"/>
      <c r="GY22" s="588"/>
      <c r="GZ22" s="588"/>
      <c r="HA22" s="588"/>
      <c r="HB22" s="588"/>
      <c r="HC22" s="588"/>
      <c r="HD22" s="588"/>
      <c r="HE22" s="588"/>
      <c r="HF22" s="588"/>
      <c r="HG22" s="588"/>
      <c r="HH22" s="588"/>
      <c r="HI22" s="588"/>
      <c r="HJ22" s="588"/>
      <c r="HK22" s="588"/>
      <c r="HL22" s="588"/>
      <c r="HM22" s="588"/>
      <c r="HN22" s="588"/>
      <c r="HO22" s="588"/>
      <c r="HP22" s="588"/>
      <c r="HQ22" s="588"/>
      <c r="HR22" s="588"/>
      <c r="HS22" s="588"/>
      <c r="HT22" s="588"/>
      <c r="HU22" s="588"/>
      <c r="HV22" s="588"/>
      <c r="HW22" s="588"/>
      <c r="HX22" s="588"/>
      <c r="HY22" s="588"/>
      <c r="HZ22" s="588"/>
      <c r="IA22" s="588"/>
      <c r="IB22" s="588"/>
      <c r="IC22" s="588"/>
      <c r="ID22" s="588"/>
      <c r="IE22" s="588"/>
      <c r="IF22" s="588"/>
      <c r="IG22" s="588"/>
      <c r="IH22" s="588"/>
      <c r="II22" s="588"/>
      <c r="IJ22" s="588"/>
      <c r="IK22" s="588"/>
      <c r="IL22" s="588"/>
      <c r="IM22" s="588"/>
      <c r="IN22" s="588"/>
      <c r="IO22" s="588"/>
      <c r="IP22" s="588"/>
      <c r="IQ22" s="588"/>
      <c r="IR22" s="588"/>
      <c r="IS22" s="588"/>
      <c r="IT22" s="588"/>
      <c r="IU22" s="588"/>
      <c r="IV22" s="588"/>
    </row>
    <row r="23" spans="1:256" x14ac:dyDescent="0.2">
      <c r="A23" s="571" t="s">
        <v>357</v>
      </c>
      <c r="B23" s="571"/>
      <c r="C23" s="571"/>
      <c r="D23" s="571"/>
      <c r="E23" s="571"/>
      <c r="F23" s="571"/>
      <c r="G23" s="571"/>
      <c r="H23" s="571"/>
      <c r="I23" s="571"/>
      <c r="J23" s="571"/>
      <c r="K23" s="571"/>
      <c r="L23" s="571"/>
      <c r="M23" s="571"/>
      <c r="N23" s="571"/>
      <c r="O23" s="571"/>
      <c r="P23" s="571"/>
      <c r="Q23" s="571"/>
      <c r="R23" s="571"/>
      <c r="S23" s="571"/>
      <c r="T23" s="571"/>
      <c r="U23" s="571"/>
      <c r="V23" s="571"/>
      <c r="W23" s="571"/>
      <c r="X23" s="571"/>
      <c r="Y23" s="571"/>
      <c r="Z23" s="571"/>
      <c r="AA23" s="571"/>
      <c r="AB23" s="571"/>
      <c r="AC23" s="571"/>
      <c r="AD23" s="571"/>
      <c r="AE23" s="588"/>
      <c r="AF23" s="588"/>
      <c r="AG23" s="588"/>
      <c r="AH23" s="588"/>
      <c r="AI23" s="588"/>
      <c r="AJ23" s="588"/>
      <c r="AK23" s="588"/>
      <c r="AL23" s="588"/>
      <c r="AM23" s="588"/>
      <c r="AN23" s="588"/>
      <c r="AO23" s="588"/>
      <c r="AP23" s="588"/>
      <c r="AQ23" s="588"/>
      <c r="AR23" s="588"/>
      <c r="AS23" s="588"/>
      <c r="AT23" s="588"/>
      <c r="AU23" s="588"/>
      <c r="AV23" s="588"/>
      <c r="AW23" s="588"/>
      <c r="AX23" s="588"/>
      <c r="AY23" s="588"/>
      <c r="AZ23" s="588"/>
      <c r="BA23" s="588"/>
      <c r="BB23" s="588"/>
      <c r="BC23" s="588"/>
      <c r="BD23" s="588"/>
      <c r="BE23" s="588"/>
      <c r="BF23" s="588"/>
      <c r="BG23" s="588"/>
      <c r="BH23" s="588"/>
      <c r="BI23" s="588"/>
      <c r="BJ23" s="588"/>
      <c r="BK23" s="588"/>
      <c r="BL23" s="588"/>
      <c r="BM23" s="588"/>
      <c r="BN23" s="588"/>
      <c r="BO23" s="588"/>
      <c r="BP23" s="588"/>
      <c r="BQ23" s="588"/>
      <c r="BR23" s="588"/>
      <c r="BS23" s="588"/>
      <c r="BT23" s="588"/>
      <c r="BU23" s="588"/>
      <c r="BV23" s="588"/>
      <c r="BW23" s="588"/>
      <c r="BX23" s="588"/>
      <c r="BY23" s="588"/>
      <c r="BZ23" s="588"/>
      <c r="CA23" s="588"/>
      <c r="CB23" s="588"/>
      <c r="CC23" s="588"/>
      <c r="CD23" s="588"/>
      <c r="CE23" s="588"/>
      <c r="CF23" s="588"/>
      <c r="CG23" s="588"/>
      <c r="CH23" s="588"/>
      <c r="CI23" s="588"/>
      <c r="CJ23" s="588"/>
      <c r="CK23" s="588"/>
      <c r="CL23" s="588"/>
      <c r="CM23" s="588"/>
      <c r="CN23" s="588"/>
      <c r="CO23" s="588"/>
      <c r="CP23" s="588"/>
      <c r="CQ23" s="588"/>
      <c r="CR23" s="588"/>
      <c r="CS23" s="588"/>
      <c r="CT23" s="588"/>
      <c r="CU23" s="588"/>
      <c r="CV23" s="588"/>
      <c r="CW23" s="588"/>
      <c r="CX23" s="588"/>
      <c r="CY23" s="588"/>
      <c r="CZ23" s="588"/>
      <c r="DA23" s="588"/>
      <c r="DB23" s="588"/>
      <c r="DC23" s="588"/>
      <c r="DD23" s="588"/>
      <c r="DE23" s="588"/>
      <c r="DF23" s="588"/>
      <c r="DG23" s="588"/>
      <c r="DH23" s="588"/>
      <c r="DI23" s="588"/>
      <c r="DJ23" s="588"/>
      <c r="DK23" s="588"/>
      <c r="DL23" s="588"/>
      <c r="DM23" s="588"/>
      <c r="DN23" s="588"/>
      <c r="DO23" s="588"/>
      <c r="DP23" s="588"/>
      <c r="DQ23" s="588"/>
      <c r="DR23" s="588"/>
      <c r="DS23" s="588"/>
      <c r="DT23" s="588"/>
      <c r="DU23" s="588"/>
      <c r="DV23" s="588"/>
      <c r="DW23" s="588"/>
      <c r="DX23" s="588"/>
      <c r="DY23" s="588"/>
      <c r="DZ23" s="588"/>
      <c r="EA23" s="588"/>
      <c r="EB23" s="588"/>
      <c r="EC23" s="588"/>
      <c r="ED23" s="588"/>
      <c r="EE23" s="588"/>
      <c r="EF23" s="588"/>
      <c r="EG23" s="588"/>
      <c r="EH23" s="588"/>
      <c r="EI23" s="588"/>
      <c r="EJ23" s="588"/>
      <c r="EK23" s="588"/>
      <c r="EL23" s="588"/>
      <c r="EM23" s="588"/>
      <c r="EN23" s="588"/>
      <c r="EO23" s="588"/>
      <c r="EP23" s="588"/>
      <c r="EQ23" s="588"/>
      <c r="ER23" s="588"/>
      <c r="ES23" s="588"/>
      <c r="ET23" s="588"/>
      <c r="EU23" s="588"/>
      <c r="EV23" s="588"/>
      <c r="EW23" s="588"/>
      <c r="EX23" s="588"/>
      <c r="EY23" s="588"/>
      <c r="EZ23" s="588"/>
      <c r="FA23" s="588"/>
      <c r="FB23" s="588"/>
      <c r="FC23" s="588"/>
      <c r="FD23" s="588"/>
      <c r="FE23" s="588"/>
      <c r="FF23" s="588"/>
      <c r="FG23" s="588"/>
      <c r="FH23" s="588"/>
      <c r="FI23" s="588"/>
      <c r="FJ23" s="588"/>
      <c r="FK23" s="588"/>
      <c r="FL23" s="588"/>
      <c r="FM23" s="588"/>
      <c r="FN23" s="588"/>
      <c r="FO23" s="588"/>
      <c r="FP23" s="588"/>
      <c r="FQ23" s="588"/>
      <c r="FR23" s="588"/>
      <c r="FS23" s="588"/>
      <c r="FT23" s="588"/>
      <c r="FU23" s="588"/>
      <c r="FV23" s="588"/>
      <c r="FW23" s="588"/>
      <c r="FX23" s="588"/>
      <c r="FY23" s="588"/>
      <c r="FZ23" s="588"/>
      <c r="GA23" s="588"/>
      <c r="GB23" s="588"/>
      <c r="GC23" s="588"/>
      <c r="GD23" s="588"/>
      <c r="GE23" s="588"/>
      <c r="GF23" s="588"/>
      <c r="GG23" s="588"/>
      <c r="GH23" s="588"/>
      <c r="GI23" s="588"/>
      <c r="GJ23" s="588"/>
      <c r="GK23" s="588"/>
      <c r="GL23" s="588"/>
      <c r="GM23" s="588"/>
      <c r="GN23" s="588"/>
      <c r="GO23" s="588"/>
      <c r="GP23" s="588"/>
      <c r="GQ23" s="588"/>
      <c r="GR23" s="588"/>
      <c r="GS23" s="588"/>
      <c r="GT23" s="588"/>
      <c r="GU23" s="588"/>
      <c r="GV23" s="588"/>
      <c r="GW23" s="588"/>
      <c r="GX23" s="588"/>
      <c r="GY23" s="588"/>
      <c r="GZ23" s="588"/>
      <c r="HA23" s="588"/>
      <c r="HB23" s="588"/>
      <c r="HC23" s="588"/>
      <c r="HD23" s="588"/>
      <c r="HE23" s="588"/>
      <c r="HF23" s="588"/>
      <c r="HG23" s="588"/>
      <c r="HH23" s="588"/>
      <c r="HI23" s="588"/>
      <c r="HJ23" s="588"/>
      <c r="HK23" s="588"/>
      <c r="HL23" s="588"/>
      <c r="HM23" s="588"/>
      <c r="HN23" s="588"/>
      <c r="HO23" s="588"/>
      <c r="HP23" s="588"/>
      <c r="HQ23" s="588"/>
      <c r="HR23" s="588"/>
      <c r="HS23" s="588"/>
      <c r="HT23" s="588"/>
      <c r="HU23" s="588"/>
      <c r="HV23" s="588"/>
      <c r="HW23" s="588"/>
      <c r="HX23" s="588"/>
      <c r="HY23" s="588"/>
      <c r="HZ23" s="588"/>
      <c r="IA23" s="588"/>
      <c r="IB23" s="588"/>
      <c r="IC23" s="588"/>
      <c r="ID23" s="588"/>
      <c r="IE23" s="588"/>
      <c r="IF23" s="588"/>
      <c r="IG23" s="588"/>
      <c r="IH23" s="588"/>
      <c r="II23" s="588"/>
      <c r="IJ23" s="588"/>
      <c r="IK23" s="588"/>
      <c r="IL23" s="588"/>
      <c r="IM23" s="588"/>
      <c r="IN23" s="588"/>
      <c r="IO23" s="588"/>
      <c r="IP23" s="588"/>
      <c r="IQ23" s="588"/>
      <c r="IR23" s="588"/>
      <c r="IS23" s="588"/>
      <c r="IT23" s="588"/>
      <c r="IU23" s="588"/>
      <c r="IV23" s="588"/>
    </row>
    <row r="24" spans="1:256" x14ac:dyDescent="0.2">
      <c r="A24" s="571"/>
      <c r="B24" s="571"/>
      <c r="C24" s="571"/>
      <c r="D24" s="571"/>
      <c r="E24" s="571"/>
      <c r="F24" s="571"/>
      <c r="G24" s="571"/>
      <c r="H24" s="571"/>
      <c r="I24" s="571"/>
      <c r="J24" s="571"/>
      <c r="K24" s="571"/>
      <c r="L24" s="571"/>
      <c r="M24" s="571"/>
      <c r="N24" s="571"/>
      <c r="O24" s="571"/>
      <c r="P24" s="571"/>
      <c r="Q24" s="571"/>
      <c r="R24" s="571"/>
      <c r="S24" s="571"/>
      <c r="T24" s="571"/>
      <c r="U24" s="571"/>
      <c r="V24" s="571"/>
      <c r="W24" s="571"/>
      <c r="X24" s="571"/>
      <c r="Y24" s="571"/>
      <c r="Z24" s="571"/>
      <c r="AA24" s="571"/>
      <c r="AB24" s="571"/>
      <c r="AC24" s="571"/>
      <c r="AD24" s="571"/>
      <c r="AE24" s="588"/>
      <c r="AF24" s="588"/>
      <c r="AG24" s="588"/>
      <c r="AH24" s="588"/>
      <c r="AI24" s="588"/>
      <c r="AJ24" s="588"/>
      <c r="AK24" s="588"/>
      <c r="AL24" s="588"/>
      <c r="AM24" s="588"/>
      <c r="AN24" s="588"/>
      <c r="AO24" s="588"/>
      <c r="AP24" s="588"/>
      <c r="AQ24" s="588"/>
      <c r="AR24" s="588"/>
      <c r="AS24" s="588"/>
      <c r="AT24" s="588"/>
      <c r="AU24" s="588"/>
      <c r="AV24" s="588"/>
      <c r="AW24" s="588"/>
      <c r="AX24" s="588"/>
      <c r="AY24" s="588"/>
      <c r="AZ24" s="588"/>
      <c r="BA24" s="588"/>
      <c r="BB24" s="588"/>
      <c r="BC24" s="588"/>
      <c r="BD24" s="588"/>
      <c r="BE24" s="588"/>
      <c r="BF24" s="588"/>
      <c r="BG24" s="588"/>
      <c r="BH24" s="588"/>
      <c r="BI24" s="588"/>
      <c r="BJ24" s="588"/>
      <c r="BK24" s="588"/>
      <c r="BL24" s="588"/>
      <c r="BM24" s="588"/>
      <c r="BN24" s="588"/>
      <c r="BO24" s="588"/>
      <c r="BP24" s="588"/>
      <c r="BQ24" s="588"/>
      <c r="BR24" s="588"/>
      <c r="BS24" s="588"/>
      <c r="BT24" s="588"/>
      <c r="BU24" s="588"/>
      <c r="BV24" s="588"/>
      <c r="BW24" s="588"/>
      <c r="BX24" s="588"/>
      <c r="BY24" s="588"/>
      <c r="BZ24" s="588"/>
      <c r="CA24" s="588"/>
      <c r="CB24" s="588"/>
      <c r="CC24" s="588"/>
      <c r="CD24" s="588"/>
      <c r="CE24" s="588"/>
      <c r="CF24" s="588"/>
      <c r="CG24" s="588"/>
      <c r="CH24" s="588"/>
      <c r="CI24" s="588"/>
      <c r="CJ24" s="588"/>
      <c r="CK24" s="588"/>
      <c r="CL24" s="588"/>
      <c r="CM24" s="588"/>
      <c r="CN24" s="588"/>
      <c r="CO24" s="588"/>
      <c r="CP24" s="588"/>
      <c r="CQ24" s="588"/>
      <c r="CR24" s="588"/>
      <c r="CS24" s="588"/>
      <c r="CT24" s="588"/>
      <c r="CU24" s="588"/>
      <c r="CV24" s="588"/>
      <c r="CW24" s="588"/>
      <c r="CX24" s="588"/>
      <c r="CY24" s="588"/>
      <c r="CZ24" s="588"/>
      <c r="DA24" s="588"/>
      <c r="DB24" s="588"/>
      <c r="DC24" s="588"/>
      <c r="DD24" s="588"/>
      <c r="DE24" s="588"/>
      <c r="DF24" s="588"/>
      <c r="DG24" s="588"/>
      <c r="DH24" s="588"/>
      <c r="DI24" s="588"/>
      <c r="DJ24" s="588"/>
      <c r="DK24" s="588"/>
      <c r="DL24" s="588"/>
      <c r="DM24" s="588"/>
      <c r="DN24" s="588"/>
      <c r="DO24" s="588"/>
      <c r="DP24" s="588"/>
      <c r="DQ24" s="588"/>
      <c r="DR24" s="588"/>
      <c r="DS24" s="588"/>
      <c r="DT24" s="588"/>
      <c r="DU24" s="588"/>
      <c r="DV24" s="588"/>
      <c r="DW24" s="588"/>
      <c r="DX24" s="588"/>
      <c r="DY24" s="588"/>
      <c r="DZ24" s="588"/>
      <c r="EA24" s="588"/>
      <c r="EB24" s="588"/>
      <c r="EC24" s="588"/>
      <c r="ED24" s="588"/>
      <c r="EE24" s="588"/>
      <c r="EF24" s="588"/>
      <c r="EG24" s="588"/>
      <c r="EH24" s="588"/>
      <c r="EI24" s="588"/>
      <c r="EJ24" s="588"/>
      <c r="EK24" s="588"/>
      <c r="EL24" s="588"/>
      <c r="EM24" s="588"/>
      <c r="EN24" s="588"/>
      <c r="EO24" s="588"/>
      <c r="EP24" s="588"/>
      <c r="EQ24" s="588"/>
      <c r="ER24" s="588"/>
      <c r="ES24" s="588"/>
      <c r="ET24" s="588"/>
      <c r="EU24" s="588"/>
      <c r="EV24" s="588"/>
      <c r="EW24" s="588"/>
      <c r="EX24" s="588"/>
      <c r="EY24" s="588"/>
      <c r="EZ24" s="588"/>
      <c r="FA24" s="588"/>
      <c r="FB24" s="588"/>
      <c r="FC24" s="588"/>
      <c r="FD24" s="588"/>
      <c r="FE24" s="588"/>
      <c r="FF24" s="588"/>
      <c r="FG24" s="588"/>
      <c r="FH24" s="588"/>
      <c r="FI24" s="588"/>
      <c r="FJ24" s="588"/>
      <c r="FK24" s="588"/>
      <c r="FL24" s="588"/>
      <c r="FM24" s="588"/>
      <c r="FN24" s="588"/>
      <c r="FO24" s="588"/>
      <c r="FP24" s="588"/>
      <c r="FQ24" s="588"/>
      <c r="FR24" s="588"/>
      <c r="FS24" s="588"/>
      <c r="FT24" s="588"/>
      <c r="FU24" s="588"/>
      <c r="FV24" s="588"/>
      <c r="FW24" s="588"/>
      <c r="FX24" s="588"/>
      <c r="FY24" s="588"/>
      <c r="FZ24" s="588"/>
      <c r="GA24" s="588"/>
      <c r="GB24" s="588"/>
      <c r="GC24" s="588"/>
      <c r="GD24" s="588"/>
      <c r="GE24" s="588"/>
      <c r="GF24" s="588"/>
      <c r="GG24" s="588"/>
      <c r="GH24" s="588"/>
      <c r="GI24" s="588"/>
      <c r="GJ24" s="588"/>
      <c r="GK24" s="588"/>
      <c r="GL24" s="588"/>
      <c r="GM24" s="588"/>
      <c r="GN24" s="588"/>
      <c r="GO24" s="588"/>
      <c r="GP24" s="588"/>
      <c r="GQ24" s="588"/>
      <c r="GR24" s="588"/>
      <c r="GS24" s="588"/>
      <c r="GT24" s="588"/>
      <c r="GU24" s="588"/>
      <c r="GV24" s="588"/>
      <c r="GW24" s="588"/>
      <c r="GX24" s="588"/>
      <c r="GY24" s="588"/>
      <c r="GZ24" s="588"/>
      <c r="HA24" s="588"/>
      <c r="HB24" s="588"/>
      <c r="HC24" s="588"/>
      <c r="HD24" s="588"/>
      <c r="HE24" s="588"/>
      <c r="HF24" s="588"/>
      <c r="HG24" s="588"/>
      <c r="HH24" s="588"/>
      <c r="HI24" s="588"/>
      <c r="HJ24" s="588"/>
      <c r="HK24" s="588"/>
      <c r="HL24" s="588"/>
      <c r="HM24" s="588"/>
      <c r="HN24" s="588"/>
      <c r="HO24" s="588"/>
      <c r="HP24" s="588"/>
      <c r="HQ24" s="588"/>
      <c r="HR24" s="588"/>
      <c r="HS24" s="588"/>
      <c r="HT24" s="588"/>
      <c r="HU24" s="588"/>
      <c r="HV24" s="588"/>
      <c r="HW24" s="588"/>
      <c r="HX24" s="588"/>
      <c r="HY24" s="588"/>
      <c r="HZ24" s="588"/>
      <c r="IA24" s="588"/>
      <c r="IB24" s="588"/>
      <c r="IC24" s="588"/>
      <c r="ID24" s="588"/>
      <c r="IE24" s="588"/>
      <c r="IF24" s="588"/>
      <c r="IG24" s="588"/>
      <c r="IH24" s="588"/>
      <c r="II24" s="588"/>
      <c r="IJ24" s="588"/>
      <c r="IK24" s="588"/>
      <c r="IL24" s="588"/>
      <c r="IM24" s="588"/>
      <c r="IN24" s="588"/>
      <c r="IO24" s="588"/>
      <c r="IP24" s="588"/>
      <c r="IQ24" s="588"/>
      <c r="IR24" s="588"/>
      <c r="IS24" s="588"/>
      <c r="IT24" s="588"/>
      <c r="IU24" s="588"/>
      <c r="IV24" s="588"/>
    </row>
    <row r="25" spans="1:256" x14ac:dyDescent="0.2">
      <c r="A25" s="571"/>
      <c r="B25" s="571"/>
      <c r="C25" s="571"/>
      <c r="D25" s="571"/>
      <c r="E25" s="571"/>
      <c r="F25" s="571"/>
      <c r="G25" s="571"/>
      <c r="H25" s="571"/>
      <c r="I25" s="571"/>
      <c r="J25" s="571"/>
      <c r="K25" s="571"/>
      <c r="L25" s="571"/>
      <c r="M25" s="571"/>
      <c r="N25" s="571"/>
      <c r="O25" s="571"/>
      <c r="P25" s="571"/>
      <c r="Q25" s="571"/>
      <c r="R25" s="571"/>
      <c r="S25" s="571"/>
      <c r="T25" s="571"/>
      <c r="U25" s="571"/>
      <c r="V25" s="571"/>
      <c r="W25" s="571"/>
      <c r="X25" s="571"/>
      <c r="Y25" s="571"/>
      <c r="Z25" s="571"/>
      <c r="AA25" s="571"/>
      <c r="AB25" s="571"/>
      <c r="AC25" s="571"/>
      <c r="AD25" s="571"/>
      <c r="AE25" s="588"/>
      <c r="AF25" s="588"/>
      <c r="AG25" s="588"/>
      <c r="AH25" s="588"/>
      <c r="AI25" s="588"/>
      <c r="AJ25" s="588"/>
      <c r="AK25" s="588"/>
      <c r="AL25" s="588"/>
      <c r="AM25" s="588"/>
      <c r="AN25" s="588"/>
      <c r="AO25" s="588"/>
      <c r="AP25" s="588"/>
      <c r="AQ25" s="588"/>
      <c r="AR25" s="588"/>
      <c r="AS25" s="588"/>
      <c r="AT25" s="588"/>
      <c r="AU25" s="588"/>
      <c r="AV25" s="588"/>
      <c r="AW25" s="588"/>
      <c r="AX25" s="588"/>
      <c r="AY25" s="588"/>
      <c r="AZ25" s="588"/>
      <c r="BA25" s="588"/>
      <c r="BB25" s="588"/>
      <c r="BC25" s="588"/>
      <c r="BD25" s="588"/>
      <c r="BE25" s="588"/>
      <c r="BF25" s="588"/>
      <c r="BG25" s="588"/>
      <c r="BH25" s="588"/>
      <c r="BI25" s="588"/>
      <c r="BJ25" s="588"/>
      <c r="BK25" s="588"/>
      <c r="BL25" s="588"/>
      <c r="BM25" s="588"/>
      <c r="BN25" s="588"/>
      <c r="BO25" s="588"/>
      <c r="BP25" s="588"/>
      <c r="BQ25" s="588"/>
      <c r="BR25" s="588"/>
      <c r="BS25" s="588"/>
      <c r="BT25" s="588"/>
      <c r="BU25" s="588"/>
      <c r="BV25" s="588"/>
      <c r="BW25" s="588"/>
      <c r="BX25" s="588"/>
      <c r="BY25" s="588"/>
      <c r="BZ25" s="588"/>
      <c r="CA25" s="588"/>
      <c r="CB25" s="588"/>
      <c r="CC25" s="588"/>
      <c r="CD25" s="588"/>
      <c r="CE25" s="588"/>
      <c r="CF25" s="588"/>
      <c r="CG25" s="588"/>
      <c r="CH25" s="588"/>
      <c r="CI25" s="588"/>
      <c r="CJ25" s="588"/>
      <c r="CK25" s="588"/>
      <c r="CL25" s="588"/>
      <c r="CM25" s="588"/>
      <c r="CN25" s="588"/>
      <c r="CO25" s="588"/>
      <c r="CP25" s="588"/>
      <c r="CQ25" s="588"/>
      <c r="CR25" s="588"/>
      <c r="CS25" s="588"/>
      <c r="CT25" s="588"/>
      <c r="CU25" s="588"/>
      <c r="CV25" s="588"/>
      <c r="CW25" s="588"/>
      <c r="CX25" s="588"/>
      <c r="CY25" s="588"/>
      <c r="CZ25" s="588"/>
      <c r="DA25" s="588"/>
      <c r="DB25" s="588"/>
      <c r="DC25" s="588"/>
      <c r="DD25" s="588"/>
      <c r="DE25" s="588"/>
      <c r="DF25" s="588"/>
      <c r="DG25" s="588"/>
      <c r="DH25" s="588"/>
      <c r="DI25" s="588"/>
      <c r="DJ25" s="588"/>
      <c r="DK25" s="588"/>
      <c r="DL25" s="588"/>
      <c r="DM25" s="588"/>
      <c r="DN25" s="588"/>
      <c r="DO25" s="588"/>
      <c r="DP25" s="588"/>
      <c r="DQ25" s="588"/>
      <c r="DR25" s="588"/>
      <c r="DS25" s="588"/>
      <c r="DT25" s="588"/>
      <c r="DU25" s="588"/>
      <c r="DV25" s="588"/>
      <c r="DW25" s="588"/>
      <c r="DX25" s="588"/>
      <c r="DY25" s="588"/>
      <c r="DZ25" s="588"/>
      <c r="EA25" s="588"/>
      <c r="EB25" s="588"/>
      <c r="EC25" s="588"/>
      <c r="ED25" s="588"/>
      <c r="EE25" s="588"/>
      <c r="EF25" s="588"/>
      <c r="EG25" s="588"/>
      <c r="EH25" s="588"/>
      <c r="EI25" s="588"/>
      <c r="EJ25" s="588"/>
      <c r="EK25" s="588"/>
      <c r="EL25" s="588"/>
      <c r="EM25" s="588"/>
      <c r="EN25" s="588"/>
      <c r="EO25" s="588"/>
      <c r="EP25" s="588"/>
      <c r="EQ25" s="588"/>
      <c r="ER25" s="588"/>
      <c r="ES25" s="588"/>
      <c r="ET25" s="588"/>
      <c r="EU25" s="588"/>
      <c r="EV25" s="588"/>
      <c r="EW25" s="588"/>
      <c r="EX25" s="588"/>
      <c r="EY25" s="588"/>
      <c r="EZ25" s="588"/>
      <c r="FA25" s="588"/>
      <c r="FB25" s="588"/>
      <c r="FC25" s="588"/>
      <c r="FD25" s="588"/>
      <c r="FE25" s="588"/>
      <c r="FF25" s="588"/>
      <c r="FG25" s="588"/>
      <c r="FH25" s="588"/>
      <c r="FI25" s="588"/>
      <c r="FJ25" s="588"/>
      <c r="FK25" s="588"/>
      <c r="FL25" s="588"/>
      <c r="FM25" s="588"/>
      <c r="FN25" s="588"/>
      <c r="FO25" s="588"/>
      <c r="FP25" s="588"/>
      <c r="FQ25" s="588"/>
      <c r="FR25" s="588"/>
      <c r="FS25" s="588"/>
      <c r="FT25" s="588"/>
      <c r="FU25" s="588"/>
      <c r="FV25" s="588"/>
      <c r="FW25" s="588"/>
      <c r="FX25" s="588"/>
      <c r="FY25" s="588"/>
      <c r="FZ25" s="588"/>
      <c r="GA25" s="588"/>
      <c r="GB25" s="588"/>
      <c r="GC25" s="588"/>
      <c r="GD25" s="588"/>
      <c r="GE25" s="588"/>
      <c r="GF25" s="588"/>
      <c r="GG25" s="588"/>
      <c r="GH25" s="588"/>
      <c r="GI25" s="588"/>
      <c r="GJ25" s="588"/>
      <c r="GK25" s="588"/>
      <c r="GL25" s="588"/>
      <c r="GM25" s="588"/>
      <c r="GN25" s="588"/>
      <c r="GO25" s="588"/>
      <c r="GP25" s="588"/>
      <c r="GQ25" s="588"/>
      <c r="GR25" s="588"/>
      <c r="GS25" s="588"/>
      <c r="GT25" s="588"/>
      <c r="GU25" s="588"/>
      <c r="GV25" s="588"/>
      <c r="GW25" s="588"/>
      <c r="GX25" s="588"/>
      <c r="GY25" s="588"/>
      <c r="GZ25" s="588"/>
      <c r="HA25" s="588"/>
      <c r="HB25" s="588"/>
      <c r="HC25" s="588"/>
      <c r="HD25" s="588"/>
      <c r="HE25" s="588"/>
      <c r="HF25" s="588"/>
      <c r="HG25" s="588"/>
      <c r="HH25" s="588"/>
      <c r="HI25" s="588"/>
      <c r="HJ25" s="588"/>
      <c r="HK25" s="588"/>
      <c r="HL25" s="588"/>
      <c r="HM25" s="588"/>
      <c r="HN25" s="588"/>
      <c r="HO25" s="588"/>
      <c r="HP25" s="588"/>
      <c r="HQ25" s="588"/>
      <c r="HR25" s="588"/>
      <c r="HS25" s="588"/>
      <c r="HT25" s="588"/>
      <c r="HU25" s="588"/>
      <c r="HV25" s="588"/>
      <c r="HW25" s="588"/>
      <c r="HX25" s="588"/>
      <c r="HY25" s="588"/>
      <c r="HZ25" s="588"/>
      <c r="IA25" s="588"/>
      <c r="IB25" s="588"/>
      <c r="IC25" s="588"/>
      <c r="ID25" s="588"/>
      <c r="IE25" s="588"/>
      <c r="IF25" s="588"/>
      <c r="IG25" s="588"/>
      <c r="IH25" s="588"/>
      <c r="II25" s="588"/>
      <c r="IJ25" s="588"/>
      <c r="IK25" s="588"/>
      <c r="IL25" s="588"/>
      <c r="IM25" s="588"/>
      <c r="IN25" s="588"/>
      <c r="IO25" s="588"/>
      <c r="IP25" s="588"/>
      <c r="IQ25" s="588"/>
      <c r="IR25" s="588"/>
      <c r="IS25" s="588"/>
      <c r="IT25" s="588"/>
      <c r="IU25" s="588"/>
      <c r="IV25" s="588"/>
    </row>
    <row r="26" spans="1:256" x14ac:dyDescent="0.2">
      <c r="A26" s="571"/>
      <c r="B26" s="571"/>
      <c r="C26" s="571"/>
      <c r="D26" s="571"/>
      <c r="E26" s="571"/>
      <c r="F26" s="571"/>
      <c r="G26" s="571"/>
      <c r="H26" s="571"/>
      <c r="I26" s="571"/>
      <c r="J26" s="571"/>
      <c r="K26" s="571"/>
      <c r="L26" s="571"/>
      <c r="M26" s="571"/>
      <c r="N26" s="571"/>
      <c r="O26" s="571"/>
      <c r="P26" s="571"/>
      <c r="Q26" s="571"/>
      <c r="R26" s="571"/>
      <c r="S26" s="571"/>
      <c r="T26" s="571"/>
      <c r="U26" s="571"/>
      <c r="V26" s="571"/>
      <c r="W26" s="571"/>
      <c r="X26" s="571"/>
      <c r="Y26" s="571"/>
      <c r="Z26" s="571"/>
      <c r="AA26" s="571"/>
      <c r="AB26" s="571"/>
      <c r="AC26" s="571"/>
      <c r="AD26" s="571"/>
      <c r="AE26" s="588"/>
      <c r="AF26" s="588"/>
      <c r="AG26" s="588"/>
      <c r="AH26" s="588"/>
      <c r="AI26" s="588"/>
      <c r="AJ26" s="588"/>
      <c r="AK26" s="588"/>
      <c r="AL26" s="588"/>
      <c r="AM26" s="588"/>
      <c r="AN26" s="588"/>
      <c r="AO26" s="588"/>
      <c r="AP26" s="588"/>
      <c r="AQ26" s="588"/>
      <c r="AR26" s="588"/>
      <c r="AS26" s="588"/>
      <c r="AT26" s="588"/>
      <c r="AU26" s="588"/>
      <c r="AV26" s="588"/>
      <c r="AW26" s="588"/>
      <c r="AX26" s="588"/>
      <c r="AY26" s="588"/>
      <c r="AZ26" s="588"/>
      <c r="BA26" s="588"/>
      <c r="BB26" s="588"/>
      <c r="BC26" s="588"/>
      <c r="BD26" s="588"/>
      <c r="BE26" s="588"/>
      <c r="BF26" s="588"/>
      <c r="BG26" s="588"/>
      <c r="BH26" s="588"/>
      <c r="BI26" s="588"/>
      <c r="BJ26" s="588"/>
      <c r="BK26" s="588"/>
      <c r="BL26" s="588"/>
      <c r="BM26" s="588"/>
      <c r="BN26" s="588"/>
      <c r="BO26" s="588"/>
      <c r="BP26" s="588"/>
      <c r="BQ26" s="588"/>
      <c r="BR26" s="588"/>
      <c r="BS26" s="588"/>
      <c r="BT26" s="588"/>
      <c r="BU26" s="588"/>
      <c r="BV26" s="588"/>
      <c r="BW26" s="588"/>
      <c r="BX26" s="588"/>
      <c r="BY26" s="588"/>
      <c r="BZ26" s="588"/>
      <c r="CA26" s="588"/>
      <c r="CB26" s="588"/>
      <c r="CC26" s="588"/>
      <c r="CD26" s="588"/>
      <c r="CE26" s="588"/>
      <c r="CF26" s="588"/>
      <c r="CG26" s="588"/>
      <c r="CH26" s="588"/>
      <c r="CI26" s="588"/>
      <c r="CJ26" s="588"/>
      <c r="CK26" s="588"/>
      <c r="CL26" s="588"/>
      <c r="CM26" s="588"/>
      <c r="CN26" s="588"/>
      <c r="CO26" s="588"/>
      <c r="CP26" s="588"/>
      <c r="CQ26" s="588"/>
      <c r="CR26" s="588"/>
      <c r="CS26" s="588"/>
      <c r="CT26" s="588"/>
      <c r="CU26" s="588"/>
      <c r="CV26" s="588"/>
      <c r="CW26" s="588"/>
      <c r="CX26" s="588"/>
      <c r="CY26" s="588"/>
      <c r="CZ26" s="588"/>
      <c r="DA26" s="588"/>
      <c r="DB26" s="588"/>
      <c r="DC26" s="588"/>
      <c r="DD26" s="588"/>
      <c r="DE26" s="588"/>
      <c r="DF26" s="588"/>
      <c r="DG26" s="588"/>
      <c r="DH26" s="588"/>
      <c r="DI26" s="588"/>
      <c r="DJ26" s="588"/>
      <c r="DK26" s="588"/>
      <c r="DL26" s="588"/>
      <c r="DM26" s="588"/>
      <c r="DN26" s="588"/>
      <c r="DO26" s="588"/>
      <c r="DP26" s="588"/>
      <c r="DQ26" s="588"/>
      <c r="DR26" s="588"/>
      <c r="DS26" s="588"/>
      <c r="DT26" s="588"/>
      <c r="DU26" s="588"/>
      <c r="DV26" s="588"/>
      <c r="DW26" s="588"/>
      <c r="DX26" s="588"/>
      <c r="DY26" s="588"/>
      <c r="DZ26" s="588"/>
      <c r="EA26" s="588"/>
      <c r="EB26" s="588"/>
      <c r="EC26" s="588"/>
      <c r="ED26" s="588"/>
      <c r="EE26" s="588"/>
      <c r="EF26" s="588"/>
      <c r="EG26" s="588"/>
      <c r="EH26" s="588"/>
      <c r="EI26" s="588"/>
      <c r="EJ26" s="588"/>
      <c r="EK26" s="588"/>
      <c r="EL26" s="588"/>
      <c r="EM26" s="588"/>
      <c r="EN26" s="588"/>
      <c r="EO26" s="588"/>
      <c r="EP26" s="588"/>
      <c r="EQ26" s="588"/>
      <c r="ER26" s="588"/>
      <c r="ES26" s="588"/>
      <c r="ET26" s="588"/>
      <c r="EU26" s="588"/>
      <c r="EV26" s="588"/>
      <c r="EW26" s="588"/>
      <c r="EX26" s="588"/>
      <c r="EY26" s="588"/>
      <c r="EZ26" s="588"/>
      <c r="FA26" s="588"/>
      <c r="FB26" s="588"/>
      <c r="FC26" s="588"/>
      <c r="FD26" s="588"/>
      <c r="FE26" s="588"/>
      <c r="FF26" s="588"/>
      <c r="FG26" s="588"/>
      <c r="FH26" s="588"/>
      <c r="FI26" s="588"/>
      <c r="FJ26" s="588"/>
      <c r="FK26" s="588"/>
      <c r="FL26" s="588"/>
      <c r="FM26" s="588"/>
      <c r="FN26" s="588"/>
      <c r="FO26" s="588"/>
      <c r="FP26" s="588"/>
      <c r="FQ26" s="588"/>
      <c r="FR26" s="588"/>
      <c r="FS26" s="588"/>
      <c r="FT26" s="588"/>
      <c r="FU26" s="588"/>
      <c r="FV26" s="588"/>
      <c r="FW26" s="588"/>
      <c r="FX26" s="588"/>
      <c r="FY26" s="588"/>
      <c r="FZ26" s="588"/>
      <c r="GA26" s="588"/>
      <c r="GB26" s="588"/>
      <c r="GC26" s="588"/>
      <c r="GD26" s="588"/>
      <c r="GE26" s="588"/>
      <c r="GF26" s="588"/>
      <c r="GG26" s="588"/>
      <c r="GH26" s="588"/>
      <c r="GI26" s="588"/>
      <c r="GJ26" s="588"/>
      <c r="GK26" s="588"/>
      <c r="GL26" s="588"/>
      <c r="GM26" s="588"/>
      <c r="GN26" s="588"/>
      <c r="GO26" s="588"/>
      <c r="GP26" s="588"/>
      <c r="GQ26" s="588"/>
      <c r="GR26" s="588"/>
      <c r="GS26" s="588"/>
      <c r="GT26" s="588"/>
      <c r="GU26" s="588"/>
      <c r="GV26" s="588"/>
      <c r="GW26" s="588"/>
      <c r="GX26" s="588"/>
      <c r="GY26" s="588"/>
      <c r="GZ26" s="588"/>
      <c r="HA26" s="588"/>
      <c r="HB26" s="588"/>
      <c r="HC26" s="588"/>
      <c r="HD26" s="588"/>
      <c r="HE26" s="588"/>
      <c r="HF26" s="588"/>
      <c r="HG26" s="588"/>
      <c r="HH26" s="588"/>
      <c r="HI26" s="588"/>
      <c r="HJ26" s="588"/>
      <c r="HK26" s="588"/>
      <c r="HL26" s="588"/>
      <c r="HM26" s="588"/>
      <c r="HN26" s="588"/>
      <c r="HO26" s="588"/>
      <c r="HP26" s="588"/>
      <c r="HQ26" s="588"/>
      <c r="HR26" s="588"/>
      <c r="HS26" s="588"/>
      <c r="HT26" s="588"/>
      <c r="HU26" s="588"/>
      <c r="HV26" s="588"/>
      <c r="HW26" s="588"/>
      <c r="HX26" s="588"/>
      <c r="HY26" s="588"/>
      <c r="HZ26" s="588"/>
      <c r="IA26" s="588"/>
      <c r="IB26" s="588"/>
      <c r="IC26" s="588"/>
      <c r="ID26" s="588"/>
      <c r="IE26" s="588"/>
      <c r="IF26" s="588"/>
      <c r="IG26" s="588"/>
      <c r="IH26" s="588"/>
      <c r="II26" s="588"/>
      <c r="IJ26" s="588"/>
      <c r="IK26" s="588"/>
      <c r="IL26" s="588"/>
      <c r="IM26" s="588"/>
      <c r="IN26" s="588"/>
      <c r="IO26" s="588"/>
      <c r="IP26" s="588"/>
      <c r="IQ26" s="588"/>
      <c r="IR26" s="588"/>
      <c r="IS26" s="588"/>
      <c r="IT26" s="588"/>
      <c r="IU26" s="588"/>
      <c r="IV26" s="588"/>
    </row>
    <row r="27" spans="1:256" x14ac:dyDescent="0.2">
      <c r="A27" s="120"/>
      <c r="B27" s="120"/>
      <c r="C27" s="120"/>
      <c r="D27" s="120"/>
      <c r="E27" s="120"/>
      <c r="F27" s="120"/>
      <c r="G27" s="120"/>
      <c r="H27" s="120"/>
      <c r="I27" s="120"/>
      <c r="J27" s="120"/>
    </row>
    <row r="28" spans="1:256" x14ac:dyDescent="0.2">
      <c r="A28" s="120"/>
      <c r="B28" s="120"/>
      <c r="C28" s="120"/>
      <c r="D28" s="120"/>
      <c r="E28" s="120"/>
      <c r="F28" s="120"/>
      <c r="G28" s="120"/>
      <c r="H28" s="120"/>
      <c r="I28" s="120"/>
      <c r="J28" s="120"/>
    </row>
    <row r="29" spans="1:256" x14ac:dyDescent="0.2">
      <c r="A29" s="466" t="str">
        <f>'Dane personalne'!$D$94&amp;""</f>
        <v/>
      </c>
      <c r="B29" s="466"/>
      <c r="C29" s="466" t="str">
        <f>'Dane personalne'!$F$94</f>
        <v/>
      </c>
      <c r="D29" s="466"/>
      <c r="E29" s="120"/>
      <c r="F29" s="574"/>
      <c r="G29" s="574"/>
      <c r="H29" s="574"/>
      <c r="I29" s="574"/>
      <c r="J29" s="574"/>
    </row>
    <row r="30" spans="1:256" x14ac:dyDescent="0.2">
      <c r="A30" s="515" t="s">
        <v>355</v>
      </c>
      <c r="B30" s="515"/>
      <c r="C30" s="515"/>
      <c r="D30" s="515"/>
      <c r="E30" s="120"/>
      <c r="F30" s="561" t="s">
        <v>351</v>
      </c>
      <c r="G30" s="561"/>
      <c r="H30" s="561"/>
      <c r="I30" s="561"/>
      <c r="J30" s="561"/>
    </row>
    <row r="31" spans="1:256" x14ac:dyDescent="0.2">
      <c r="A31" s="120"/>
      <c r="B31" s="120"/>
      <c r="C31" s="120"/>
      <c r="D31" s="120"/>
      <c r="E31" s="120"/>
      <c r="F31" s="120"/>
      <c r="G31" s="120"/>
      <c r="H31" s="120"/>
      <c r="I31" s="120"/>
      <c r="J31" s="120"/>
    </row>
    <row r="32" spans="1:256" x14ac:dyDescent="0.2">
      <c r="A32" s="120"/>
      <c r="B32" s="120"/>
      <c r="C32" s="120"/>
      <c r="D32" s="120"/>
      <c r="E32" s="120"/>
      <c r="F32" s="120"/>
      <c r="G32" s="120"/>
      <c r="H32" s="120"/>
      <c r="I32" s="120"/>
      <c r="J32" s="120"/>
    </row>
    <row r="33" s="120" customFormat="1" x14ac:dyDescent="0.2"/>
    <row r="34" s="120" customFormat="1" x14ac:dyDescent="0.2"/>
    <row r="35" s="120" customFormat="1" x14ac:dyDescent="0.2"/>
    <row r="36" s="120" customFormat="1" x14ac:dyDescent="0.2"/>
    <row r="37" s="120" customFormat="1" x14ac:dyDescent="0.2"/>
    <row r="38" s="120" customFormat="1" x14ac:dyDescent="0.2"/>
    <row r="39" s="120" customFormat="1" x14ac:dyDescent="0.2"/>
    <row r="40" s="120" customFormat="1" x14ac:dyDescent="0.2"/>
    <row r="41" s="120" customFormat="1" x14ac:dyDescent="0.2"/>
    <row r="42" s="120" customFormat="1" x14ac:dyDescent="0.2"/>
    <row r="43" s="120" customFormat="1" x14ac:dyDescent="0.2"/>
    <row r="44" s="120" customFormat="1" x14ac:dyDescent="0.2"/>
    <row r="45" s="120" customFormat="1" x14ac:dyDescent="0.2"/>
    <row r="46" s="120" customFormat="1" x14ac:dyDescent="0.2"/>
    <row r="47" s="120" customFormat="1" x14ac:dyDescent="0.2"/>
    <row r="48" s="120" customFormat="1" x14ac:dyDescent="0.2"/>
    <row r="49" s="120" customFormat="1" x14ac:dyDescent="0.2"/>
    <row r="50" s="120" customFormat="1" x14ac:dyDescent="0.2"/>
    <row r="51" s="120" customFormat="1" x14ac:dyDescent="0.2"/>
    <row r="52" s="120" customFormat="1" x14ac:dyDescent="0.2"/>
    <row r="53" s="120" customFormat="1" x14ac:dyDescent="0.2"/>
    <row r="54" s="120" customFormat="1" x14ac:dyDescent="0.2"/>
    <row r="55" s="120" customFormat="1" x14ac:dyDescent="0.2"/>
    <row r="56" s="120" customFormat="1" x14ac:dyDescent="0.2"/>
    <row r="57" s="120" customFormat="1" x14ac:dyDescent="0.2"/>
    <row r="58" s="120" customFormat="1" x14ac:dyDescent="0.2"/>
    <row r="59" s="120" customFormat="1" x14ac:dyDescent="0.2"/>
    <row r="60" s="120" customFormat="1" x14ac:dyDescent="0.2"/>
    <row r="61" s="120" customFormat="1" x14ac:dyDescent="0.2"/>
    <row r="62" s="120" customFormat="1" x14ac:dyDescent="0.2"/>
    <row r="63" s="120" customFormat="1" x14ac:dyDescent="0.2"/>
    <row r="64" s="120" customFormat="1" x14ac:dyDescent="0.2"/>
    <row r="65" s="120" customFormat="1" x14ac:dyDescent="0.2"/>
    <row r="66" s="120" customFormat="1" x14ac:dyDescent="0.2"/>
    <row r="67" s="120" customFormat="1" x14ac:dyDescent="0.2"/>
    <row r="68" s="120" customFormat="1" x14ac:dyDescent="0.2"/>
    <row r="69" s="120" customFormat="1" x14ac:dyDescent="0.2"/>
    <row r="70" s="120" customFormat="1" x14ac:dyDescent="0.2"/>
    <row r="71" s="120" customFormat="1" x14ac:dyDescent="0.2"/>
    <row r="72" s="120" customFormat="1" x14ac:dyDescent="0.2"/>
    <row r="73" s="120" customFormat="1" x14ac:dyDescent="0.2"/>
    <row r="74" s="120" customFormat="1" x14ac:dyDescent="0.2"/>
    <row r="75" s="120" customFormat="1" x14ac:dyDescent="0.2"/>
    <row r="76" s="120" customFormat="1" x14ac:dyDescent="0.2"/>
    <row r="77" s="120" customFormat="1" x14ac:dyDescent="0.2"/>
    <row r="78" s="120" customFormat="1" x14ac:dyDescent="0.2"/>
    <row r="79" s="120" customFormat="1" x14ac:dyDescent="0.2"/>
    <row r="80" s="120" customFormat="1" x14ac:dyDescent="0.2"/>
    <row r="81" s="120" customFormat="1" x14ac:dyDescent="0.2"/>
    <row r="82" s="120" customFormat="1" x14ac:dyDescent="0.2"/>
    <row r="83" s="120" customFormat="1" x14ac:dyDescent="0.2"/>
    <row r="84" s="120" customFormat="1" x14ac:dyDescent="0.2"/>
    <row r="85" s="120" customFormat="1" x14ac:dyDescent="0.2"/>
    <row r="86" s="120" customFormat="1" x14ac:dyDescent="0.2"/>
    <row r="87" s="120" customFormat="1" x14ac:dyDescent="0.2"/>
    <row r="88" s="120" customFormat="1" x14ac:dyDescent="0.2"/>
    <row r="89" s="120" customFormat="1" x14ac:dyDescent="0.2"/>
    <row r="90" s="120" customFormat="1" x14ac:dyDescent="0.2"/>
    <row r="91" s="120" customFormat="1" x14ac:dyDescent="0.2"/>
    <row r="92" s="120" customFormat="1" x14ac:dyDescent="0.2"/>
    <row r="93" s="120" customFormat="1" x14ac:dyDescent="0.2"/>
    <row r="94" s="120" customFormat="1" x14ac:dyDescent="0.2"/>
    <row r="95" s="120" customFormat="1" x14ac:dyDescent="0.2"/>
    <row r="96" s="120" customFormat="1" x14ac:dyDescent="0.2"/>
    <row r="97" s="120" customFormat="1" x14ac:dyDescent="0.2"/>
    <row r="98" s="120" customFormat="1" x14ac:dyDescent="0.2"/>
    <row r="99" s="120" customFormat="1" x14ac:dyDescent="0.2"/>
    <row r="100" s="120" customFormat="1" x14ac:dyDescent="0.2"/>
    <row r="101" s="120" customFormat="1" x14ac:dyDescent="0.2"/>
    <row r="102" s="120" customFormat="1" x14ac:dyDescent="0.2"/>
    <row r="103" s="120" customFormat="1" x14ac:dyDescent="0.2"/>
    <row r="104" s="120" customFormat="1" x14ac:dyDescent="0.2"/>
    <row r="105" s="120" customFormat="1" x14ac:dyDescent="0.2"/>
    <row r="106" s="120" customFormat="1" x14ac:dyDescent="0.2"/>
    <row r="107" s="120" customFormat="1" x14ac:dyDescent="0.2"/>
    <row r="108" s="120" customFormat="1" x14ac:dyDescent="0.2"/>
    <row r="109" s="120" customFormat="1" x14ac:dyDescent="0.2"/>
    <row r="110" s="120" customFormat="1" x14ac:dyDescent="0.2"/>
    <row r="111" s="120" customFormat="1" x14ac:dyDescent="0.2"/>
    <row r="112" s="120" customFormat="1" x14ac:dyDescent="0.2"/>
    <row r="113" s="120" customFormat="1" x14ac:dyDescent="0.2"/>
    <row r="114" s="120" customFormat="1" x14ac:dyDescent="0.2"/>
    <row r="115" s="120" customFormat="1" x14ac:dyDescent="0.2"/>
    <row r="116" s="120" customFormat="1" x14ac:dyDescent="0.2"/>
    <row r="117" s="120" customFormat="1" x14ac:dyDescent="0.2"/>
    <row r="118" s="120" customFormat="1" x14ac:dyDescent="0.2"/>
    <row r="119" s="120" customFormat="1" x14ac:dyDescent="0.2"/>
    <row r="120" s="120" customFormat="1" x14ac:dyDescent="0.2"/>
    <row r="121" s="120" customFormat="1" x14ac:dyDescent="0.2"/>
    <row r="122" s="120" customFormat="1" x14ac:dyDescent="0.2"/>
    <row r="123" s="120" customFormat="1" x14ac:dyDescent="0.2"/>
    <row r="124" s="120" customFormat="1" x14ac:dyDescent="0.2"/>
    <row r="125" s="120" customFormat="1" x14ac:dyDescent="0.2"/>
    <row r="126" s="120" customFormat="1" x14ac:dyDescent="0.2"/>
    <row r="127" s="120" customFormat="1" x14ac:dyDescent="0.2"/>
    <row r="128" s="120" customFormat="1" x14ac:dyDescent="0.2"/>
    <row r="129" s="120" customFormat="1" x14ac:dyDescent="0.2"/>
    <row r="130" s="120" customFormat="1" x14ac:dyDescent="0.2"/>
    <row r="131" s="120" customFormat="1" x14ac:dyDescent="0.2"/>
    <row r="132" s="120" customFormat="1" x14ac:dyDescent="0.2"/>
    <row r="133" s="120" customFormat="1" x14ac:dyDescent="0.2"/>
    <row r="134" s="120" customFormat="1" x14ac:dyDescent="0.2"/>
    <row r="135" s="120" customFormat="1" x14ac:dyDescent="0.2"/>
    <row r="136" s="120" customFormat="1" x14ac:dyDescent="0.2"/>
    <row r="137" s="120" customFormat="1" x14ac:dyDescent="0.2"/>
    <row r="138" s="120" customFormat="1" x14ac:dyDescent="0.2"/>
    <row r="139" s="120" customFormat="1" x14ac:dyDescent="0.2"/>
    <row r="140" s="120" customFormat="1" x14ac:dyDescent="0.2"/>
    <row r="141" s="120" customFormat="1" x14ac:dyDescent="0.2"/>
    <row r="142" s="120" customFormat="1" x14ac:dyDescent="0.2"/>
    <row r="143" s="120" customFormat="1" x14ac:dyDescent="0.2"/>
    <row r="144" s="120" customFormat="1" x14ac:dyDescent="0.2"/>
    <row r="145" s="120" customFormat="1" x14ac:dyDescent="0.2"/>
    <row r="146" s="120" customFormat="1" x14ac:dyDescent="0.2"/>
    <row r="147" s="120" customFormat="1" x14ac:dyDescent="0.2"/>
    <row r="148" s="120" customFormat="1" x14ac:dyDescent="0.2"/>
    <row r="149" s="120" customFormat="1" x14ac:dyDescent="0.2"/>
    <row r="150" s="120" customFormat="1" x14ac:dyDescent="0.2"/>
    <row r="151" s="120" customFormat="1" x14ac:dyDescent="0.2"/>
    <row r="152" s="120" customFormat="1" x14ac:dyDescent="0.2"/>
    <row r="153" s="120" customFormat="1" x14ac:dyDescent="0.2"/>
    <row r="154" s="120" customFormat="1" x14ac:dyDescent="0.2"/>
    <row r="155" s="120" customFormat="1" x14ac:dyDescent="0.2"/>
    <row r="156" s="120" customFormat="1" x14ac:dyDescent="0.2"/>
    <row r="157" s="120" customFormat="1" x14ac:dyDescent="0.2"/>
    <row r="158" s="120" customFormat="1" x14ac:dyDescent="0.2"/>
    <row r="159" s="120" customFormat="1" x14ac:dyDescent="0.2"/>
    <row r="160" s="120" customFormat="1" x14ac:dyDescent="0.2"/>
    <row r="161" s="120" customFormat="1" x14ac:dyDescent="0.2"/>
    <row r="162" s="120" customFormat="1" x14ac:dyDescent="0.2"/>
    <row r="163" s="120" customFormat="1" x14ac:dyDescent="0.2"/>
    <row r="164" s="120" customFormat="1" x14ac:dyDescent="0.2"/>
    <row r="165" s="120" customFormat="1" x14ac:dyDescent="0.2"/>
    <row r="166" s="120" customFormat="1" x14ac:dyDescent="0.2"/>
    <row r="167" s="120" customFormat="1" x14ac:dyDescent="0.2"/>
    <row r="168" s="120" customFormat="1" x14ac:dyDescent="0.2"/>
    <row r="169" s="120" customFormat="1" x14ac:dyDescent="0.2"/>
    <row r="170" s="120" customFormat="1" x14ac:dyDescent="0.2"/>
    <row r="171" s="120" customFormat="1" x14ac:dyDescent="0.2"/>
    <row r="172" s="120" customFormat="1" x14ac:dyDescent="0.2"/>
    <row r="173" s="120" customFormat="1" x14ac:dyDescent="0.2"/>
    <row r="174" s="120" customFormat="1" x14ac:dyDescent="0.2"/>
    <row r="175" s="120" customFormat="1" x14ac:dyDescent="0.2"/>
    <row r="176" s="120" customFormat="1" x14ac:dyDescent="0.2"/>
    <row r="177" s="120" customFormat="1" x14ac:dyDescent="0.2"/>
    <row r="178" s="120" customFormat="1" x14ac:dyDescent="0.2"/>
    <row r="179" s="120" customFormat="1" x14ac:dyDescent="0.2"/>
    <row r="180" s="120" customFormat="1" x14ac:dyDescent="0.2"/>
    <row r="181" s="120" customFormat="1" x14ac:dyDescent="0.2"/>
    <row r="182" s="120" customFormat="1" x14ac:dyDescent="0.2"/>
    <row r="183" s="120" customFormat="1" x14ac:dyDescent="0.2"/>
    <row r="184" s="120" customFormat="1" x14ac:dyDescent="0.2"/>
    <row r="185" s="120" customFormat="1" x14ac:dyDescent="0.2"/>
    <row r="186" s="120" customFormat="1" x14ac:dyDescent="0.2"/>
    <row r="187" s="120" customFormat="1" x14ac:dyDescent="0.2"/>
    <row r="188" s="120" customFormat="1" x14ac:dyDescent="0.2"/>
    <row r="189" s="120" customFormat="1" x14ac:dyDescent="0.2"/>
    <row r="190" s="120" customFormat="1" x14ac:dyDescent="0.2"/>
    <row r="191" s="120" customFormat="1" x14ac:dyDescent="0.2"/>
    <row r="192" s="120" customFormat="1" x14ac:dyDescent="0.2"/>
    <row r="193" s="120" customFormat="1" x14ac:dyDescent="0.2"/>
    <row r="194" s="120" customFormat="1" x14ac:dyDescent="0.2"/>
    <row r="195" s="120" customFormat="1" x14ac:dyDescent="0.2"/>
    <row r="196" s="120" customFormat="1" x14ac:dyDescent="0.2"/>
    <row r="197" s="120" customFormat="1" x14ac:dyDescent="0.2"/>
    <row r="198" s="120" customFormat="1" x14ac:dyDescent="0.2"/>
    <row r="199" s="120" customFormat="1" x14ac:dyDescent="0.2"/>
    <row r="200" s="120" customFormat="1" x14ac:dyDescent="0.2"/>
    <row r="201" s="120" customFormat="1" x14ac:dyDescent="0.2"/>
    <row r="202" s="120" customFormat="1" x14ac:dyDescent="0.2"/>
    <row r="203" s="120" customFormat="1" x14ac:dyDescent="0.2"/>
    <row r="204" s="120" customFormat="1" x14ac:dyDescent="0.2"/>
    <row r="205" s="120" customFormat="1" x14ac:dyDescent="0.2"/>
    <row r="206" s="120" customFormat="1" x14ac:dyDescent="0.2"/>
    <row r="207" s="120" customFormat="1" x14ac:dyDescent="0.2"/>
    <row r="208" s="120" customFormat="1" x14ac:dyDescent="0.2"/>
    <row r="209" s="120" customFormat="1" x14ac:dyDescent="0.2"/>
    <row r="210" s="120" customFormat="1" x14ac:dyDescent="0.2"/>
    <row r="211" s="120" customFormat="1" x14ac:dyDescent="0.2"/>
    <row r="212" s="120" customFormat="1" x14ac:dyDescent="0.2"/>
    <row r="213" s="120" customFormat="1" x14ac:dyDescent="0.2"/>
    <row r="214" s="120" customFormat="1" x14ac:dyDescent="0.2"/>
    <row r="215" s="120" customFormat="1" x14ac:dyDescent="0.2"/>
    <row r="216" s="120" customFormat="1" x14ac:dyDescent="0.2"/>
    <row r="217" s="120" customFormat="1" x14ac:dyDescent="0.2"/>
    <row r="218" s="120" customFormat="1" x14ac:dyDescent="0.2"/>
    <row r="219" s="120" customFormat="1" x14ac:dyDescent="0.2"/>
    <row r="220" s="120" customFormat="1" x14ac:dyDescent="0.2"/>
    <row r="221" s="120" customFormat="1" x14ac:dyDescent="0.2"/>
    <row r="222" s="120" customFormat="1" x14ac:dyDescent="0.2"/>
    <row r="223" s="120" customFormat="1" x14ac:dyDescent="0.2"/>
    <row r="224" s="120" customFormat="1" x14ac:dyDescent="0.2"/>
    <row r="225" s="120" customFormat="1" x14ac:dyDescent="0.2"/>
    <row r="226" s="120" customFormat="1" x14ac:dyDescent="0.2"/>
    <row r="227" s="120" customFormat="1" x14ac:dyDescent="0.2"/>
    <row r="228" s="120" customFormat="1" x14ac:dyDescent="0.2"/>
    <row r="229" s="120" customFormat="1" x14ac:dyDescent="0.2"/>
    <row r="230" s="120" customFormat="1" x14ac:dyDescent="0.2"/>
    <row r="231" s="120" customFormat="1" x14ac:dyDescent="0.2"/>
    <row r="232" s="120" customFormat="1" x14ac:dyDescent="0.2"/>
    <row r="233" s="120" customFormat="1" x14ac:dyDescent="0.2"/>
    <row r="234" s="120" customFormat="1" x14ac:dyDescent="0.2"/>
    <row r="235" s="120" customFormat="1" x14ac:dyDescent="0.2"/>
    <row r="236" s="120" customFormat="1" x14ac:dyDescent="0.2"/>
    <row r="237" s="120" customFormat="1" x14ac:dyDescent="0.2"/>
    <row r="238" s="120" customFormat="1" x14ac:dyDescent="0.2"/>
    <row r="239" s="120" customFormat="1" x14ac:dyDescent="0.2"/>
    <row r="240" s="120" customFormat="1" x14ac:dyDescent="0.2"/>
    <row r="241" s="120" customFormat="1" x14ac:dyDescent="0.2"/>
    <row r="242" s="120" customFormat="1" x14ac:dyDescent="0.2"/>
    <row r="243" s="120" customFormat="1" x14ac:dyDescent="0.2"/>
    <row r="244" s="120" customFormat="1" x14ac:dyDescent="0.2"/>
    <row r="245" s="120" customFormat="1" x14ac:dyDescent="0.2"/>
    <row r="246" s="120" customFormat="1" x14ac:dyDescent="0.2"/>
    <row r="247" s="120" customFormat="1" x14ac:dyDescent="0.2"/>
    <row r="248" s="120" customFormat="1" x14ac:dyDescent="0.2"/>
    <row r="249" s="120" customFormat="1" x14ac:dyDescent="0.2"/>
    <row r="250" s="120" customFormat="1" x14ac:dyDescent="0.2"/>
    <row r="251" s="120" customFormat="1" x14ac:dyDescent="0.2"/>
    <row r="252" s="120" customFormat="1" x14ac:dyDescent="0.2"/>
    <row r="253" s="120" customFormat="1" x14ac:dyDescent="0.2"/>
    <row r="254" s="120" customFormat="1" x14ac:dyDescent="0.2"/>
    <row r="255" s="120" customFormat="1" x14ac:dyDescent="0.2"/>
    <row r="256" s="120" customFormat="1" x14ac:dyDescent="0.2"/>
    <row r="257" s="120" customFormat="1" x14ac:dyDescent="0.2"/>
    <row r="258" s="120" customFormat="1" x14ac:dyDescent="0.2"/>
    <row r="259" s="120" customFormat="1" x14ac:dyDescent="0.2"/>
    <row r="260" s="120" customFormat="1" x14ac:dyDescent="0.2"/>
    <row r="261" s="120" customFormat="1" x14ac:dyDescent="0.2"/>
    <row r="262" s="120" customFormat="1" x14ac:dyDescent="0.2"/>
    <row r="263" s="120" customFormat="1" x14ac:dyDescent="0.2"/>
    <row r="264" s="120" customFormat="1" x14ac:dyDescent="0.2"/>
    <row r="265" s="120" customFormat="1" x14ac:dyDescent="0.2"/>
    <row r="266" s="120" customFormat="1" x14ac:dyDescent="0.2"/>
    <row r="267" s="120" customFormat="1" x14ac:dyDescent="0.2"/>
    <row r="268" s="120" customFormat="1" x14ac:dyDescent="0.2"/>
    <row r="269" s="120" customFormat="1" x14ac:dyDescent="0.2"/>
    <row r="270" s="120" customFormat="1" x14ac:dyDescent="0.2"/>
    <row r="271" s="120" customFormat="1" x14ac:dyDescent="0.2"/>
    <row r="272" s="120" customFormat="1" x14ac:dyDescent="0.2"/>
    <row r="273" s="120" customFormat="1" x14ac:dyDescent="0.2"/>
    <row r="274" s="120" customFormat="1" x14ac:dyDescent="0.2"/>
    <row r="275" s="120" customFormat="1" x14ac:dyDescent="0.2"/>
    <row r="276" s="120" customFormat="1" x14ac:dyDescent="0.2"/>
    <row r="277" s="120" customFormat="1" x14ac:dyDescent="0.2"/>
    <row r="278" s="120" customFormat="1" x14ac:dyDescent="0.2"/>
    <row r="279" s="120" customFormat="1" x14ac:dyDescent="0.2"/>
    <row r="280" s="120" customFormat="1" x14ac:dyDescent="0.2"/>
    <row r="281" s="120" customFormat="1" x14ac:dyDescent="0.2"/>
    <row r="282" s="120" customFormat="1" x14ac:dyDescent="0.2"/>
    <row r="283" s="120" customFormat="1" x14ac:dyDescent="0.2"/>
    <row r="284" s="120" customFormat="1" x14ac:dyDescent="0.2"/>
    <row r="285" s="120" customFormat="1" x14ac:dyDescent="0.2"/>
    <row r="286" s="120" customFormat="1" x14ac:dyDescent="0.2"/>
    <row r="287" s="120" customFormat="1" x14ac:dyDescent="0.2"/>
    <row r="288" s="120" customFormat="1" x14ac:dyDescent="0.2"/>
    <row r="289" s="120" customFormat="1" x14ac:dyDescent="0.2"/>
    <row r="290" s="120" customFormat="1" x14ac:dyDescent="0.2"/>
    <row r="291" s="120" customFormat="1" x14ac:dyDescent="0.2"/>
    <row r="292" s="120" customFormat="1" x14ac:dyDescent="0.2"/>
    <row r="293" s="120" customFormat="1" x14ac:dyDescent="0.2"/>
    <row r="294" s="120" customFormat="1" x14ac:dyDescent="0.2"/>
    <row r="295" s="120" customFormat="1" x14ac:dyDescent="0.2"/>
    <row r="296" s="120" customFormat="1" x14ac:dyDescent="0.2"/>
    <row r="297" s="120" customFormat="1" x14ac:dyDescent="0.2"/>
    <row r="298" s="120" customFormat="1" x14ac:dyDescent="0.2"/>
    <row r="299" s="120" customFormat="1" x14ac:dyDescent="0.2"/>
    <row r="300" s="120" customFormat="1" x14ac:dyDescent="0.2"/>
    <row r="301" s="120" customFormat="1" x14ac:dyDescent="0.2"/>
    <row r="302" s="120" customFormat="1" x14ac:dyDescent="0.2"/>
    <row r="303" s="120" customFormat="1" x14ac:dyDescent="0.2"/>
    <row r="304" s="120" customFormat="1" x14ac:dyDescent="0.2"/>
    <row r="305" s="120" customFormat="1" x14ac:dyDescent="0.2"/>
    <row r="306" s="120" customFormat="1" x14ac:dyDescent="0.2"/>
    <row r="307" s="120" customFormat="1" x14ac:dyDescent="0.2"/>
  </sheetData>
  <mergeCells count="142">
    <mergeCell ref="A9:J9"/>
    <mergeCell ref="A13:C13"/>
    <mergeCell ref="D13:F13"/>
    <mergeCell ref="G13:I13"/>
    <mergeCell ref="A18:J18"/>
    <mergeCell ref="A19:J19"/>
    <mergeCell ref="EU22:FD22"/>
    <mergeCell ref="FE22:FN22"/>
    <mergeCell ref="AY22:BH22"/>
    <mergeCell ref="BI22:BR22"/>
    <mergeCell ref="BS22:CB22"/>
    <mergeCell ref="CC22:CL22"/>
    <mergeCell ref="CM22:CV22"/>
    <mergeCell ref="CW22:DF22"/>
    <mergeCell ref="A20:J20"/>
    <mergeCell ref="A22:J22"/>
    <mergeCell ref="K22:T22"/>
    <mergeCell ref="U22:AD22"/>
    <mergeCell ref="AE22:AN22"/>
    <mergeCell ref="AO22:AX22"/>
    <mergeCell ref="A23:J23"/>
    <mergeCell ref="K23:T23"/>
    <mergeCell ref="U23:AD23"/>
    <mergeCell ref="AE23:AN23"/>
    <mergeCell ref="AO23:AX23"/>
    <mergeCell ref="AY23:BH23"/>
    <mergeCell ref="BI23:BR23"/>
    <mergeCell ref="FO22:FX22"/>
    <mergeCell ref="FY22:GH22"/>
    <mergeCell ref="DG22:DP22"/>
    <mergeCell ref="DQ22:DZ22"/>
    <mergeCell ref="EA22:EJ22"/>
    <mergeCell ref="EK22:ET22"/>
    <mergeCell ref="BS23:CB23"/>
    <mergeCell ref="CC23:CL23"/>
    <mergeCell ref="CM23:CV23"/>
    <mergeCell ref="CW23:DF23"/>
    <mergeCell ref="DG23:DP23"/>
    <mergeCell ref="DQ23:DZ23"/>
    <mergeCell ref="HW22:IF22"/>
    <mergeCell ref="IG22:IP22"/>
    <mergeCell ref="IQ22:IV22"/>
    <mergeCell ref="GI22:GR22"/>
    <mergeCell ref="GS22:HB22"/>
    <mergeCell ref="HC22:HL22"/>
    <mergeCell ref="HM22:HV22"/>
    <mergeCell ref="CM25:CV25"/>
    <mergeCell ref="CW25:DF25"/>
    <mergeCell ref="IQ23:IV23"/>
    <mergeCell ref="GI23:GR23"/>
    <mergeCell ref="GS23:HB23"/>
    <mergeCell ref="HC23:HL23"/>
    <mergeCell ref="HM23:HV23"/>
    <mergeCell ref="HW23:IF23"/>
    <mergeCell ref="IG23:IP23"/>
    <mergeCell ref="EA23:EJ23"/>
    <mergeCell ref="EK23:ET23"/>
    <mergeCell ref="EU23:FD23"/>
    <mergeCell ref="FE23:FN23"/>
    <mergeCell ref="FO23:FX23"/>
    <mergeCell ref="FY23:GH23"/>
    <mergeCell ref="EU24:FD24"/>
    <mergeCell ref="FE24:FN24"/>
    <mergeCell ref="A24:J24"/>
    <mergeCell ref="K24:T24"/>
    <mergeCell ref="U24:AD24"/>
    <mergeCell ref="AE24:AN24"/>
    <mergeCell ref="AO24:AX24"/>
    <mergeCell ref="AY24:BH24"/>
    <mergeCell ref="BI24:BR24"/>
    <mergeCell ref="BS24:CB24"/>
    <mergeCell ref="CC24:CL24"/>
    <mergeCell ref="FO24:FX24"/>
    <mergeCell ref="FY24:GH24"/>
    <mergeCell ref="CM24:CV24"/>
    <mergeCell ref="CW24:DF24"/>
    <mergeCell ref="DG24:DP24"/>
    <mergeCell ref="DQ24:DZ24"/>
    <mergeCell ref="EA24:EJ24"/>
    <mergeCell ref="EK24:ET24"/>
    <mergeCell ref="HC24:HL24"/>
    <mergeCell ref="HM24:HV24"/>
    <mergeCell ref="HW24:IF24"/>
    <mergeCell ref="IG24:IP24"/>
    <mergeCell ref="IQ24:IV24"/>
    <mergeCell ref="GI24:GR24"/>
    <mergeCell ref="GS24:HB24"/>
    <mergeCell ref="HW25:IF25"/>
    <mergeCell ref="IG25:IP25"/>
    <mergeCell ref="IQ25:IV25"/>
    <mergeCell ref="GI25:GR25"/>
    <mergeCell ref="GS25:HB25"/>
    <mergeCell ref="HC25:HL25"/>
    <mergeCell ref="HM25:HV25"/>
    <mergeCell ref="A26:J26"/>
    <mergeCell ref="K26:T26"/>
    <mergeCell ref="U26:AD26"/>
    <mergeCell ref="AE26:AN26"/>
    <mergeCell ref="AO26:AX26"/>
    <mergeCell ref="AY26:BH26"/>
    <mergeCell ref="BI26:BR26"/>
    <mergeCell ref="FO25:FX25"/>
    <mergeCell ref="FY25:GH25"/>
    <mergeCell ref="DG25:DP25"/>
    <mergeCell ref="DQ25:DZ25"/>
    <mergeCell ref="EA25:EJ25"/>
    <mergeCell ref="EK25:ET25"/>
    <mergeCell ref="EU25:FD25"/>
    <mergeCell ref="FE25:FN25"/>
    <mergeCell ref="AY25:BH25"/>
    <mergeCell ref="BI25:BR25"/>
    <mergeCell ref="A25:J25"/>
    <mergeCell ref="K25:T25"/>
    <mergeCell ref="U25:AD25"/>
    <mergeCell ref="AE25:AN25"/>
    <mergeCell ref="AO25:AX25"/>
    <mergeCell ref="BS25:CB25"/>
    <mergeCell ref="CC25:CL25"/>
    <mergeCell ref="A29:B29"/>
    <mergeCell ref="C29:D29"/>
    <mergeCell ref="IQ26:IV26"/>
    <mergeCell ref="F29:J29"/>
    <mergeCell ref="A30:D30"/>
    <mergeCell ref="F30:J30"/>
    <mergeCell ref="GI26:GR26"/>
    <mergeCell ref="GS26:HB26"/>
    <mergeCell ref="HC26:HL26"/>
    <mergeCell ref="HM26:HV26"/>
    <mergeCell ref="HW26:IF26"/>
    <mergeCell ref="IG26:IP26"/>
    <mergeCell ref="EA26:EJ26"/>
    <mergeCell ref="EK26:ET26"/>
    <mergeCell ref="EU26:FD26"/>
    <mergeCell ref="FE26:FN26"/>
    <mergeCell ref="FO26:FX26"/>
    <mergeCell ref="FY26:GH26"/>
    <mergeCell ref="BS26:CB26"/>
    <mergeCell ref="CC26:CL26"/>
    <mergeCell ref="CM26:CV26"/>
    <mergeCell ref="CW26:DF26"/>
    <mergeCell ref="DG26:DP26"/>
    <mergeCell ref="DQ26:DZ26"/>
  </mergeCells>
  <pageMargins left="0.7" right="0.7" top="0.75" bottom="0.75" header="0.3" footer="0.3"/>
  <pageSetup paperSize="9" scale="97" orientation="portrait" r:id="rId1"/>
  <colBreaks count="1" manualBreakCount="1">
    <brk id="18" max="29"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U44"/>
  <sheetViews>
    <sheetView showGridLines="0" zoomScaleNormal="100" zoomScaleSheetLayoutView="80" workbookViewId="0"/>
  </sheetViews>
  <sheetFormatPr defaultColWidth="9.140625" defaultRowHeight="12.75" x14ac:dyDescent="0.2"/>
  <cols>
    <col min="1" max="1" width="9.140625" style="2"/>
    <col min="2" max="14" width="3.28515625" style="2" customWidth="1"/>
    <col min="15" max="17" width="9.140625" style="2"/>
    <col min="18" max="18" width="20.28515625" style="2" customWidth="1"/>
    <col min="19" max="19" width="12.7109375" style="2" customWidth="1"/>
    <col min="20" max="20" width="9.140625" style="2"/>
    <col min="21" max="22" width="0" style="2" hidden="1" customWidth="1"/>
    <col min="23" max="16384" width="9.140625" style="2"/>
  </cols>
  <sheetData>
    <row r="1" spans="1:21" x14ac:dyDescent="0.2">
      <c r="U1" s="5" t="s">
        <v>107</v>
      </c>
    </row>
    <row r="2" spans="1:21" x14ac:dyDescent="0.2">
      <c r="U2" s="5" t="s">
        <v>108</v>
      </c>
    </row>
    <row r="3" spans="1:21" x14ac:dyDescent="0.2">
      <c r="U3" s="5" t="s">
        <v>109</v>
      </c>
    </row>
    <row r="4" spans="1:21" x14ac:dyDescent="0.2">
      <c r="U4" s="5" t="s">
        <v>110</v>
      </c>
    </row>
    <row r="5" spans="1:21" ht="13.5" thickBot="1" x14ac:dyDescent="0.25">
      <c r="U5" s="5" t="s">
        <v>111</v>
      </c>
    </row>
    <row r="6" spans="1:21" x14ac:dyDescent="0.2">
      <c r="A6" s="7"/>
      <c r="B6" s="7"/>
      <c r="C6" s="7"/>
      <c r="D6" s="7"/>
      <c r="E6" s="7"/>
      <c r="F6" s="7"/>
      <c r="G6" s="7"/>
      <c r="H6" s="7"/>
      <c r="I6" s="7"/>
      <c r="J6" s="7"/>
      <c r="K6" s="7"/>
      <c r="L6" s="7"/>
      <c r="M6" s="7"/>
      <c r="N6" s="7"/>
      <c r="O6" s="7"/>
      <c r="P6" s="7"/>
      <c r="Q6" s="7"/>
      <c r="R6" s="7"/>
      <c r="U6" s="5" t="s">
        <v>112</v>
      </c>
    </row>
    <row r="7" spans="1:21" x14ac:dyDescent="0.2">
      <c r="U7" s="6" t="s">
        <v>113</v>
      </c>
    </row>
    <row r="8" spans="1:21" x14ac:dyDescent="0.2">
      <c r="U8" s="5" t="s">
        <v>114</v>
      </c>
    </row>
    <row r="9" spans="1:21" x14ac:dyDescent="0.2">
      <c r="U9" s="5" t="s">
        <v>115</v>
      </c>
    </row>
    <row r="10" spans="1:21" x14ac:dyDescent="0.2">
      <c r="A10" s="2" t="s">
        <v>81</v>
      </c>
      <c r="G10" s="465" t="str">
        <f>IF('Dane personalne'!D11="","",'Dane personalne'!D11)</f>
        <v/>
      </c>
      <c r="H10" s="465"/>
      <c r="I10" s="465"/>
      <c r="J10" s="465"/>
      <c r="K10" s="465"/>
      <c r="L10" s="465"/>
      <c r="M10" s="465"/>
      <c r="N10" s="465" t="str">
        <f>IF('Dane personalne'!D12="","",'Dane personalne'!D12)</f>
        <v/>
      </c>
      <c r="O10" s="465"/>
      <c r="P10" s="465"/>
      <c r="Q10" s="465"/>
      <c r="R10" s="465"/>
      <c r="U10" s="5" t="s">
        <v>123</v>
      </c>
    </row>
    <row r="11" spans="1:21" x14ac:dyDescent="0.2">
      <c r="G11" s="21"/>
      <c r="H11" s="21"/>
      <c r="I11" s="21"/>
      <c r="J11" s="21"/>
      <c r="K11" s="21"/>
      <c r="L11" s="21"/>
      <c r="M11" s="21"/>
      <c r="N11" s="21"/>
      <c r="O11" s="21"/>
      <c r="P11" s="21"/>
      <c r="Q11" s="21"/>
      <c r="R11" s="21"/>
      <c r="U11" s="5" t="s">
        <v>116</v>
      </c>
    </row>
    <row r="12" spans="1:21" x14ac:dyDescent="0.2">
      <c r="U12" s="5" t="s">
        <v>117</v>
      </c>
    </row>
    <row r="13" spans="1:21" x14ac:dyDescent="0.2">
      <c r="A13" s="2" t="s">
        <v>77</v>
      </c>
      <c r="B13" s="577" t="str">
        <f>IF('Dane personalne'!D17="","",'Dane personalne'!D17)</f>
        <v/>
      </c>
      <c r="C13" s="577"/>
      <c r="D13" s="577"/>
      <c r="E13" s="577"/>
      <c r="F13" s="577"/>
      <c r="G13" s="577"/>
      <c r="H13" s="577"/>
      <c r="I13" s="577"/>
      <c r="J13" s="577"/>
      <c r="K13" s="577"/>
      <c r="L13" s="577"/>
      <c r="U13" s="5" t="s">
        <v>118</v>
      </c>
    </row>
    <row r="14" spans="1:21" x14ac:dyDescent="0.2">
      <c r="U14" s="5" t="s">
        <v>119</v>
      </c>
    </row>
    <row r="15" spans="1:21" x14ac:dyDescent="0.2">
      <c r="A15" s="2" t="s">
        <v>82</v>
      </c>
      <c r="B15" s="577" t="str">
        <f>'1.Kwestionariusz'!O18</f>
        <v/>
      </c>
      <c r="C15" s="578"/>
      <c r="D15" s="578"/>
      <c r="E15" s="578"/>
      <c r="F15" s="578"/>
      <c r="G15" s="578"/>
      <c r="H15" s="578"/>
      <c r="I15" s="578"/>
      <c r="J15" s="578"/>
      <c r="K15" s="578"/>
      <c r="L15" s="578"/>
      <c r="M15" s="578"/>
      <c r="N15" s="578"/>
      <c r="U15" s="5" t="s">
        <v>120</v>
      </c>
    </row>
    <row r="16" spans="1:21" x14ac:dyDescent="0.2">
      <c r="U16" s="5" t="s">
        <v>121</v>
      </c>
    </row>
    <row r="17" spans="1:21" x14ac:dyDescent="0.2">
      <c r="A17" s="2" t="s">
        <v>180</v>
      </c>
      <c r="K17" s="591" t="str">
        <f>IF('Dane personalne'!D75="","",'Dane personalne'!D75)</f>
        <v/>
      </c>
      <c r="L17" s="591"/>
      <c r="M17" s="591"/>
      <c r="N17" s="591"/>
      <c r="O17" s="591"/>
      <c r="P17" s="591"/>
      <c r="Q17" s="591"/>
      <c r="U17" s="5" t="s">
        <v>122</v>
      </c>
    </row>
    <row r="18" spans="1:21" ht="12.75" hidden="1" customHeight="1" x14ac:dyDescent="0.2"/>
    <row r="19" spans="1:21" ht="28.5" customHeight="1" x14ac:dyDescent="0.2">
      <c r="A19" s="587" t="s">
        <v>83</v>
      </c>
      <c r="B19" s="587"/>
      <c r="C19" s="587"/>
      <c r="D19" s="587"/>
      <c r="E19" s="587"/>
      <c r="F19" s="587"/>
      <c r="G19" s="587"/>
      <c r="H19" s="587"/>
      <c r="I19" s="587"/>
      <c r="J19" s="587"/>
      <c r="K19" s="587"/>
      <c r="L19" s="587"/>
      <c r="M19" s="587"/>
      <c r="N19" s="587"/>
      <c r="O19" s="587"/>
      <c r="P19" s="587"/>
      <c r="Q19" s="587"/>
      <c r="R19" s="587"/>
      <c r="U19" s="5"/>
    </row>
    <row r="22" spans="1:21" ht="18.75" customHeight="1" x14ac:dyDescent="0.2">
      <c r="A22" s="569" t="s">
        <v>181</v>
      </c>
      <c r="B22" s="569"/>
      <c r="C22" s="569"/>
      <c r="D22" s="569"/>
      <c r="E22" s="569"/>
      <c r="F22" s="569"/>
      <c r="G22" s="569"/>
      <c r="H22" s="569"/>
      <c r="I22" s="569"/>
      <c r="J22" s="569"/>
      <c r="K22" s="569"/>
      <c r="L22" s="569"/>
      <c r="M22" s="569"/>
      <c r="N22" s="569"/>
      <c r="O22" s="569"/>
      <c r="P22" s="569"/>
      <c r="Q22" s="569"/>
      <c r="R22" s="569"/>
    </row>
    <row r="23" spans="1:21" ht="18.75" customHeight="1" x14ac:dyDescent="0.2">
      <c r="A23" s="569" t="str">
        <f>"(Dz. U. nr 110 poz. 1256) oświadczam, że w "&amp;const!$B$2&amp;" roku moje przychody, od których naliczono i odprowadzono"</f>
        <v>(Dz. U. nr 110 poz. 1256) oświadczam, że w 2016 roku moje przychody, od których naliczono i odprowadzono</v>
      </c>
      <c r="B23" s="590"/>
      <c r="C23" s="590"/>
      <c r="D23" s="590"/>
      <c r="E23" s="590"/>
      <c r="F23" s="590"/>
      <c r="G23" s="590"/>
      <c r="H23" s="590"/>
      <c r="I23" s="590"/>
      <c r="J23" s="590"/>
      <c r="K23" s="590"/>
      <c r="L23" s="590"/>
      <c r="M23" s="590"/>
      <c r="N23" s="590"/>
      <c r="O23" s="590"/>
      <c r="P23" s="590"/>
      <c r="Q23" s="590"/>
      <c r="R23" s="590"/>
    </row>
    <row r="24" spans="1:21" ht="18.75" customHeight="1" x14ac:dyDescent="0.2">
      <c r="A24" s="569" t="str">
        <f>"składki na ubezpieczenia emerytalne i rentowe przekroczyły kwotę / nie przekroczyły kwoty "&amp;const!$B$5</f>
        <v>składki na ubezpieczenia emerytalne i rentowe przekroczyły kwotę / nie przekroczyły kwoty 121 650,00 zł</v>
      </c>
      <c r="B24" s="569"/>
      <c r="C24" s="569"/>
      <c r="D24" s="569"/>
      <c r="E24" s="569"/>
      <c r="F24" s="569"/>
      <c r="G24" s="569"/>
      <c r="H24" s="569"/>
      <c r="I24" s="569"/>
      <c r="J24" s="569"/>
      <c r="K24" s="569"/>
      <c r="L24" s="569"/>
      <c r="M24" s="569"/>
      <c r="N24" s="569"/>
      <c r="O24" s="569"/>
      <c r="P24" s="569"/>
      <c r="Q24" s="569"/>
      <c r="R24" s="569"/>
    </row>
    <row r="26" spans="1:21" ht="19.5" customHeight="1" x14ac:dyDescent="0.2">
      <c r="A26" s="458" t="str">
        <f>"Od 1 stycznia "&amp;const!$B$2&amp;" roku do dnia"</f>
        <v>Od 1 stycznia 2016 roku do dnia</v>
      </c>
      <c r="B26" s="458"/>
      <c r="C26" s="458"/>
      <c r="D26" s="458"/>
      <c r="E26" s="458"/>
      <c r="F26" s="458"/>
      <c r="G26" s="458"/>
      <c r="H26" s="565"/>
      <c r="I26" s="565"/>
      <c r="J26" s="565"/>
      <c r="K26" s="565"/>
      <c r="L26" s="569" t="s">
        <v>85</v>
      </c>
      <c r="M26" s="569"/>
      <c r="N26" s="569"/>
      <c r="O26" s="569"/>
      <c r="P26" s="569"/>
      <c r="Q26" s="569"/>
      <c r="R26" s="569"/>
    </row>
    <row r="27" spans="1:21" ht="19.5" customHeight="1" x14ac:dyDescent="0.2">
      <c r="A27" s="569" t="s">
        <v>86</v>
      </c>
      <c r="B27" s="569"/>
      <c r="C27" s="569"/>
      <c r="D27" s="569"/>
      <c r="E27" s="569"/>
      <c r="F27" s="569"/>
      <c r="G27" s="569"/>
      <c r="H27" s="569"/>
      <c r="I27" s="569"/>
      <c r="J27" s="569"/>
      <c r="K27" s="569"/>
      <c r="L27" s="569"/>
      <c r="M27" s="569"/>
      <c r="N27" s="592"/>
      <c r="O27" s="592"/>
      <c r="P27" s="592"/>
      <c r="Q27" s="2" t="s">
        <v>87</v>
      </c>
    </row>
    <row r="29" spans="1:21" ht="19.5" customHeight="1" x14ac:dyDescent="0.2">
      <c r="A29" s="569" t="s">
        <v>182</v>
      </c>
      <c r="B29" s="569"/>
      <c r="C29" s="569"/>
      <c r="D29" s="569"/>
      <c r="E29" s="569"/>
      <c r="F29" s="569"/>
      <c r="G29" s="569"/>
      <c r="H29" s="569"/>
      <c r="I29" s="569"/>
      <c r="J29" s="569"/>
      <c r="K29" s="569"/>
      <c r="L29" s="569"/>
      <c r="M29" s="569"/>
      <c r="N29" s="569"/>
      <c r="O29" s="569"/>
      <c r="P29" s="569"/>
      <c r="Q29" s="569"/>
      <c r="R29" s="569"/>
    </row>
    <row r="30" spans="1:21" ht="19.5" customHeight="1" x14ac:dyDescent="0.2">
      <c r="A30" s="569"/>
      <c r="B30" s="569"/>
      <c r="C30" s="569"/>
      <c r="D30" s="569"/>
      <c r="E30" s="569"/>
      <c r="F30" s="569"/>
      <c r="G30" s="569"/>
      <c r="H30" s="569"/>
      <c r="I30" s="569"/>
      <c r="J30" s="569"/>
      <c r="K30" s="569"/>
      <c r="L30" s="569"/>
      <c r="M30" s="569"/>
      <c r="N30" s="569"/>
      <c r="O30" s="569"/>
      <c r="P30" s="569"/>
      <c r="Q30" s="569"/>
      <c r="R30" s="569"/>
    </row>
    <row r="32" spans="1:21" ht="19.5" customHeight="1" x14ac:dyDescent="0.2">
      <c r="A32" s="569"/>
      <c r="B32" s="569"/>
      <c r="C32" s="569"/>
      <c r="D32" s="569"/>
      <c r="E32" s="569"/>
      <c r="F32" s="569"/>
      <c r="G32" s="569"/>
      <c r="H32" s="569"/>
      <c r="I32" s="569"/>
      <c r="J32" s="569"/>
      <c r="K32" s="569"/>
      <c r="L32" s="569"/>
      <c r="M32" s="569"/>
      <c r="N32" s="569"/>
      <c r="O32" s="569"/>
      <c r="P32" s="569"/>
      <c r="Q32" s="569"/>
      <c r="R32" s="569"/>
    </row>
    <row r="39" spans="1:18" x14ac:dyDescent="0.2">
      <c r="A39" s="466" t="str">
        <f>'Dane personalne'!$D$94&amp;""</f>
        <v/>
      </c>
      <c r="B39" s="466"/>
      <c r="C39" s="466"/>
      <c r="D39" s="466"/>
      <c r="E39" s="466"/>
      <c r="F39" s="466"/>
      <c r="G39" s="466" t="str">
        <f>'Dane personalne'!$F$94</f>
        <v/>
      </c>
      <c r="H39" s="466"/>
      <c r="I39" s="466"/>
      <c r="J39" s="466"/>
      <c r="K39" s="466"/>
      <c r="N39" s="469"/>
      <c r="O39" s="469"/>
      <c r="P39" s="469"/>
      <c r="Q39" s="469"/>
      <c r="R39" s="469"/>
    </row>
    <row r="40" spans="1:18" x14ac:dyDescent="0.2">
      <c r="A40" s="458" t="s">
        <v>41</v>
      </c>
      <c r="B40" s="458"/>
      <c r="C40" s="458"/>
      <c r="D40" s="458"/>
      <c r="E40" s="458"/>
      <c r="F40" s="458"/>
      <c r="G40" s="458"/>
      <c r="H40" s="458"/>
      <c r="N40" s="458" t="s">
        <v>43</v>
      </c>
      <c r="O40" s="458"/>
      <c r="P40" s="458"/>
      <c r="Q40" s="458"/>
      <c r="R40" s="458"/>
    </row>
    <row r="44" spans="1:18" x14ac:dyDescent="0.2">
      <c r="A44" s="2" t="s">
        <v>84</v>
      </c>
    </row>
  </sheetData>
  <mergeCells count="22">
    <mergeCell ref="A32:R32"/>
    <mergeCell ref="A40:H40"/>
    <mergeCell ref="N40:R40"/>
    <mergeCell ref="N39:R39"/>
    <mergeCell ref="A39:F39"/>
    <mergeCell ref="G39:K39"/>
    <mergeCell ref="A30:R30"/>
    <mergeCell ref="A23:R23"/>
    <mergeCell ref="L26:R26"/>
    <mergeCell ref="G10:M10"/>
    <mergeCell ref="N10:R10"/>
    <mergeCell ref="A29:R29"/>
    <mergeCell ref="K17:Q17"/>
    <mergeCell ref="B13:L13"/>
    <mergeCell ref="A27:M27"/>
    <mergeCell ref="A22:R22"/>
    <mergeCell ref="N27:P27"/>
    <mergeCell ref="A19:R19"/>
    <mergeCell ref="H26:K26"/>
    <mergeCell ref="B15:N15"/>
    <mergeCell ref="A26:G26"/>
    <mergeCell ref="A24:R24"/>
  </mergeCells>
  <phoneticPr fontId="2" type="noConversion"/>
  <hyperlinks>
    <hyperlink ref="U7" r:id="rId1" display="http://www.malopolska.kasa-chorych.gov.pl/"/>
  </hyperlinks>
  <pageMargins left="0.75" right="0.75" top="1" bottom="1" header="0.5" footer="0.5"/>
  <pageSetup scale="82" orientation="portrait"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X448"/>
  <sheetViews>
    <sheetView view="pageBreakPreview" zoomScale="80" zoomScaleNormal="100" zoomScaleSheetLayoutView="80" workbookViewId="0"/>
  </sheetViews>
  <sheetFormatPr defaultColWidth="9.140625" defaultRowHeight="12.75" x14ac:dyDescent="0.2"/>
  <cols>
    <col min="1" max="1" width="10.7109375" style="114" customWidth="1"/>
    <col min="2" max="14" width="3.28515625" style="114" customWidth="1"/>
    <col min="15" max="17" width="9.140625" style="114"/>
    <col min="18" max="18" width="20" style="114" customWidth="1"/>
    <col min="19" max="20" width="9.140625" style="114"/>
    <col min="21" max="22" width="0" style="114" hidden="1" customWidth="1"/>
    <col min="23" max="25" width="9.140625" style="114"/>
    <col min="26" max="76" width="9.140625" style="120"/>
    <col min="77" max="16384" width="9.140625" style="114"/>
  </cols>
  <sheetData>
    <row r="1" spans="1:25" x14ac:dyDescent="0.2">
      <c r="A1" s="120"/>
      <c r="B1" s="120"/>
      <c r="C1" s="120"/>
      <c r="D1" s="120"/>
      <c r="E1" s="120"/>
      <c r="F1" s="120"/>
      <c r="G1" s="120"/>
      <c r="H1" s="120"/>
      <c r="I1" s="120"/>
      <c r="J1" s="120"/>
      <c r="K1" s="120"/>
      <c r="L1" s="120"/>
      <c r="M1" s="120"/>
      <c r="N1" s="120"/>
      <c r="O1" s="120"/>
      <c r="P1" s="120"/>
      <c r="Q1" s="120"/>
      <c r="R1" s="120"/>
      <c r="S1" s="120"/>
      <c r="T1" s="120"/>
      <c r="U1" s="141" t="s">
        <v>107</v>
      </c>
      <c r="V1" s="120"/>
      <c r="W1" s="120"/>
      <c r="X1" s="120"/>
      <c r="Y1" s="120"/>
    </row>
    <row r="2" spans="1:25" x14ac:dyDescent="0.2">
      <c r="A2" s="120"/>
      <c r="B2" s="120"/>
      <c r="C2" s="120"/>
      <c r="D2" s="120"/>
      <c r="E2" s="120"/>
      <c r="F2" s="120"/>
      <c r="G2" s="120"/>
      <c r="H2" s="120"/>
      <c r="I2" s="120"/>
      <c r="J2" s="120"/>
      <c r="K2" s="120"/>
      <c r="L2" s="120"/>
      <c r="M2" s="120"/>
      <c r="N2" s="120"/>
      <c r="O2" s="120"/>
      <c r="P2" s="120"/>
      <c r="Q2" s="120"/>
      <c r="R2" s="120"/>
      <c r="S2" s="120"/>
      <c r="T2" s="120"/>
      <c r="U2" s="141" t="s">
        <v>108</v>
      </c>
      <c r="V2" s="120"/>
      <c r="W2" s="120"/>
      <c r="X2" s="120"/>
      <c r="Y2" s="120"/>
    </row>
    <row r="3" spans="1:25" x14ac:dyDescent="0.2">
      <c r="A3" s="120"/>
      <c r="B3" s="120"/>
      <c r="C3" s="120"/>
      <c r="D3" s="120"/>
      <c r="E3" s="120"/>
      <c r="F3" s="120"/>
      <c r="G3" s="120"/>
      <c r="H3" s="120"/>
      <c r="I3" s="120"/>
      <c r="J3" s="120"/>
      <c r="K3" s="120"/>
      <c r="L3" s="120"/>
      <c r="M3" s="120"/>
      <c r="N3" s="120"/>
      <c r="O3" s="120"/>
      <c r="P3" s="120"/>
      <c r="Q3" s="120"/>
      <c r="R3" s="120"/>
      <c r="S3" s="120"/>
      <c r="T3" s="120"/>
      <c r="U3" s="141" t="s">
        <v>109</v>
      </c>
      <c r="V3" s="120"/>
      <c r="W3" s="120"/>
      <c r="X3" s="120"/>
      <c r="Y3" s="120"/>
    </row>
    <row r="4" spans="1:25" x14ac:dyDescent="0.2">
      <c r="A4" s="120"/>
      <c r="B4" s="120"/>
      <c r="C4" s="120"/>
      <c r="D4" s="120"/>
      <c r="E4" s="120"/>
      <c r="F4" s="120"/>
      <c r="G4" s="120"/>
      <c r="H4" s="120"/>
      <c r="I4" s="120"/>
      <c r="J4" s="120"/>
      <c r="K4" s="120"/>
      <c r="L4" s="120"/>
      <c r="M4" s="120"/>
      <c r="N4" s="120"/>
      <c r="O4" s="120"/>
      <c r="P4" s="120"/>
      <c r="Q4" s="120"/>
      <c r="R4" s="120"/>
      <c r="S4" s="120"/>
      <c r="T4" s="120"/>
      <c r="U4" s="141"/>
      <c r="V4" s="120"/>
      <c r="W4" s="120"/>
      <c r="X4" s="120"/>
      <c r="Y4" s="120"/>
    </row>
    <row r="5" spans="1:25" ht="13.5" thickBot="1" x14ac:dyDescent="0.25">
      <c r="A5" s="120"/>
      <c r="B5" s="120"/>
      <c r="C5" s="120"/>
      <c r="D5" s="120"/>
      <c r="E5" s="120"/>
      <c r="F5" s="120"/>
      <c r="G5" s="120"/>
      <c r="H5" s="120"/>
      <c r="I5" s="120"/>
      <c r="J5" s="120"/>
      <c r="K5" s="120"/>
      <c r="L5" s="120"/>
      <c r="M5" s="120"/>
      <c r="N5" s="120"/>
      <c r="O5" s="120"/>
      <c r="P5" s="120"/>
      <c r="Q5" s="120"/>
      <c r="R5" s="120"/>
      <c r="S5" s="120"/>
      <c r="T5" s="120"/>
      <c r="U5" s="141"/>
      <c r="V5" s="120"/>
      <c r="W5" s="120"/>
      <c r="X5" s="120"/>
      <c r="Y5" s="120"/>
    </row>
    <row r="6" spans="1:25" x14ac:dyDescent="0.2">
      <c r="A6" s="125"/>
      <c r="B6" s="125"/>
      <c r="C6" s="125"/>
      <c r="D6" s="125"/>
      <c r="E6" s="125"/>
      <c r="F6" s="125"/>
      <c r="G6" s="125"/>
      <c r="H6" s="125"/>
      <c r="I6" s="125"/>
      <c r="J6" s="125"/>
      <c r="K6" s="125"/>
      <c r="L6" s="125"/>
      <c r="M6" s="125"/>
      <c r="N6" s="125"/>
      <c r="O6" s="125"/>
      <c r="P6" s="125"/>
      <c r="Q6" s="125"/>
      <c r="R6" s="125"/>
      <c r="S6" s="120"/>
      <c r="T6" s="120"/>
      <c r="U6" s="141"/>
      <c r="V6" s="120"/>
      <c r="W6" s="120"/>
      <c r="X6" s="120"/>
      <c r="Y6" s="120"/>
    </row>
    <row r="7" spans="1:25" x14ac:dyDescent="0.2">
      <c r="A7" s="120"/>
      <c r="B7" s="120"/>
      <c r="C7" s="120"/>
      <c r="D7" s="120"/>
      <c r="E7" s="120"/>
      <c r="F7" s="120"/>
      <c r="G7" s="120"/>
      <c r="H7" s="120"/>
      <c r="I7" s="120"/>
      <c r="J7" s="120"/>
      <c r="K7" s="120"/>
      <c r="L7" s="120"/>
      <c r="M7" s="120"/>
      <c r="N7" s="120"/>
      <c r="O7" s="120"/>
      <c r="P7" s="120"/>
      <c r="Q7" s="120"/>
      <c r="R7" s="120"/>
      <c r="S7" s="120"/>
      <c r="T7" s="120"/>
      <c r="U7" s="140"/>
      <c r="V7" s="120"/>
      <c r="W7" s="120"/>
      <c r="X7" s="120"/>
      <c r="Y7" s="120"/>
    </row>
    <row r="8" spans="1:25" x14ac:dyDescent="0.2">
      <c r="A8" s="120"/>
      <c r="B8" s="120"/>
      <c r="C8" s="120"/>
      <c r="D8" s="120"/>
      <c r="E8" s="120"/>
      <c r="F8" s="120"/>
      <c r="G8" s="120"/>
      <c r="H8" s="120"/>
      <c r="I8" s="120"/>
      <c r="J8" s="120"/>
      <c r="K8" s="120"/>
      <c r="L8" s="120"/>
      <c r="M8" s="120"/>
      <c r="N8" s="120"/>
      <c r="O8" s="120"/>
      <c r="P8" s="120"/>
      <c r="Q8" s="120"/>
      <c r="R8" s="120"/>
      <c r="S8" s="120"/>
      <c r="T8" s="120"/>
      <c r="U8" s="141"/>
      <c r="V8" s="120"/>
      <c r="W8" s="120"/>
      <c r="X8" s="120"/>
      <c r="Y8" s="120"/>
    </row>
    <row r="9" spans="1:25" x14ac:dyDescent="0.2">
      <c r="A9" s="120"/>
      <c r="B9" s="120"/>
      <c r="C9" s="120"/>
      <c r="D9" s="120"/>
      <c r="E9" s="120"/>
      <c r="F9" s="120"/>
      <c r="G9" s="120"/>
      <c r="H9" s="120"/>
      <c r="I9" s="120"/>
      <c r="J9" s="120"/>
      <c r="K9" s="120"/>
      <c r="L9" s="120"/>
      <c r="M9" s="120"/>
      <c r="N9" s="120"/>
      <c r="O9" s="120"/>
      <c r="P9" s="120"/>
      <c r="Q9" s="120"/>
      <c r="R9" s="120"/>
      <c r="S9" s="120"/>
      <c r="T9" s="120"/>
      <c r="U9" s="141"/>
      <c r="V9" s="120"/>
      <c r="W9" s="120"/>
      <c r="X9" s="120"/>
      <c r="Y9" s="120"/>
    </row>
    <row r="10" spans="1:25" x14ac:dyDescent="0.2">
      <c r="A10" s="120" t="s">
        <v>574</v>
      </c>
      <c r="B10" s="120"/>
      <c r="C10" s="120"/>
      <c r="D10" s="120"/>
      <c r="E10" s="120"/>
      <c r="F10" s="120"/>
      <c r="G10" s="405" t="str">
        <f>IF('Dane personalne'!D11="","",'Dane personalne'!D11)</f>
        <v/>
      </c>
      <c r="H10" s="405"/>
      <c r="I10" s="405"/>
      <c r="J10" s="405"/>
      <c r="K10" s="405"/>
      <c r="L10" s="405"/>
      <c r="M10" s="405"/>
      <c r="N10" s="405" t="str">
        <f>IF('Dane personalne'!D12="","",'Dane personalne'!D12)</f>
        <v/>
      </c>
      <c r="O10" s="405"/>
      <c r="P10" s="405"/>
      <c r="Q10" s="405"/>
      <c r="R10" s="405"/>
      <c r="S10" s="120"/>
      <c r="T10" s="120"/>
      <c r="U10" s="141"/>
      <c r="V10" s="120"/>
      <c r="W10" s="120"/>
      <c r="X10" s="120"/>
      <c r="Y10" s="120"/>
    </row>
    <row r="11" spans="1:25" x14ac:dyDescent="0.2">
      <c r="A11" s="120"/>
      <c r="B11" s="120"/>
      <c r="C11" s="120"/>
      <c r="D11" s="120"/>
      <c r="E11" s="120"/>
      <c r="F11" s="120"/>
      <c r="G11" s="133"/>
      <c r="H11" s="133"/>
      <c r="I11" s="133"/>
      <c r="J11" s="133"/>
      <c r="K11" s="133"/>
      <c r="L11" s="133"/>
      <c r="M11" s="133"/>
      <c r="N11" s="133"/>
      <c r="O11" s="133"/>
      <c r="P11" s="133"/>
      <c r="Q11" s="133"/>
      <c r="R11" s="133"/>
      <c r="S11" s="120"/>
      <c r="T11" s="120"/>
      <c r="U11" s="141"/>
      <c r="V11" s="120"/>
      <c r="W11" s="120"/>
      <c r="X11" s="120"/>
      <c r="Y11" s="120"/>
    </row>
    <row r="12" spans="1:25" x14ac:dyDescent="0.2">
      <c r="A12" s="120"/>
      <c r="B12" s="120"/>
      <c r="C12" s="120"/>
      <c r="D12" s="120"/>
      <c r="E12" s="120"/>
      <c r="F12" s="120"/>
      <c r="G12" s="120"/>
      <c r="H12" s="120"/>
      <c r="I12" s="120"/>
      <c r="J12" s="120"/>
      <c r="K12" s="120"/>
      <c r="L12" s="120"/>
      <c r="M12" s="120"/>
      <c r="N12" s="120"/>
      <c r="O12" s="120"/>
      <c r="P12" s="120"/>
      <c r="Q12" s="120"/>
      <c r="R12" s="120"/>
      <c r="S12" s="120"/>
      <c r="T12" s="120"/>
      <c r="U12" s="141" t="s">
        <v>117</v>
      </c>
      <c r="V12" s="120"/>
      <c r="W12" s="120"/>
      <c r="X12" s="120"/>
      <c r="Y12" s="120"/>
    </row>
    <row r="13" spans="1:25" x14ac:dyDescent="0.2">
      <c r="A13" s="120" t="s">
        <v>77</v>
      </c>
      <c r="B13" s="577" t="str">
        <f>IF('Dane personalne'!D17="","",'Dane personalne'!D17)</f>
        <v/>
      </c>
      <c r="C13" s="577"/>
      <c r="D13" s="577"/>
      <c r="E13" s="577"/>
      <c r="F13" s="577"/>
      <c r="G13" s="577"/>
      <c r="H13" s="577"/>
      <c r="I13" s="577"/>
      <c r="J13" s="577"/>
      <c r="K13" s="577"/>
      <c r="L13" s="577"/>
      <c r="M13" s="120"/>
      <c r="N13" s="120"/>
      <c r="O13" s="120"/>
      <c r="P13" s="120"/>
      <c r="Q13" s="120"/>
      <c r="R13" s="120"/>
      <c r="S13" s="120"/>
      <c r="T13" s="120"/>
      <c r="U13" s="141" t="s">
        <v>118</v>
      </c>
      <c r="V13" s="120"/>
      <c r="W13" s="120"/>
      <c r="X13" s="120"/>
      <c r="Y13" s="120"/>
    </row>
    <row r="14" spans="1:25" x14ac:dyDescent="0.2">
      <c r="A14" s="120"/>
      <c r="B14" s="120"/>
      <c r="C14" s="120"/>
      <c r="D14" s="120"/>
      <c r="E14" s="120"/>
      <c r="F14" s="120"/>
      <c r="G14" s="120"/>
      <c r="H14" s="120"/>
      <c r="I14" s="120"/>
      <c r="J14" s="120"/>
      <c r="K14" s="120"/>
      <c r="L14" s="120"/>
      <c r="M14" s="120"/>
      <c r="N14" s="120"/>
      <c r="O14" s="120"/>
      <c r="P14" s="120"/>
      <c r="Q14" s="120"/>
      <c r="R14" s="120"/>
      <c r="S14" s="120"/>
      <c r="T14" s="120"/>
      <c r="U14" s="141" t="s">
        <v>119</v>
      </c>
      <c r="V14" s="120"/>
      <c r="W14" s="120"/>
      <c r="X14" s="120"/>
      <c r="Y14" s="120"/>
    </row>
    <row r="15" spans="1:25" x14ac:dyDescent="0.2">
      <c r="A15" s="120" t="s">
        <v>82</v>
      </c>
      <c r="B15" s="577" t="str">
        <f>'1.Kwestionariusz'!O18</f>
        <v/>
      </c>
      <c r="C15" s="586"/>
      <c r="D15" s="586"/>
      <c r="E15" s="586"/>
      <c r="F15" s="586"/>
      <c r="G15" s="586"/>
      <c r="H15" s="586"/>
      <c r="I15" s="586"/>
      <c r="J15" s="586"/>
      <c r="K15" s="586"/>
      <c r="L15" s="586"/>
      <c r="M15" s="586"/>
      <c r="N15" s="586"/>
      <c r="O15" s="120"/>
      <c r="P15" s="120"/>
      <c r="Q15" s="120"/>
      <c r="R15" s="120"/>
      <c r="S15" s="120"/>
      <c r="T15" s="120"/>
      <c r="U15" s="141" t="s">
        <v>120</v>
      </c>
      <c r="V15" s="120"/>
      <c r="W15" s="120"/>
      <c r="X15" s="120"/>
      <c r="Y15" s="120"/>
    </row>
    <row r="16" spans="1:25" x14ac:dyDescent="0.2">
      <c r="A16" s="120"/>
      <c r="B16" s="120"/>
      <c r="C16" s="120"/>
      <c r="D16" s="120"/>
      <c r="E16" s="120"/>
      <c r="F16" s="120"/>
      <c r="G16" s="120"/>
      <c r="H16" s="120"/>
      <c r="I16" s="120"/>
      <c r="J16" s="120"/>
      <c r="K16" s="120"/>
      <c r="L16" s="120"/>
      <c r="M16" s="120"/>
      <c r="N16" s="120"/>
      <c r="O16" s="120"/>
      <c r="P16" s="120"/>
      <c r="Q16" s="120"/>
      <c r="R16" s="120"/>
      <c r="S16" s="120"/>
      <c r="T16" s="120"/>
      <c r="U16" s="141" t="s">
        <v>121</v>
      </c>
      <c r="V16" s="120"/>
      <c r="W16" s="120"/>
      <c r="X16" s="120"/>
      <c r="Y16" s="120"/>
    </row>
    <row r="17" spans="1:25" x14ac:dyDescent="0.2">
      <c r="A17" s="120" t="s">
        <v>423</v>
      </c>
      <c r="B17" s="120"/>
      <c r="C17" s="120"/>
      <c r="D17" s="120"/>
      <c r="E17" s="120"/>
      <c r="F17" s="120"/>
      <c r="G17" s="120"/>
      <c r="H17" s="120"/>
      <c r="I17" s="120"/>
      <c r="J17" s="120"/>
      <c r="K17" s="595" t="str">
        <f>IF('Dane personalne'!D75="","",'Dane personalne'!D75)</f>
        <v/>
      </c>
      <c r="L17" s="595"/>
      <c r="M17" s="595"/>
      <c r="N17" s="595"/>
      <c r="O17" s="595"/>
      <c r="P17" s="595"/>
      <c r="Q17" s="595"/>
      <c r="R17" s="120"/>
      <c r="S17" s="120"/>
      <c r="T17" s="120"/>
      <c r="U17" s="141" t="s">
        <v>122</v>
      </c>
      <c r="V17" s="120"/>
      <c r="W17" s="120"/>
      <c r="X17" s="120"/>
      <c r="Y17" s="120"/>
    </row>
    <row r="18" spans="1:25" ht="12.75" hidden="1" customHeight="1" x14ac:dyDescent="0.2">
      <c r="A18" s="120"/>
      <c r="B18" s="120"/>
      <c r="C18" s="120"/>
      <c r="D18" s="120"/>
      <c r="E18" s="120"/>
      <c r="F18" s="120"/>
      <c r="G18" s="120"/>
      <c r="H18" s="120"/>
      <c r="I18" s="120"/>
      <c r="J18" s="120"/>
      <c r="K18" s="120"/>
      <c r="L18" s="120"/>
      <c r="M18" s="120"/>
      <c r="N18" s="120"/>
      <c r="O18" s="120"/>
      <c r="P18" s="120"/>
      <c r="Q18" s="120"/>
      <c r="R18" s="120"/>
      <c r="S18" s="120"/>
      <c r="T18" s="120"/>
      <c r="U18" s="120"/>
      <c r="V18" s="120"/>
      <c r="W18" s="120"/>
      <c r="X18" s="120"/>
      <c r="Y18" s="120"/>
    </row>
    <row r="19" spans="1:25" ht="28.5" customHeight="1" x14ac:dyDescent="0.2">
      <c r="A19" s="589" t="s">
        <v>576</v>
      </c>
      <c r="B19" s="589"/>
      <c r="C19" s="589"/>
      <c r="D19" s="589"/>
      <c r="E19" s="589"/>
      <c r="F19" s="589"/>
      <c r="G19" s="589"/>
      <c r="H19" s="589"/>
      <c r="I19" s="589"/>
      <c r="J19" s="589"/>
      <c r="K19" s="589"/>
      <c r="L19" s="589"/>
      <c r="M19" s="589"/>
      <c r="N19" s="589"/>
      <c r="O19" s="589"/>
      <c r="P19" s="589"/>
      <c r="Q19" s="589"/>
      <c r="R19" s="589"/>
      <c r="S19" s="120"/>
      <c r="T19" s="120"/>
      <c r="U19" s="141"/>
      <c r="V19" s="120"/>
      <c r="W19" s="120"/>
      <c r="X19" s="120"/>
      <c r="Y19" s="120"/>
    </row>
    <row r="20" spans="1:25" x14ac:dyDescent="0.2">
      <c r="A20" s="120"/>
      <c r="B20" s="120"/>
      <c r="C20" s="120"/>
      <c r="D20" s="120"/>
      <c r="E20" s="120"/>
      <c r="F20" s="120"/>
      <c r="G20" s="120"/>
      <c r="H20" s="120"/>
      <c r="I20" s="120"/>
      <c r="J20" s="120"/>
      <c r="K20" s="120"/>
      <c r="L20" s="120"/>
      <c r="M20" s="120"/>
      <c r="N20" s="120"/>
      <c r="O20" s="120"/>
      <c r="P20" s="120"/>
      <c r="Q20" s="120"/>
      <c r="R20" s="120"/>
      <c r="S20" s="120"/>
      <c r="T20" s="120"/>
      <c r="U20" s="120"/>
      <c r="V20" s="120"/>
      <c r="W20" s="120"/>
      <c r="X20" s="120"/>
      <c r="Y20" s="120"/>
    </row>
    <row r="21" spans="1:25" x14ac:dyDescent="0.2">
      <c r="A21" s="120"/>
      <c r="B21" s="120"/>
      <c r="C21" s="120"/>
      <c r="D21" s="120"/>
      <c r="E21" s="120"/>
      <c r="F21" s="120"/>
      <c r="G21" s="120"/>
      <c r="H21" s="120"/>
      <c r="I21" s="120"/>
      <c r="J21" s="120"/>
      <c r="K21" s="120"/>
      <c r="L21" s="120"/>
      <c r="M21" s="120"/>
      <c r="N21" s="120"/>
      <c r="O21" s="120"/>
      <c r="P21" s="120"/>
      <c r="Q21" s="120"/>
      <c r="R21" s="120"/>
      <c r="S21" s="120"/>
      <c r="T21" s="120"/>
      <c r="U21" s="120"/>
      <c r="V21" s="120"/>
      <c r="W21" s="120"/>
      <c r="X21" s="120"/>
      <c r="Y21" s="120"/>
    </row>
    <row r="22" spans="1:25" ht="18.75" customHeight="1" x14ac:dyDescent="0.2">
      <c r="A22" s="571" t="s">
        <v>352</v>
      </c>
      <c r="B22" s="571"/>
      <c r="C22" s="571"/>
      <c r="D22" s="571"/>
      <c r="E22" s="571"/>
      <c r="F22" s="571"/>
      <c r="G22" s="571"/>
      <c r="H22" s="571"/>
      <c r="I22" s="571"/>
      <c r="J22" s="571"/>
      <c r="K22" s="571"/>
      <c r="L22" s="571"/>
      <c r="M22" s="571"/>
      <c r="N22" s="571"/>
      <c r="O22" s="571"/>
      <c r="P22" s="571"/>
      <c r="Q22" s="571"/>
      <c r="R22" s="571"/>
      <c r="S22" s="120"/>
      <c r="T22" s="120"/>
      <c r="U22" s="120"/>
      <c r="V22" s="120"/>
      <c r="W22" s="120"/>
      <c r="X22" s="120"/>
      <c r="Y22" s="120"/>
    </row>
    <row r="23" spans="1:25" ht="18.75" customHeight="1" x14ac:dyDescent="0.2">
      <c r="A23" s="571" t="str">
        <f>"(Journal of Laws No. 110, item. 1256)  I declare that in "&amp;const!$B$2&amp;" my income, on which pension and disability premiums"</f>
        <v>(Journal of Laws No. 110, item. 1256)  I declare that in 2016 my income, on which pension and disability premiums</v>
      </c>
      <c r="B23" s="594"/>
      <c r="C23" s="594"/>
      <c r="D23" s="594"/>
      <c r="E23" s="594"/>
      <c r="F23" s="594"/>
      <c r="G23" s="594"/>
      <c r="H23" s="594"/>
      <c r="I23" s="594"/>
      <c r="J23" s="594"/>
      <c r="K23" s="594"/>
      <c r="L23" s="594"/>
      <c r="M23" s="594"/>
      <c r="N23" s="594"/>
      <c r="O23" s="594"/>
      <c r="P23" s="594"/>
      <c r="Q23" s="594"/>
      <c r="R23" s="594"/>
      <c r="S23" s="120"/>
      <c r="T23" s="120"/>
      <c r="U23" s="120"/>
      <c r="V23" s="120"/>
      <c r="W23" s="120"/>
      <c r="X23" s="120"/>
      <c r="Y23" s="120"/>
    </row>
    <row r="24" spans="1:25" ht="18.75" customHeight="1" x14ac:dyDescent="0.2">
      <c r="A24" s="571" t="str">
        <f>"were calculated and paid, exceeded /did not exceed* the amount of PLN "&amp;const!$B$5</f>
        <v>were calculated and paid, exceeded /did not exceed* the amount of PLN 121 650,00 zł</v>
      </c>
      <c r="B24" s="571"/>
      <c r="C24" s="571"/>
      <c r="D24" s="571"/>
      <c r="E24" s="571"/>
      <c r="F24" s="571"/>
      <c r="G24" s="571"/>
      <c r="H24" s="571"/>
      <c r="I24" s="571"/>
      <c r="J24" s="571"/>
      <c r="K24" s="571"/>
      <c r="L24" s="571"/>
      <c r="M24" s="571"/>
      <c r="N24" s="571"/>
      <c r="O24" s="571"/>
      <c r="P24" s="571"/>
      <c r="Q24" s="571"/>
      <c r="R24" s="571"/>
      <c r="S24" s="120"/>
      <c r="T24" s="120"/>
      <c r="U24" s="120"/>
      <c r="V24" s="120"/>
      <c r="W24" s="120"/>
      <c r="X24" s="120"/>
      <c r="Y24" s="120"/>
    </row>
    <row r="25" spans="1:25" x14ac:dyDescent="0.2">
      <c r="A25" s="120"/>
      <c r="B25" s="120"/>
      <c r="C25" s="120"/>
      <c r="D25" s="120"/>
      <c r="E25" s="120"/>
      <c r="F25" s="120"/>
      <c r="G25" s="120"/>
      <c r="H25" s="120"/>
      <c r="I25" s="120"/>
      <c r="J25" s="120"/>
      <c r="K25" s="120"/>
      <c r="L25" s="120"/>
      <c r="M25" s="120"/>
      <c r="N25" s="120"/>
      <c r="O25" s="120"/>
      <c r="P25" s="120"/>
      <c r="Q25" s="120"/>
      <c r="R25" s="120"/>
      <c r="S25" s="120"/>
      <c r="T25" s="120"/>
      <c r="U25" s="120"/>
      <c r="V25" s="120"/>
      <c r="W25" s="120"/>
      <c r="X25" s="120"/>
      <c r="Y25" s="120"/>
    </row>
    <row r="26" spans="1:25" ht="19.5" customHeight="1" x14ac:dyDescent="0.2">
      <c r="A26" s="571" t="str">
        <f>"From  January 1, "&amp;const!$B$2&amp;" to"</f>
        <v>From  January 1, 2016 to</v>
      </c>
      <c r="B26" s="571"/>
      <c r="C26" s="571"/>
      <c r="D26" s="571"/>
      <c r="E26" s="571"/>
      <c r="F26" s="571"/>
      <c r="G26" s="571"/>
      <c r="H26" s="565"/>
      <c r="I26" s="565"/>
      <c r="J26" s="565"/>
      <c r="K26" s="565"/>
      <c r="L26" s="571" t="s">
        <v>424</v>
      </c>
      <c r="M26" s="571"/>
      <c r="N26" s="571"/>
      <c r="O26" s="571"/>
      <c r="P26" s="571"/>
      <c r="Q26" s="571"/>
      <c r="R26" s="571"/>
      <c r="S26" s="120"/>
      <c r="T26" s="120"/>
      <c r="U26" s="120"/>
      <c r="V26" s="120"/>
      <c r="W26" s="120"/>
      <c r="X26" s="120"/>
      <c r="Y26" s="120"/>
    </row>
    <row r="27" spans="1:25" ht="19.5" customHeight="1" x14ac:dyDescent="0.2">
      <c r="A27" s="571" t="s">
        <v>577</v>
      </c>
      <c r="B27" s="571"/>
      <c r="C27" s="571"/>
      <c r="D27" s="571"/>
      <c r="E27" s="571"/>
      <c r="F27" s="571"/>
      <c r="G27" s="571"/>
      <c r="H27" s="571"/>
      <c r="I27" s="571"/>
      <c r="J27" s="571"/>
      <c r="K27" s="571"/>
      <c r="L27" s="571"/>
      <c r="M27" s="571"/>
      <c r="N27" s="593"/>
      <c r="O27" s="593"/>
      <c r="P27" s="593"/>
      <c r="Q27" s="120"/>
      <c r="R27" s="120"/>
      <c r="S27" s="120"/>
      <c r="T27" s="120"/>
      <c r="U27" s="120"/>
      <c r="V27" s="120"/>
      <c r="W27" s="120"/>
      <c r="X27" s="120"/>
      <c r="Y27" s="120"/>
    </row>
    <row r="28" spans="1:25" x14ac:dyDescent="0.2">
      <c r="A28" s="120"/>
      <c r="B28" s="120"/>
      <c r="C28" s="120"/>
      <c r="D28" s="120"/>
      <c r="E28" s="120"/>
      <c r="F28" s="120"/>
      <c r="G28" s="120"/>
      <c r="H28" s="120"/>
      <c r="I28" s="120"/>
      <c r="J28" s="120"/>
      <c r="K28" s="120"/>
      <c r="L28" s="120"/>
      <c r="M28" s="120"/>
      <c r="N28" s="120"/>
      <c r="O28" s="120"/>
      <c r="P28" s="120"/>
      <c r="Q28" s="120"/>
      <c r="R28" s="120"/>
      <c r="S28" s="120"/>
      <c r="T28" s="120"/>
      <c r="U28" s="120"/>
      <c r="V28" s="120"/>
      <c r="W28" s="120"/>
      <c r="X28" s="120"/>
      <c r="Y28" s="120"/>
    </row>
    <row r="29" spans="1:25" ht="19.5" customHeight="1" x14ac:dyDescent="0.2">
      <c r="A29" s="571" t="s">
        <v>578</v>
      </c>
      <c r="B29" s="571"/>
      <c r="C29" s="571"/>
      <c r="D29" s="571"/>
      <c r="E29" s="571"/>
      <c r="F29" s="571"/>
      <c r="G29" s="571"/>
      <c r="H29" s="571"/>
      <c r="I29" s="571"/>
      <c r="J29" s="571"/>
      <c r="K29" s="571"/>
      <c r="L29" s="571"/>
      <c r="M29" s="571"/>
      <c r="N29" s="571"/>
      <c r="O29" s="571"/>
      <c r="P29" s="571"/>
      <c r="Q29" s="571"/>
      <c r="R29" s="571"/>
      <c r="S29" s="120"/>
      <c r="T29" s="120"/>
      <c r="U29" s="120"/>
      <c r="V29" s="120"/>
      <c r="W29" s="120"/>
      <c r="X29" s="120"/>
      <c r="Y29" s="120"/>
    </row>
    <row r="30" spans="1:25" ht="19.5" customHeight="1" x14ac:dyDescent="0.2">
      <c r="A30" s="571"/>
      <c r="B30" s="571"/>
      <c r="C30" s="571"/>
      <c r="D30" s="571"/>
      <c r="E30" s="571"/>
      <c r="F30" s="571"/>
      <c r="G30" s="571"/>
      <c r="H30" s="571"/>
      <c r="I30" s="571"/>
      <c r="J30" s="571"/>
      <c r="K30" s="571"/>
      <c r="L30" s="571"/>
      <c r="M30" s="571"/>
      <c r="N30" s="571"/>
      <c r="O30" s="571"/>
      <c r="P30" s="571"/>
      <c r="Q30" s="571"/>
      <c r="R30" s="571"/>
      <c r="S30" s="120"/>
      <c r="T30" s="120"/>
      <c r="U30" s="120"/>
      <c r="V30" s="120"/>
      <c r="W30" s="120"/>
      <c r="X30" s="120"/>
      <c r="Y30" s="120"/>
    </row>
    <row r="31" spans="1:25" x14ac:dyDescent="0.2">
      <c r="A31" s="120"/>
      <c r="B31" s="120"/>
      <c r="C31" s="120"/>
      <c r="D31" s="120"/>
      <c r="E31" s="120"/>
      <c r="F31" s="120"/>
      <c r="G31" s="120"/>
      <c r="H31" s="120"/>
      <c r="I31" s="120"/>
      <c r="J31" s="120"/>
      <c r="K31" s="120"/>
      <c r="L31" s="120"/>
      <c r="M31" s="120"/>
      <c r="N31" s="120"/>
      <c r="O31" s="120"/>
      <c r="P31" s="120"/>
      <c r="Q31" s="120"/>
      <c r="R31" s="120"/>
      <c r="S31" s="120"/>
      <c r="T31" s="120"/>
      <c r="U31" s="120"/>
      <c r="V31" s="120"/>
      <c r="W31" s="120"/>
      <c r="X31" s="120"/>
      <c r="Y31" s="120"/>
    </row>
    <row r="32" spans="1:25" ht="19.5" customHeight="1" x14ac:dyDescent="0.2">
      <c r="A32" s="571"/>
      <c r="B32" s="571"/>
      <c r="C32" s="571"/>
      <c r="D32" s="571"/>
      <c r="E32" s="571"/>
      <c r="F32" s="571"/>
      <c r="G32" s="571"/>
      <c r="H32" s="571"/>
      <c r="I32" s="571"/>
      <c r="J32" s="571"/>
      <c r="K32" s="571"/>
      <c r="L32" s="571"/>
      <c r="M32" s="571"/>
      <c r="N32" s="571"/>
      <c r="O32" s="571"/>
      <c r="P32" s="571"/>
      <c r="Q32" s="571"/>
      <c r="R32" s="571"/>
      <c r="S32" s="120"/>
      <c r="T32" s="120"/>
      <c r="U32" s="120"/>
      <c r="V32" s="120"/>
      <c r="W32" s="120"/>
      <c r="X32" s="120"/>
      <c r="Y32" s="120"/>
    </row>
    <row r="33" spans="1:25" x14ac:dyDescent="0.2">
      <c r="A33" s="120"/>
      <c r="B33" s="120"/>
      <c r="C33" s="120"/>
      <c r="D33" s="120"/>
      <c r="E33" s="120"/>
      <c r="F33" s="120"/>
      <c r="G33" s="120"/>
      <c r="H33" s="120"/>
      <c r="I33" s="120"/>
      <c r="J33" s="120"/>
      <c r="K33" s="120"/>
      <c r="L33" s="120"/>
      <c r="M33" s="120"/>
      <c r="N33" s="120"/>
      <c r="O33" s="120"/>
      <c r="P33" s="120"/>
      <c r="Q33" s="120"/>
      <c r="R33" s="120"/>
      <c r="S33" s="120"/>
      <c r="T33" s="120"/>
      <c r="U33" s="120"/>
      <c r="V33" s="120"/>
      <c r="W33" s="120"/>
      <c r="X33" s="120"/>
      <c r="Y33" s="120"/>
    </row>
    <row r="34" spans="1:25" x14ac:dyDescent="0.2">
      <c r="A34" s="120"/>
      <c r="B34" s="120"/>
      <c r="C34" s="120"/>
      <c r="D34" s="120"/>
      <c r="E34" s="120"/>
      <c r="F34" s="120"/>
      <c r="G34" s="120"/>
      <c r="H34" s="120"/>
      <c r="I34" s="120"/>
      <c r="J34" s="120"/>
      <c r="K34" s="120"/>
      <c r="L34" s="120"/>
      <c r="M34" s="120"/>
      <c r="N34" s="120"/>
      <c r="O34" s="120"/>
      <c r="P34" s="120"/>
      <c r="Q34" s="120"/>
      <c r="R34" s="120"/>
      <c r="S34" s="120"/>
      <c r="T34" s="120"/>
      <c r="U34" s="120"/>
      <c r="V34" s="120"/>
      <c r="W34" s="120"/>
      <c r="X34" s="120"/>
      <c r="Y34" s="120"/>
    </row>
    <row r="35" spans="1:25" x14ac:dyDescent="0.2">
      <c r="A35" s="120"/>
      <c r="B35" s="120"/>
      <c r="C35" s="120"/>
      <c r="D35" s="120"/>
      <c r="E35" s="120"/>
      <c r="F35" s="120"/>
      <c r="G35" s="120"/>
      <c r="H35" s="120"/>
      <c r="I35" s="120"/>
      <c r="J35" s="120"/>
      <c r="K35" s="120"/>
      <c r="L35" s="120"/>
      <c r="M35" s="120"/>
      <c r="N35" s="120"/>
      <c r="O35" s="120"/>
      <c r="P35" s="120"/>
      <c r="Q35" s="120"/>
      <c r="R35" s="120"/>
      <c r="S35" s="120"/>
      <c r="T35" s="120"/>
      <c r="U35" s="120"/>
      <c r="V35" s="120"/>
      <c r="W35" s="120"/>
      <c r="X35" s="120"/>
      <c r="Y35" s="120"/>
    </row>
    <row r="36" spans="1:25" x14ac:dyDescent="0.2">
      <c r="A36" s="120"/>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row>
    <row r="37" spans="1:25" x14ac:dyDescent="0.2">
      <c r="A37" s="120"/>
      <c r="B37" s="120"/>
      <c r="C37" s="120"/>
      <c r="D37" s="120"/>
      <c r="E37" s="120"/>
      <c r="F37" s="120"/>
      <c r="G37" s="120"/>
      <c r="H37" s="120"/>
      <c r="I37" s="120"/>
      <c r="J37" s="120"/>
      <c r="K37" s="120"/>
      <c r="L37" s="120"/>
      <c r="M37" s="120"/>
      <c r="N37" s="120"/>
      <c r="O37" s="120"/>
      <c r="P37" s="120"/>
      <c r="Q37" s="120"/>
      <c r="R37" s="120"/>
      <c r="S37" s="120"/>
      <c r="T37" s="120"/>
      <c r="U37" s="120"/>
      <c r="V37" s="120"/>
      <c r="W37" s="120"/>
      <c r="X37" s="120"/>
      <c r="Y37" s="120"/>
    </row>
    <row r="38" spans="1:25" x14ac:dyDescent="0.2">
      <c r="A38" s="120"/>
      <c r="B38" s="120"/>
      <c r="C38" s="120"/>
      <c r="D38" s="120"/>
      <c r="E38" s="120"/>
      <c r="F38" s="120"/>
      <c r="G38" s="120"/>
      <c r="H38" s="120"/>
      <c r="I38" s="120"/>
      <c r="J38" s="120"/>
      <c r="K38" s="120"/>
      <c r="L38" s="120"/>
      <c r="M38" s="120"/>
      <c r="N38" s="120"/>
      <c r="O38" s="120"/>
      <c r="P38" s="120"/>
      <c r="Q38" s="120"/>
      <c r="R38" s="120"/>
      <c r="S38" s="120"/>
      <c r="T38" s="120"/>
      <c r="U38" s="120"/>
      <c r="V38" s="120"/>
      <c r="W38" s="120"/>
      <c r="X38" s="120"/>
      <c r="Y38" s="120"/>
    </row>
    <row r="39" spans="1:25" x14ac:dyDescent="0.2">
      <c r="A39" s="466" t="str">
        <f>'Dane personalne'!$D$94&amp;""</f>
        <v/>
      </c>
      <c r="B39" s="466"/>
      <c r="C39" s="466"/>
      <c r="D39" s="466"/>
      <c r="E39" s="466"/>
      <c r="F39" s="466"/>
      <c r="G39" s="466" t="str">
        <f>'Dane personalne'!$F$94</f>
        <v/>
      </c>
      <c r="H39" s="466"/>
      <c r="I39" s="466"/>
      <c r="J39" s="466"/>
      <c r="K39" s="466"/>
      <c r="L39" s="120"/>
      <c r="M39" s="120"/>
      <c r="N39" s="574"/>
      <c r="O39" s="574"/>
      <c r="P39" s="574"/>
      <c r="Q39" s="574"/>
      <c r="R39" s="574"/>
      <c r="S39" s="120"/>
      <c r="T39" s="120"/>
      <c r="U39" s="120"/>
      <c r="V39" s="120"/>
      <c r="W39" s="120"/>
      <c r="X39" s="120"/>
      <c r="Y39" s="120"/>
    </row>
    <row r="40" spans="1:25" x14ac:dyDescent="0.2">
      <c r="A40" s="515" t="s">
        <v>355</v>
      </c>
      <c r="B40" s="515"/>
      <c r="C40" s="515"/>
      <c r="D40" s="515"/>
      <c r="E40" s="515"/>
      <c r="F40" s="515"/>
      <c r="G40" s="515"/>
      <c r="H40" s="515"/>
      <c r="I40" s="120"/>
      <c r="J40" s="120"/>
      <c r="K40" s="120"/>
      <c r="L40" s="120"/>
      <c r="M40" s="120"/>
      <c r="N40" s="515" t="s">
        <v>351</v>
      </c>
      <c r="O40" s="515"/>
      <c r="P40" s="515"/>
      <c r="Q40" s="515"/>
      <c r="R40" s="515"/>
      <c r="S40" s="120"/>
      <c r="T40" s="120"/>
      <c r="U40" s="120"/>
      <c r="V40" s="120"/>
      <c r="W40" s="120"/>
      <c r="X40" s="120"/>
      <c r="Y40" s="120"/>
    </row>
    <row r="41" spans="1:25" x14ac:dyDescent="0.2">
      <c r="A41" s="120"/>
      <c r="B41" s="120"/>
      <c r="C41" s="120"/>
      <c r="D41" s="120"/>
      <c r="E41" s="120"/>
      <c r="F41" s="120"/>
      <c r="G41" s="120"/>
      <c r="H41" s="120"/>
      <c r="I41" s="120"/>
      <c r="J41" s="120"/>
      <c r="K41" s="120"/>
      <c r="L41" s="120"/>
      <c r="M41" s="120"/>
      <c r="N41" s="120"/>
      <c r="O41" s="120"/>
      <c r="P41" s="120"/>
      <c r="Q41" s="120"/>
      <c r="R41" s="120"/>
      <c r="S41" s="120"/>
      <c r="T41" s="120"/>
      <c r="U41" s="120"/>
      <c r="V41" s="120"/>
      <c r="W41" s="120"/>
      <c r="X41" s="120"/>
      <c r="Y41" s="120"/>
    </row>
    <row r="42" spans="1:25" x14ac:dyDescent="0.2">
      <c r="A42" s="120"/>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120"/>
    </row>
    <row r="43" spans="1:25" x14ac:dyDescent="0.2">
      <c r="A43" s="120"/>
      <c r="B43" s="120"/>
      <c r="C43" s="120"/>
      <c r="D43" s="120"/>
      <c r="E43" s="120"/>
      <c r="F43" s="120"/>
      <c r="G43" s="120"/>
      <c r="H43" s="120"/>
      <c r="I43" s="120"/>
      <c r="J43" s="120"/>
      <c r="K43" s="120"/>
      <c r="L43" s="120"/>
      <c r="M43" s="120"/>
      <c r="N43" s="120"/>
      <c r="O43" s="120"/>
      <c r="P43" s="120"/>
      <c r="Q43" s="120"/>
      <c r="R43" s="120"/>
      <c r="S43" s="120"/>
      <c r="T43" s="120"/>
      <c r="U43" s="120"/>
      <c r="V43" s="120"/>
      <c r="W43" s="120"/>
      <c r="X43" s="120"/>
      <c r="Y43" s="120"/>
    </row>
    <row r="44" spans="1:25" x14ac:dyDescent="0.2">
      <c r="A44" s="120" t="s">
        <v>354</v>
      </c>
      <c r="B44" s="120"/>
      <c r="C44" s="120"/>
      <c r="D44" s="120"/>
      <c r="E44" s="120"/>
      <c r="F44" s="120"/>
      <c r="G44" s="120"/>
      <c r="H44" s="120"/>
      <c r="I44" s="120"/>
      <c r="J44" s="120"/>
      <c r="K44" s="120"/>
      <c r="L44" s="120"/>
      <c r="M44" s="120"/>
      <c r="N44" s="120"/>
      <c r="O44" s="120"/>
      <c r="P44" s="120"/>
      <c r="Q44" s="120"/>
      <c r="R44" s="120"/>
      <c r="S44" s="120"/>
      <c r="T44" s="120"/>
      <c r="U44" s="120"/>
      <c r="V44" s="120"/>
      <c r="W44" s="120"/>
      <c r="X44" s="120"/>
      <c r="Y44" s="120"/>
    </row>
    <row r="45" spans="1:25" x14ac:dyDescent="0.2">
      <c r="A45" s="120"/>
      <c r="B45" s="120"/>
      <c r="C45" s="120"/>
      <c r="D45" s="120"/>
      <c r="E45" s="120"/>
      <c r="F45" s="120"/>
      <c r="G45" s="120"/>
      <c r="H45" s="120"/>
      <c r="I45" s="120"/>
      <c r="J45" s="120"/>
      <c r="K45" s="120"/>
      <c r="L45" s="120"/>
      <c r="M45" s="120"/>
      <c r="N45" s="120"/>
      <c r="O45" s="120"/>
      <c r="P45" s="120"/>
      <c r="Q45" s="120"/>
      <c r="R45" s="120"/>
      <c r="S45" s="120"/>
      <c r="T45" s="120"/>
      <c r="U45" s="120"/>
      <c r="V45" s="120"/>
      <c r="W45" s="120"/>
      <c r="X45" s="120"/>
      <c r="Y45" s="120"/>
    </row>
    <row r="46" spans="1:25" s="120" customFormat="1" x14ac:dyDescent="0.2"/>
    <row r="47" spans="1:25" s="120" customFormat="1" x14ac:dyDescent="0.2"/>
    <row r="48" spans="1:25" s="120" customFormat="1" x14ac:dyDescent="0.2"/>
    <row r="49" s="120" customFormat="1" x14ac:dyDescent="0.2"/>
    <row r="50" s="120" customFormat="1" x14ac:dyDescent="0.2"/>
    <row r="51" s="120" customFormat="1" x14ac:dyDescent="0.2"/>
    <row r="52" s="120" customFormat="1" x14ac:dyDescent="0.2"/>
    <row r="53" s="120" customFormat="1" x14ac:dyDescent="0.2"/>
    <row r="54" s="120" customFormat="1" x14ac:dyDescent="0.2"/>
    <row r="55" s="120" customFormat="1" x14ac:dyDescent="0.2"/>
    <row r="56" s="120" customFormat="1" x14ac:dyDescent="0.2"/>
    <row r="57" s="120" customFormat="1" x14ac:dyDescent="0.2"/>
    <row r="58" s="120" customFormat="1" x14ac:dyDescent="0.2"/>
    <row r="59" s="120" customFormat="1" x14ac:dyDescent="0.2"/>
    <row r="60" s="120" customFormat="1" x14ac:dyDescent="0.2"/>
    <row r="61" s="120" customFormat="1" x14ac:dyDescent="0.2"/>
    <row r="62" s="120" customFormat="1" x14ac:dyDescent="0.2"/>
    <row r="63" s="120" customFormat="1" x14ac:dyDescent="0.2"/>
    <row r="64" s="120" customFormat="1" x14ac:dyDescent="0.2"/>
    <row r="65" s="120" customFormat="1" x14ac:dyDescent="0.2"/>
    <row r="66" s="120" customFormat="1" x14ac:dyDescent="0.2"/>
    <row r="67" s="120" customFormat="1" x14ac:dyDescent="0.2"/>
    <row r="68" s="120" customFormat="1" x14ac:dyDescent="0.2"/>
    <row r="69" s="120" customFormat="1" x14ac:dyDescent="0.2"/>
    <row r="70" s="120" customFormat="1" x14ac:dyDescent="0.2"/>
    <row r="71" s="120" customFormat="1" x14ac:dyDescent="0.2"/>
    <row r="72" s="120" customFormat="1" x14ac:dyDescent="0.2"/>
    <row r="73" s="120" customFormat="1" x14ac:dyDescent="0.2"/>
    <row r="74" s="120" customFormat="1" x14ac:dyDescent="0.2"/>
    <row r="75" s="120" customFormat="1" x14ac:dyDescent="0.2"/>
    <row r="76" s="120" customFormat="1" x14ac:dyDescent="0.2"/>
    <row r="77" s="120" customFormat="1" x14ac:dyDescent="0.2"/>
    <row r="78" s="120" customFormat="1" x14ac:dyDescent="0.2"/>
    <row r="79" s="120" customFormat="1" x14ac:dyDescent="0.2"/>
    <row r="80" s="120" customFormat="1" x14ac:dyDescent="0.2"/>
    <row r="81" s="120" customFormat="1" x14ac:dyDescent="0.2"/>
    <row r="82" s="120" customFormat="1" x14ac:dyDescent="0.2"/>
    <row r="83" s="120" customFormat="1" x14ac:dyDescent="0.2"/>
    <row r="84" s="120" customFormat="1" x14ac:dyDescent="0.2"/>
    <row r="85" s="120" customFormat="1" x14ac:dyDescent="0.2"/>
    <row r="86" s="120" customFormat="1" x14ac:dyDescent="0.2"/>
    <row r="87" s="120" customFormat="1" x14ac:dyDescent="0.2"/>
    <row r="88" s="120" customFormat="1" x14ac:dyDescent="0.2"/>
    <row r="89" s="120" customFormat="1" x14ac:dyDescent="0.2"/>
    <row r="90" s="120" customFormat="1" x14ac:dyDescent="0.2"/>
    <row r="91" s="120" customFormat="1" x14ac:dyDescent="0.2"/>
    <row r="92" s="120" customFormat="1" x14ac:dyDescent="0.2"/>
    <row r="93" s="120" customFormat="1" x14ac:dyDescent="0.2"/>
    <row r="94" s="120" customFormat="1" x14ac:dyDescent="0.2"/>
    <row r="95" s="120" customFormat="1" x14ac:dyDescent="0.2"/>
    <row r="96" s="120" customFormat="1" x14ac:dyDescent="0.2"/>
    <row r="97" s="120" customFormat="1" x14ac:dyDescent="0.2"/>
    <row r="98" s="120" customFormat="1" x14ac:dyDescent="0.2"/>
    <row r="99" s="120" customFormat="1" x14ac:dyDescent="0.2"/>
    <row r="100" s="120" customFormat="1" x14ac:dyDescent="0.2"/>
    <row r="101" s="120" customFormat="1" x14ac:dyDescent="0.2"/>
    <row r="102" s="120" customFormat="1" x14ac:dyDescent="0.2"/>
    <row r="103" s="120" customFormat="1" x14ac:dyDescent="0.2"/>
    <row r="104" s="120" customFormat="1" x14ac:dyDescent="0.2"/>
    <row r="105" s="120" customFormat="1" x14ac:dyDescent="0.2"/>
    <row r="106" s="120" customFormat="1" x14ac:dyDescent="0.2"/>
    <row r="107" s="120" customFormat="1" x14ac:dyDescent="0.2"/>
    <row r="108" s="120" customFormat="1" x14ac:dyDescent="0.2"/>
    <row r="109" s="120" customFormat="1" x14ac:dyDescent="0.2"/>
    <row r="110" s="120" customFormat="1" x14ac:dyDescent="0.2"/>
    <row r="111" s="120" customFormat="1" x14ac:dyDescent="0.2"/>
    <row r="112" s="120" customFormat="1" x14ac:dyDescent="0.2"/>
    <row r="113" s="120" customFormat="1" x14ac:dyDescent="0.2"/>
    <row r="114" s="120" customFormat="1" x14ac:dyDescent="0.2"/>
    <row r="115" s="120" customFormat="1" x14ac:dyDescent="0.2"/>
    <row r="116" s="120" customFormat="1" x14ac:dyDescent="0.2"/>
    <row r="117" s="120" customFormat="1" x14ac:dyDescent="0.2"/>
    <row r="118" s="120" customFormat="1" x14ac:dyDescent="0.2"/>
    <row r="119" s="120" customFormat="1" x14ac:dyDescent="0.2"/>
    <row r="120" s="120" customFormat="1" x14ac:dyDescent="0.2"/>
    <row r="121" s="120" customFormat="1" x14ac:dyDescent="0.2"/>
    <row r="122" s="120" customFormat="1" x14ac:dyDescent="0.2"/>
    <row r="123" s="120" customFormat="1" x14ac:dyDescent="0.2"/>
    <row r="124" s="120" customFormat="1" x14ac:dyDescent="0.2"/>
    <row r="125" s="120" customFormat="1" x14ac:dyDescent="0.2"/>
    <row r="126" s="120" customFormat="1" x14ac:dyDescent="0.2"/>
    <row r="127" s="120" customFormat="1" x14ac:dyDescent="0.2"/>
    <row r="128" s="120" customFormat="1" x14ac:dyDescent="0.2"/>
    <row r="129" s="120" customFormat="1" x14ac:dyDescent="0.2"/>
    <row r="130" s="120" customFormat="1" x14ac:dyDescent="0.2"/>
    <row r="131" s="120" customFormat="1" x14ac:dyDescent="0.2"/>
    <row r="132" s="120" customFormat="1" x14ac:dyDescent="0.2"/>
    <row r="133" s="120" customFormat="1" x14ac:dyDescent="0.2"/>
    <row r="134" s="120" customFormat="1" x14ac:dyDescent="0.2"/>
    <row r="135" s="120" customFormat="1" x14ac:dyDescent="0.2"/>
    <row r="136" s="120" customFormat="1" x14ac:dyDescent="0.2"/>
    <row r="137" s="120" customFormat="1" x14ac:dyDescent="0.2"/>
    <row r="138" s="120" customFormat="1" x14ac:dyDescent="0.2"/>
    <row r="139" s="120" customFormat="1" x14ac:dyDescent="0.2"/>
    <row r="140" s="120" customFormat="1" x14ac:dyDescent="0.2"/>
    <row r="141" s="120" customFormat="1" x14ac:dyDescent="0.2"/>
    <row r="142" s="120" customFormat="1" x14ac:dyDescent="0.2"/>
    <row r="143" s="120" customFormat="1" x14ac:dyDescent="0.2"/>
    <row r="144" s="120" customFormat="1" x14ac:dyDescent="0.2"/>
    <row r="145" s="120" customFormat="1" x14ac:dyDescent="0.2"/>
    <row r="146" s="120" customFormat="1" x14ac:dyDescent="0.2"/>
    <row r="147" s="120" customFormat="1" x14ac:dyDescent="0.2"/>
    <row r="148" s="120" customFormat="1" x14ac:dyDescent="0.2"/>
    <row r="149" s="120" customFormat="1" x14ac:dyDescent="0.2"/>
    <row r="150" s="120" customFormat="1" x14ac:dyDescent="0.2"/>
    <row r="151" s="120" customFormat="1" x14ac:dyDescent="0.2"/>
    <row r="152" s="120" customFormat="1" x14ac:dyDescent="0.2"/>
    <row r="153" s="120" customFormat="1" x14ac:dyDescent="0.2"/>
    <row r="154" s="120" customFormat="1" x14ac:dyDescent="0.2"/>
    <row r="155" s="120" customFormat="1" x14ac:dyDescent="0.2"/>
    <row r="156" s="120" customFormat="1" x14ac:dyDescent="0.2"/>
    <row r="157" s="120" customFormat="1" x14ac:dyDescent="0.2"/>
    <row r="158" s="120" customFormat="1" x14ac:dyDescent="0.2"/>
    <row r="159" s="120" customFormat="1" x14ac:dyDescent="0.2"/>
    <row r="160" s="120" customFormat="1" x14ac:dyDescent="0.2"/>
    <row r="161" s="120" customFormat="1" x14ac:dyDescent="0.2"/>
    <row r="162" s="120" customFormat="1" x14ac:dyDescent="0.2"/>
    <row r="163" s="120" customFormat="1" x14ac:dyDescent="0.2"/>
    <row r="164" s="120" customFormat="1" x14ac:dyDescent="0.2"/>
    <row r="165" s="120" customFormat="1" x14ac:dyDescent="0.2"/>
    <row r="166" s="120" customFormat="1" x14ac:dyDescent="0.2"/>
    <row r="167" s="120" customFormat="1" x14ac:dyDescent="0.2"/>
    <row r="168" s="120" customFormat="1" x14ac:dyDescent="0.2"/>
    <row r="169" s="120" customFormat="1" x14ac:dyDescent="0.2"/>
    <row r="170" s="120" customFormat="1" x14ac:dyDescent="0.2"/>
    <row r="171" s="120" customFormat="1" x14ac:dyDescent="0.2"/>
    <row r="172" s="120" customFormat="1" x14ac:dyDescent="0.2"/>
    <row r="173" s="120" customFormat="1" x14ac:dyDescent="0.2"/>
    <row r="174" s="120" customFormat="1" x14ac:dyDescent="0.2"/>
    <row r="175" s="120" customFormat="1" x14ac:dyDescent="0.2"/>
    <row r="176" s="120" customFormat="1" x14ac:dyDescent="0.2"/>
    <row r="177" s="120" customFormat="1" x14ac:dyDescent="0.2"/>
    <row r="178" s="120" customFormat="1" x14ac:dyDescent="0.2"/>
    <row r="179" s="120" customFormat="1" x14ac:dyDescent="0.2"/>
    <row r="180" s="120" customFormat="1" x14ac:dyDescent="0.2"/>
    <row r="181" s="120" customFormat="1" x14ac:dyDescent="0.2"/>
    <row r="182" s="120" customFormat="1" x14ac:dyDescent="0.2"/>
    <row r="183" s="120" customFormat="1" x14ac:dyDescent="0.2"/>
    <row r="184" s="120" customFormat="1" x14ac:dyDescent="0.2"/>
    <row r="185" s="120" customFormat="1" x14ac:dyDescent="0.2"/>
    <row r="186" s="120" customFormat="1" x14ac:dyDescent="0.2"/>
    <row r="187" s="120" customFormat="1" x14ac:dyDescent="0.2"/>
    <row r="188" s="120" customFormat="1" x14ac:dyDescent="0.2"/>
    <row r="189" s="120" customFormat="1" x14ac:dyDescent="0.2"/>
    <row r="190" s="120" customFormat="1" x14ac:dyDescent="0.2"/>
    <row r="191" s="120" customFormat="1" x14ac:dyDescent="0.2"/>
    <row r="192" s="120" customFormat="1" x14ac:dyDescent="0.2"/>
    <row r="193" s="120" customFormat="1" x14ac:dyDescent="0.2"/>
    <row r="194" s="120" customFormat="1" x14ac:dyDescent="0.2"/>
    <row r="195" s="120" customFormat="1" x14ac:dyDescent="0.2"/>
    <row r="196" s="120" customFormat="1" x14ac:dyDescent="0.2"/>
    <row r="197" s="120" customFormat="1" x14ac:dyDescent="0.2"/>
    <row r="198" s="120" customFormat="1" x14ac:dyDescent="0.2"/>
    <row r="199" s="120" customFormat="1" x14ac:dyDescent="0.2"/>
    <row r="200" s="120" customFormat="1" x14ac:dyDescent="0.2"/>
    <row r="201" s="120" customFormat="1" x14ac:dyDescent="0.2"/>
    <row r="202" s="120" customFormat="1" x14ac:dyDescent="0.2"/>
    <row r="203" s="120" customFormat="1" x14ac:dyDescent="0.2"/>
    <row r="204" s="120" customFormat="1" x14ac:dyDescent="0.2"/>
    <row r="205" s="120" customFormat="1" x14ac:dyDescent="0.2"/>
    <row r="206" s="120" customFormat="1" x14ac:dyDescent="0.2"/>
    <row r="207" s="120" customFormat="1" x14ac:dyDescent="0.2"/>
    <row r="208" s="120" customFormat="1" x14ac:dyDescent="0.2"/>
    <row r="209" s="120" customFormat="1" x14ac:dyDescent="0.2"/>
    <row r="210" s="120" customFormat="1" x14ac:dyDescent="0.2"/>
    <row r="211" s="120" customFormat="1" x14ac:dyDescent="0.2"/>
    <row r="212" s="120" customFormat="1" x14ac:dyDescent="0.2"/>
    <row r="213" s="120" customFormat="1" x14ac:dyDescent="0.2"/>
    <row r="214" s="120" customFormat="1" x14ac:dyDescent="0.2"/>
    <row r="215" s="120" customFormat="1" x14ac:dyDescent="0.2"/>
    <row r="216" s="120" customFormat="1" x14ac:dyDescent="0.2"/>
    <row r="217" s="120" customFormat="1" x14ac:dyDescent="0.2"/>
    <row r="218" s="120" customFormat="1" x14ac:dyDescent="0.2"/>
    <row r="219" s="120" customFormat="1" x14ac:dyDescent="0.2"/>
    <row r="220" s="120" customFormat="1" x14ac:dyDescent="0.2"/>
    <row r="221" s="120" customFormat="1" x14ac:dyDescent="0.2"/>
    <row r="222" s="120" customFormat="1" x14ac:dyDescent="0.2"/>
    <row r="223" s="120" customFormat="1" x14ac:dyDescent="0.2"/>
    <row r="224" s="120" customFormat="1" x14ac:dyDescent="0.2"/>
    <row r="225" s="120" customFormat="1" x14ac:dyDescent="0.2"/>
    <row r="226" s="120" customFormat="1" x14ac:dyDescent="0.2"/>
    <row r="227" s="120" customFormat="1" x14ac:dyDescent="0.2"/>
    <row r="228" s="120" customFormat="1" x14ac:dyDescent="0.2"/>
    <row r="229" s="120" customFormat="1" x14ac:dyDescent="0.2"/>
    <row r="230" s="120" customFormat="1" x14ac:dyDescent="0.2"/>
    <row r="231" s="120" customFormat="1" x14ac:dyDescent="0.2"/>
    <row r="232" s="120" customFormat="1" x14ac:dyDescent="0.2"/>
    <row r="233" s="120" customFormat="1" x14ac:dyDescent="0.2"/>
    <row r="234" s="120" customFormat="1" x14ac:dyDescent="0.2"/>
    <row r="235" s="120" customFormat="1" x14ac:dyDescent="0.2"/>
    <row r="236" s="120" customFormat="1" x14ac:dyDescent="0.2"/>
    <row r="237" s="120" customFormat="1" x14ac:dyDescent="0.2"/>
    <row r="238" s="120" customFormat="1" x14ac:dyDescent="0.2"/>
    <row r="239" s="120" customFormat="1" x14ac:dyDescent="0.2"/>
    <row r="240" s="120" customFormat="1" x14ac:dyDescent="0.2"/>
    <row r="241" s="120" customFormat="1" x14ac:dyDescent="0.2"/>
    <row r="242" s="120" customFormat="1" x14ac:dyDescent="0.2"/>
    <row r="243" s="120" customFormat="1" x14ac:dyDescent="0.2"/>
    <row r="244" s="120" customFormat="1" x14ac:dyDescent="0.2"/>
    <row r="245" s="120" customFormat="1" x14ac:dyDescent="0.2"/>
    <row r="246" s="120" customFormat="1" x14ac:dyDescent="0.2"/>
    <row r="247" s="120" customFormat="1" x14ac:dyDescent="0.2"/>
    <row r="248" s="120" customFormat="1" x14ac:dyDescent="0.2"/>
    <row r="249" s="120" customFormat="1" x14ac:dyDescent="0.2"/>
    <row r="250" s="120" customFormat="1" x14ac:dyDescent="0.2"/>
    <row r="251" s="120" customFormat="1" x14ac:dyDescent="0.2"/>
    <row r="252" s="120" customFormat="1" x14ac:dyDescent="0.2"/>
    <row r="253" s="120" customFormat="1" x14ac:dyDescent="0.2"/>
    <row r="254" s="120" customFormat="1" x14ac:dyDescent="0.2"/>
    <row r="255" s="120" customFormat="1" x14ac:dyDescent="0.2"/>
    <row r="256" s="120" customFormat="1" x14ac:dyDescent="0.2"/>
    <row r="257" s="120" customFormat="1" x14ac:dyDescent="0.2"/>
    <row r="258" s="120" customFormat="1" x14ac:dyDescent="0.2"/>
    <row r="259" s="120" customFormat="1" x14ac:dyDescent="0.2"/>
    <row r="260" s="120" customFormat="1" x14ac:dyDescent="0.2"/>
    <row r="261" s="120" customFormat="1" x14ac:dyDescent="0.2"/>
    <row r="262" s="120" customFormat="1" x14ac:dyDescent="0.2"/>
    <row r="263" s="120" customFormat="1" x14ac:dyDescent="0.2"/>
    <row r="264" s="120" customFormat="1" x14ac:dyDescent="0.2"/>
    <row r="265" s="120" customFormat="1" x14ac:dyDescent="0.2"/>
    <row r="266" s="120" customFormat="1" x14ac:dyDescent="0.2"/>
    <row r="267" s="120" customFormat="1" x14ac:dyDescent="0.2"/>
    <row r="268" s="120" customFormat="1" x14ac:dyDescent="0.2"/>
    <row r="269" s="120" customFormat="1" x14ac:dyDescent="0.2"/>
    <row r="270" s="120" customFormat="1" x14ac:dyDescent="0.2"/>
    <row r="271" s="120" customFormat="1" x14ac:dyDescent="0.2"/>
    <row r="272" s="120" customFormat="1" x14ac:dyDescent="0.2"/>
    <row r="273" s="120" customFormat="1" x14ac:dyDescent="0.2"/>
    <row r="274" s="120" customFormat="1" x14ac:dyDescent="0.2"/>
    <row r="275" s="120" customFormat="1" x14ac:dyDescent="0.2"/>
    <row r="276" s="120" customFormat="1" x14ac:dyDescent="0.2"/>
    <row r="277" s="120" customFormat="1" x14ac:dyDescent="0.2"/>
    <row r="278" s="120" customFormat="1" x14ac:dyDescent="0.2"/>
    <row r="279" s="120" customFormat="1" x14ac:dyDescent="0.2"/>
    <row r="280" s="120" customFormat="1" x14ac:dyDescent="0.2"/>
    <row r="281" s="120" customFormat="1" x14ac:dyDescent="0.2"/>
    <row r="282" s="120" customFormat="1" x14ac:dyDescent="0.2"/>
    <row r="283" s="120" customFormat="1" x14ac:dyDescent="0.2"/>
    <row r="284" s="120" customFormat="1" x14ac:dyDescent="0.2"/>
    <row r="285" s="120" customFormat="1" x14ac:dyDescent="0.2"/>
    <row r="286" s="120" customFormat="1" x14ac:dyDescent="0.2"/>
    <row r="287" s="120" customFormat="1" x14ac:dyDescent="0.2"/>
    <row r="288" s="120" customFormat="1" x14ac:dyDescent="0.2"/>
    <row r="289" s="120" customFormat="1" x14ac:dyDescent="0.2"/>
    <row r="290" s="120" customFormat="1" x14ac:dyDescent="0.2"/>
    <row r="291" s="120" customFormat="1" x14ac:dyDescent="0.2"/>
    <row r="292" s="120" customFormat="1" x14ac:dyDescent="0.2"/>
    <row r="293" s="120" customFormat="1" x14ac:dyDescent="0.2"/>
    <row r="294" s="120" customFormat="1" x14ac:dyDescent="0.2"/>
    <row r="295" s="120" customFormat="1" x14ac:dyDescent="0.2"/>
    <row r="296" s="120" customFormat="1" x14ac:dyDescent="0.2"/>
    <row r="297" s="120" customFormat="1" x14ac:dyDescent="0.2"/>
    <row r="298" s="120" customFormat="1" x14ac:dyDescent="0.2"/>
    <row r="299" s="120" customFormat="1" x14ac:dyDescent="0.2"/>
    <row r="300" s="120" customFormat="1" x14ac:dyDescent="0.2"/>
    <row r="301" s="120" customFormat="1" x14ac:dyDescent="0.2"/>
    <row r="302" s="120" customFormat="1" x14ac:dyDescent="0.2"/>
    <row r="303" s="120" customFormat="1" x14ac:dyDescent="0.2"/>
    <row r="304" s="120" customFormat="1" x14ac:dyDescent="0.2"/>
    <row r="305" s="120" customFormat="1" x14ac:dyDescent="0.2"/>
    <row r="306" s="120" customFormat="1" x14ac:dyDescent="0.2"/>
    <row r="307" s="120" customFormat="1" x14ac:dyDescent="0.2"/>
    <row r="308" s="120" customFormat="1" x14ac:dyDescent="0.2"/>
    <row r="309" s="120" customFormat="1" x14ac:dyDescent="0.2"/>
    <row r="310" s="120" customFormat="1" x14ac:dyDescent="0.2"/>
    <row r="311" s="120" customFormat="1" x14ac:dyDescent="0.2"/>
    <row r="312" s="120" customFormat="1" x14ac:dyDescent="0.2"/>
    <row r="313" s="120" customFormat="1" x14ac:dyDescent="0.2"/>
    <row r="314" s="120" customFormat="1" x14ac:dyDescent="0.2"/>
    <row r="315" s="120" customFormat="1" x14ac:dyDescent="0.2"/>
    <row r="316" s="120" customFormat="1" x14ac:dyDescent="0.2"/>
    <row r="317" s="120" customFormat="1" x14ac:dyDescent="0.2"/>
    <row r="318" s="120" customFormat="1" x14ac:dyDescent="0.2"/>
    <row r="319" s="120" customFormat="1" x14ac:dyDescent="0.2"/>
    <row r="320" s="120" customFormat="1" x14ac:dyDescent="0.2"/>
    <row r="321" s="120" customFormat="1" x14ac:dyDescent="0.2"/>
    <row r="322" s="120" customFormat="1" x14ac:dyDescent="0.2"/>
    <row r="323" s="120" customFormat="1" x14ac:dyDescent="0.2"/>
    <row r="324" s="120" customFormat="1" x14ac:dyDescent="0.2"/>
    <row r="325" s="120" customFormat="1" x14ac:dyDescent="0.2"/>
    <row r="326" s="120" customFormat="1" x14ac:dyDescent="0.2"/>
    <row r="327" s="120" customFormat="1" x14ac:dyDescent="0.2"/>
    <row r="328" s="120" customFormat="1" x14ac:dyDescent="0.2"/>
    <row r="329" s="120" customFormat="1" x14ac:dyDescent="0.2"/>
    <row r="330" s="120" customFormat="1" x14ac:dyDescent="0.2"/>
    <row r="331" s="120" customFormat="1" x14ac:dyDescent="0.2"/>
    <row r="332" s="120" customFormat="1" x14ac:dyDescent="0.2"/>
    <row r="333" s="120" customFormat="1" x14ac:dyDescent="0.2"/>
    <row r="334" s="120" customFormat="1" x14ac:dyDescent="0.2"/>
    <row r="335" s="120" customFormat="1" x14ac:dyDescent="0.2"/>
    <row r="336" s="120" customFormat="1" x14ac:dyDescent="0.2"/>
    <row r="337" s="120" customFormat="1" x14ac:dyDescent="0.2"/>
    <row r="338" s="120" customFormat="1" x14ac:dyDescent="0.2"/>
    <row r="339" s="120" customFormat="1" x14ac:dyDescent="0.2"/>
    <row r="340" s="120" customFormat="1" x14ac:dyDescent="0.2"/>
    <row r="341" s="120" customFormat="1" x14ac:dyDescent="0.2"/>
    <row r="342" s="120" customFormat="1" x14ac:dyDescent="0.2"/>
    <row r="343" s="120" customFormat="1" x14ac:dyDescent="0.2"/>
    <row r="344" s="120" customFormat="1" x14ac:dyDescent="0.2"/>
    <row r="345" s="120" customFormat="1" x14ac:dyDescent="0.2"/>
    <row r="346" s="120" customFormat="1" x14ac:dyDescent="0.2"/>
    <row r="347" s="120" customFormat="1" x14ac:dyDescent="0.2"/>
    <row r="348" s="120" customFormat="1" x14ac:dyDescent="0.2"/>
    <row r="349" s="120" customFormat="1" x14ac:dyDescent="0.2"/>
    <row r="350" s="120" customFormat="1" x14ac:dyDescent="0.2"/>
    <row r="351" s="120" customFormat="1" x14ac:dyDescent="0.2"/>
    <row r="352" s="120" customFormat="1" x14ac:dyDescent="0.2"/>
    <row r="353" s="120" customFormat="1" x14ac:dyDescent="0.2"/>
    <row r="354" s="120" customFormat="1" x14ac:dyDescent="0.2"/>
    <row r="355" s="120" customFormat="1" x14ac:dyDescent="0.2"/>
    <row r="356" s="120" customFormat="1" x14ac:dyDescent="0.2"/>
    <row r="357" s="120" customFormat="1" x14ac:dyDescent="0.2"/>
    <row r="358" s="120" customFormat="1" x14ac:dyDescent="0.2"/>
    <row r="359" s="120" customFormat="1" x14ac:dyDescent="0.2"/>
    <row r="360" s="120" customFormat="1" x14ac:dyDescent="0.2"/>
    <row r="361" s="120" customFormat="1" x14ac:dyDescent="0.2"/>
    <row r="362" s="120" customFormat="1" x14ac:dyDescent="0.2"/>
    <row r="363" s="120" customFormat="1" x14ac:dyDescent="0.2"/>
    <row r="364" s="120" customFormat="1" x14ac:dyDescent="0.2"/>
    <row r="365" s="120" customFormat="1" x14ac:dyDescent="0.2"/>
    <row r="366" s="120" customFormat="1" x14ac:dyDescent="0.2"/>
    <row r="367" s="120" customFormat="1" x14ac:dyDescent="0.2"/>
    <row r="368" s="120" customFormat="1" x14ac:dyDescent="0.2"/>
    <row r="369" s="120" customFormat="1" x14ac:dyDescent="0.2"/>
    <row r="370" s="120" customFormat="1" x14ac:dyDescent="0.2"/>
    <row r="371" s="120" customFormat="1" x14ac:dyDescent="0.2"/>
    <row r="372" s="120" customFormat="1" x14ac:dyDescent="0.2"/>
    <row r="373" s="120" customFormat="1" x14ac:dyDescent="0.2"/>
    <row r="374" s="120" customFormat="1" x14ac:dyDescent="0.2"/>
    <row r="375" s="120" customFormat="1" x14ac:dyDescent="0.2"/>
    <row r="376" s="120" customFormat="1" x14ac:dyDescent="0.2"/>
    <row r="377" s="120" customFormat="1" x14ac:dyDescent="0.2"/>
    <row r="378" s="120" customFormat="1" x14ac:dyDescent="0.2"/>
    <row r="379" s="120" customFormat="1" x14ac:dyDescent="0.2"/>
    <row r="380" s="120" customFormat="1" x14ac:dyDescent="0.2"/>
    <row r="381" s="120" customFormat="1" x14ac:dyDescent="0.2"/>
    <row r="382" s="120" customFormat="1" x14ac:dyDescent="0.2"/>
    <row r="383" s="120" customFormat="1" x14ac:dyDescent="0.2"/>
    <row r="384" s="120" customFormat="1" x14ac:dyDescent="0.2"/>
    <row r="385" s="120" customFormat="1" x14ac:dyDescent="0.2"/>
    <row r="386" s="120" customFormat="1" x14ac:dyDescent="0.2"/>
    <row r="387" s="120" customFormat="1" x14ac:dyDescent="0.2"/>
    <row r="388" s="120" customFormat="1" x14ac:dyDescent="0.2"/>
    <row r="389" s="120" customFormat="1" x14ac:dyDescent="0.2"/>
    <row r="390" s="120" customFormat="1" x14ac:dyDescent="0.2"/>
    <row r="391" s="120" customFormat="1" x14ac:dyDescent="0.2"/>
    <row r="392" s="120" customFormat="1" x14ac:dyDescent="0.2"/>
    <row r="393" s="120" customFormat="1" x14ac:dyDescent="0.2"/>
    <row r="394" s="120" customFormat="1" x14ac:dyDescent="0.2"/>
    <row r="395" s="120" customFormat="1" x14ac:dyDescent="0.2"/>
    <row r="396" s="120" customFormat="1" x14ac:dyDescent="0.2"/>
    <row r="397" s="120" customFormat="1" x14ac:dyDescent="0.2"/>
    <row r="398" s="120" customFormat="1" x14ac:dyDescent="0.2"/>
    <row r="399" s="120" customFormat="1" x14ac:dyDescent="0.2"/>
    <row r="400" s="120" customFormat="1" x14ac:dyDescent="0.2"/>
    <row r="401" s="120" customFormat="1" x14ac:dyDescent="0.2"/>
    <row r="402" s="120" customFormat="1" x14ac:dyDescent="0.2"/>
    <row r="403" s="120" customFormat="1" x14ac:dyDescent="0.2"/>
    <row r="404" s="120" customFormat="1" x14ac:dyDescent="0.2"/>
    <row r="405" s="120" customFormat="1" x14ac:dyDescent="0.2"/>
    <row r="406" s="120" customFormat="1" x14ac:dyDescent="0.2"/>
    <row r="407" s="120" customFormat="1" x14ac:dyDescent="0.2"/>
    <row r="408" s="120" customFormat="1" x14ac:dyDescent="0.2"/>
    <row r="409" s="120" customFormat="1" x14ac:dyDescent="0.2"/>
    <row r="410" s="120" customFormat="1" x14ac:dyDescent="0.2"/>
    <row r="411" s="120" customFormat="1" x14ac:dyDescent="0.2"/>
    <row r="412" s="120" customFormat="1" x14ac:dyDescent="0.2"/>
    <row r="413" s="120" customFormat="1" x14ac:dyDescent="0.2"/>
    <row r="414" s="120" customFormat="1" x14ac:dyDescent="0.2"/>
    <row r="415" s="120" customFormat="1" x14ac:dyDescent="0.2"/>
    <row r="416" s="120" customFormat="1" x14ac:dyDescent="0.2"/>
    <row r="417" s="120" customFormat="1" x14ac:dyDescent="0.2"/>
    <row r="418" s="120" customFormat="1" x14ac:dyDescent="0.2"/>
    <row r="419" s="120" customFormat="1" x14ac:dyDescent="0.2"/>
    <row r="420" s="120" customFormat="1" x14ac:dyDescent="0.2"/>
    <row r="421" s="120" customFormat="1" x14ac:dyDescent="0.2"/>
    <row r="422" s="120" customFormat="1" x14ac:dyDescent="0.2"/>
    <row r="423" s="120" customFormat="1" x14ac:dyDescent="0.2"/>
    <row r="424" s="120" customFormat="1" x14ac:dyDescent="0.2"/>
    <row r="425" s="120" customFormat="1" x14ac:dyDescent="0.2"/>
    <row r="426" s="120" customFormat="1" x14ac:dyDescent="0.2"/>
    <row r="427" s="120" customFormat="1" x14ac:dyDescent="0.2"/>
    <row r="428" s="120" customFormat="1" x14ac:dyDescent="0.2"/>
    <row r="429" s="120" customFormat="1" x14ac:dyDescent="0.2"/>
    <row r="430" s="120" customFormat="1" x14ac:dyDescent="0.2"/>
    <row r="431" s="120" customFormat="1" x14ac:dyDescent="0.2"/>
    <row r="432" s="120" customFormat="1" x14ac:dyDescent="0.2"/>
    <row r="433" s="120" customFormat="1" x14ac:dyDescent="0.2"/>
    <row r="434" s="120" customFormat="1" x14ac:dyDescent="0.2"/>
    <row r="435" s="120" customFormat="1" x14ac:dyDescent="0.2"/>
    <row r="436" s="120" customFormat="1" x14ac:dyDescent="0.2"/>
    <row r="437" s="120" customFormat="1" x14ac:dyDescent="0.2"/>
    <row r="438" s="120" customFormat="1" x14ac:dyDescent="0.2"/>
    <row r="439" s="120" customFormat="1" x14ac:dyDescent="0.2"/>
    <row r="440" s="120" customFormat="1" x14ac:dyDescent="0.2"/>
    <row r="441" s="120" customFormat="1" x14ac:dyDescent="0.2"/>
    <row r="442" s="120" customFormat="1" x14ac:dyDescent="0.2"/>
    <row r="443" s="120" customFormat="1" x14ac:dyDescent="0.2"/>
    <row r="444" s="120" customFormat="1" x14ac:dyDescent="0.2"/>
    <row r="445" s="120" customFormat="1" x14ac:dyDescent="0.2"/>
    <row r="446" s="120" customFormat="1" x14ac:dyDescent="0.2"/>
    <row r="447" s="120" customFormat="1" x14ac:dyDescent="0.2"/>
    <row r="448" s="120" customFormat="1" x14ac:dyDescent="0.2"/>
  </sheetData>
  <mergeCells count="22">
    <mergeCell ref="A19:R19"/>
    <mergeCell ref="G10:M10"/>
    <mergeCell ref="N10:R10"/>
    <mergeCell ref="B13:L13"/>
    <mergeCell ref="B15:N15"/>
    <mergeCell ref="K17:Q17"/>
    <mergeCell ref="A22:R22"/>
    <mergeCell ref="A23:R23"/>
    <mergeCell ref="A24:R24"/>
    <mergeCell ref="A26:G26"/>
    <mergeCell ref="H26:K26"/>
    <mergeCell ref="L26:R26"/>
    <mergeCell ref="A40:H40"/>
    <mergeCell ref="N40:R40"/>
    <mergeCell ref="A27:M27"/>
    <mergeCell ref="N27:P27"/>
    <mergeCell ref="A29:R29"/>
    <mergeCell ref="A30:R30"/>
    <mergeCell ref="A32:R32"/>
    <mergeCell ref="N39:R39"/>
    <mergeCell ref="A39:F39"/>
    <mergeCell ref="G39:K39"/>
  </mergeCells>
  <pageMargins left="0.70866141732283472" right="0.70866141732283472" top="0.74803149606299213" bottom="0.74803149606299213" header="0.31496062992125984" footer="0.31496062992125984"/>
  <pageSetup paperSize="9" scale="88" orientation="portrait" r:id="rId1"/>
  <colBreaks count="1" manualBreakCount="1">
    <brk id="19" max="43"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61"/>
  <sheetViews>
    <sheetView showGridLines="0" zoomScaleNormal="100" zoomScaleSheetLayoutView="80" workbookViewId="0"/>
  </sheetViews>
  <sheetFormatPr defaultColWidth="9.140625" defaultRowHeight="12.75" x14ac:dyDescent="0.2"/>
  <cols>
    <col min="1" max="1" width="3.28515625" style="2" customWidth="1"/>
    <col min="2" max="10" width="9.140625" style="2"/>
    <col min="11" max="11" width="9.7109375" style="2" customWidth="1"/>
    <col min="12" max="16384" width="9.140625" style="2"/>
  </cols>
  <sheetData>
    <row r="1" spans="1:11" x14ac:dyDescent="0.2">
      <c r="A1" s="27"/>
      <c r="B1" s="27"/>
      <c r="C1" s="27"/>
      <c r="D1" s="27"/>
      <c r="E1" s="27"/>
      <c r="F1" s="27"/>
      <c r="G1" s="27"/>
      <c r="H1" s="27"/>
      <c r="I1" s="27"/>
      <c r="J1" s="27"/>
      <c r="K1" s="27"/>
    </row>
    <row r="2" spans="1:11" x14ac:dyDescent="0.2">
      <c r="A2" s="27"/>
      <c r="B2" s="27"/>
      <c r="C2" s="27"/>
      <c r="D2" s="27"/>
      <c r="E2" s="27"/>
      <c r="F2" s="27"/>
      <c r="G2" s="27"/>
      <c r="H2" s="27"/>
      <c r="I2" s="27"/>
      <c r="J2" s="27"/>
      <c r="K2" s="27"/>
    </row>
    <row r="3" spans="1:11" x14ac:dyDescent="0.2">
      <c r="A3" s="27"/>
      <c r="B3" s="27"/>
      <c r="C3" s="27"/>
      <c r="D3" s="27"/>
      <c r="E3" s="27"/>
      <c r="F3" s="27"/>
      <c r="G3" s="27"/>
      <c r="H3" s="27"/>
      <c r="I3" s="27"/>
      <c r="J3" s="27"/>
      <c r="K3" s="27"/>
    </row>
    <row r="4" spans="1:11" x14ac:dyDescent="0.2">
      <c r="A4" s="27"/>
      <c r="B4" s="27"/>
      <c r="C4" s="27"/>
      <c r="D4" s="27"/>
      <c r="E4" s="27"/>
      <c r="F4" s="27"/>
      <c r="G4" s="27"/>
      <c r="H4" s="27"/>
      <c r="I4" s="27"/>
      <c r="J4" s="27"/>
      <c r="K4" s="27"/>
    </row>
    <row r="5" spans="1:11" ht="13.5" thickBot="1" x14ac:dyDescent="0.25">
      <c r="A5" s="28"/>
      <c r="B5" s="28"/>
      <c r="C5" s="28"/>
      <c r="D5" s="28"/>
      <c r="E5" s="28"/>
      <c r="F5" s="28"/>
      <c r="G5" s="28"/>
      <c r="H5" s="28"/>
      <c r="I5" s="28"/>
      <c r="J5" s="28"/>
      <c r="K5" s="28"/>
    </row>
    <row r="6" spans="1:11" x14ac:dyDescent="0.2">
      <c r="A6" s="29"/>
      <c r="B6" s="29"/>
      <c r="C6" s="29"/>
      <c r="D6" s="29"/>
      <c r="E6" s="29"/>
      <c r="F6" s="29"/>
      <c r="G6" s="29"/>
      <c r="H6" s="29"/>
      <c r="I6" s="29"/>
      <c r="J6" s="29"/>
      <c r="K6" s="29"/>
    </row>
    <row r="7" spans="1:11" x14ac:dyDescent="0.2">
      <c r="A7" s="27"/>
      <c r="B7" s="27"/>
      <c r="C7" s="27"/>
      <c r="D7" s="27"/>
      <c r="E7" s="27"/>
      <c r="F7" s="27"/>
      <c r="G7" s="27"/>
      <c r="H7" s="27"/>
      <c r="I7" s="27"/>
      <c r="J7" s="27"/>
      <c r="K7" s="27"/>
    </row>
    <row r="8" spans="1:11" x14ac:dyDescent="0.2">
      <c r="A8" s="27"/>
      <c r="B8" s="27"/>
      <c r="C8" s="27"/>
      <c r="D8" s="27"/>
      <c r="E8" s="27"/>
      <c r="F8" s="27"/>
      <c r="G8" s="27"/>
      <c r="H8" s="27"/>
      <c r="I8" s="27"/>
      <c r="J8" s="27"/>
      <c r="K8" s="27"/>
    </row>
    <row r="9" spans="1:11" x14ac:dyDescent="0.2">
      <c r="A9" s="27"/>
      <c r="B9" s="27"/>
      <c r="C9" s="27"/>
      <c r="D9" s="27"/>
      <c r="E9" s="27"/>
      <c r="F9" s="27"/>
      <c r="G9" s="27"/>
      <c r="H9" s="27"/>
      <c r="I9" s="27"/>
      <c r="J9" s="27"/>
      <c r="K9" s="27"/>
    </row>
    <row r="10" spans="1:11" ht="19.5" customHeight="1" x14ac:dyDescent="0.2">
      <c r="A10" s="610" t="s">
        <v>21</v>
      </c>
      <c r="B10" s="610"/>
      <c r="C10" s="610"/>
      <c r="D10" s="610"/>
      <c r="E10" s="610"/>
      <c r="F10" s="610"/>
      <c r="G10" s="610"/>
      <c r="H10" s="610"/>
      <c r="I10" s="610"/>
      <c r="J10" s="610"/>
      <c r="K10" s="610"/>
    </row>
    <row r="11" spans="1:11" x14ac:dyDescent="0.2">
      <c r="A11" s="27"/>
      <c r="B11" s="27"/>
      <c r="C11" s="27"/>
      <c r="D11" s="27"/>
      <c r="E11" s="27"/>
      <c r="F11" s="27"/>
      <c r="G11" s="27"/>
      <c r="H11" s="27"/>
      <c r="I11" s="27"/>
      <c r="J11" s="27"/>
      <c r="K11" s="27"/>
    </row>
    <row r="12" spans="1:11" x14ac:dyDescent="0.2">
      <c r="A12" s="27"/>
      <c r="B12" s="27"/>
      <c r="C12" s="27"/>
      <c r="D12" s="27"/>
      <c r="E12" s="27"/>
      <c r="F12" s="27"/>
      <c r="G12" s="27"/>
      <c r="H12" s="27"/>
      <c r="I12" s="27"/>
      <c r="J12" s="27"/>
      <c r="K12" s="27"/>
    </row>
    <row r="13" spans="1:11" x14ac:dyDescent="0.2">
      <c r="A13" s="230" t="str">
        <f>CONCATENATE('Dane personalne'!D11," ",'Dane personalne'!D12)</f>
        <v xml:space="preserve"> </v>
      </c>
      <c r="B13" s="231"/>
      <c r="C13" s="231"/>
      <c r="D13" s="231"/>
      <c r="E13" s="232"/>
      <c r="F13" s="30"/>
      <c r="G13" s="30"/>
      <c r="H13" s="30"/>
      <c r="I13" s="30"/>
      <c r="J13" s="27"/>
      <c r="K13" s="27"/>
    </row>
    <row r="14" spans="1:11" x14ac:dyDescent="0.2">
      <c r="A14" s="596" t="s">
        <v>42</v>
      </c>
      <c r="B14" s="596"/>
      <c r="C14" s="596"/>
      <c r="D14" s="596"/>
      <c r="E14" s="596"/>
      <c r="F14" s="31"/>
      <c r="G14" s="31"/>
      <c r="H14" s="31"/>
      <c r="I14" s="31"/>
      <c r="J14" s="27"/>
      <c r="K14" s="27"/>
    </row>
    <row r="15" spans="1:11" x14ac:dyDescent="0.2">
      <c r="A15" s="27"/>
      <c r="B15" s="27"/>
      <c r="C15" s="27"/>
      <c r="D15" s="27"/>
      <c r="E15" s="27"/>
      <c r="F15" s="27"/>
      <c r="G15" s="27"/>
      <c r="H15" s="27"/>
      <c r="I15" s="27"/>
      <c r="J15" s="27"/>
      <c r="K15" s="27"/>
    </row>
    <row r="16" spans="1:11" x14ac:dyDescent="0.2">
      <c r="A16" s="27"/>
      <c r="B16" s="27"/>
      <c r="C16" s="27"/>
      <c r="D16" s="27"/>
      <c r="E16" s="27"/>
      <c r="F16" s="27"/>
      <c r="G16" s="27"/>
      <c r="H16" s="27"/>
      <c r="I16" s="27"/>
      <c r="J16" s="27"/>
      <c r="K16" s="27"/>
    </row>
    <row r="17" spans="1:11" x14ac:dyDescent="0.2">
      <c r="A17" s="27"/>
      <c r="B17" s="27"/>
      <c r="C17" s="27"/>
      <c r="D17" s="27"/>
      <c r="E17" s="27"/>
      <c r="F17" s="27"/>
      <c r="G17" s="27"/>
      <c r="H17" s="27"/>
      <c r="I17" s="27"/>
      <c r="J17" s="27"/>
      <c r="K17" s="27"/>
    </row>
    <row r="18" spans="1:11" x14ac:dyDescent="0.2">
      <c r="A18" s="27"/>
      <c r="B18" s="27"/>
      <c r="C18" s="27"/>
      <c r="D18" s="27"/>
      <c r="E18" s="27"/>
      <c r="F18" s="27"/>
      <c r="G18" s="27"/>
      <c r="H18" s="27"/>
      <c r="I18" s="27"/>
      <c r="J18" s="27"/>
      <c r="K18" s="27"/>
    </row>
    <row r="19" spans="1:11" ht="19.5" customHeight="1" x14ac:dyDescent="0.2">
      <c r="A19" s="2" t="s">
        <v>198</v>
      </c>
      <c r="B19" s="32"/>
      <c r="C19" s="32"/>
      <c r="D19" s="32"/>
      <c r="E19" s="32"/>
      <c r="F19" s="32"/>
      <c r="G19" s="32"/>
      <c r="H19" s="32"/>
      <c r="I19" s="32"/>
      <c r="J19" s="32"/>
      <c r="K19" s="32"/>
    </row>
    <row r="20" spans="1:11" ht="19.5" customHeight="1" x14ac:dyDescent="0.2">
      <c r="A20" s="611" t="s">
        <v>184</v>
      </c>
      <c r="B20" s="611"/>
      <c r="C20" s="611"/>
      <c r="D20" s="611"/>
      <c r="E20" s="611"/>
      <c r="F20" s="611"/>
      <c r="G20" s="611"/>
      <c r="H20" s="611"/>
      <c r="I20" s="611"/>
      <c r="J20" s="611"/>
      <c r="K20" s="611"/>
    </row>
    <row r="21" spans="1:11" ht="18.75" customHeight="1" x14ac:dyDescent="0.2">
      <c r="A21" s="611" t="s">
        <v>185</v>
      </c>
      <c r="B21" s="611"/>
      <c r="C21" s="611"/>
      <c r="D21" s="611"/>
      <c r="E21" s="611"/>
      <c r="F21" s="611"/>
      <c r="G21" s="611"/>
      <c r="H21" s="611"/>
      <c r="I21" s="611"/>
      <c r="J21" s="611"/>
      <c r="K21" s="611"/>
    </row>
    <row r="22" spans="1:11" ht="18.75" customHeight="1" x14ac:dyDescent="0.2">
      <c r="A22" s="611" t="s">
        <v>186</v>
      </c>
      <c r="B22" s="611"/>
      <c r="C22" s="611"/>
      <c r="D22" s="611"/>
      <c r="E22" s="611"/>
      <c r="F22" s="611"/>
      <c r="G22" s="611"/>
      <c r="H22" s="611"/>
      <c r="I22" s="611"/>
      <c r="J22" s="611"/>
      <c r="K22" s="611"/>
    </row>
    <row r="23" spans="1:11" x14ac:dyDescent="0.2">
      <c r="A23" s="606" t="s">
        <v>187</v>
      </c>
      <c r="B23" s="607"/>
      <c r="C23" s="607"/>
      <c r="D23" s="607"/>
      <c r="E23" s="607"/>
      <c r="F23" s="607"/>
      <c r="G23" s="607"/>
      <c r="H23" s="607"/>
      <c r="I23" s="607"/>
      <c r="J23" s="607"/>
      <c r="K23" s="608"/>
    </row>
    <row r="24" spans="1:11" x14ac:dyDescent="0.2">
      <c r="A24" s="606" t="s">
        <v>188</v>
      </c>
      <c r="B24" s="607"/>
      <c r="C24" s="607"/>
      <c r="D24" s="607"/>
      <c r="E24" s="607"/>
      <c r="F24" s="607"/>
      <c r="G24" s="607"/>
      <c r="H24" s="607"/>
      <c r="I24" s="607"/>
      <c r="J24" s="607"/>
      <c r="K24" s="608"/>
    </row>
    <row r="25" spans="1:11" x14ac:dyDescent="0.2">
      <c r="A25" s="606" t="s">
        <v>189</v>
      </c>
      <c r="B25" s="607"/>
      <c r="C25" s="607"/>
      <c r="D25" s="607"/>
      <c r="E25" s="607"/>
      <c r="F25" s="607"/>
      <c r="G25" s="607"/>
      <c r="H25" s="607"/>
      <c r="I25" s="607"/>
      <c r="J25" s="607"/>
      <c r="K25" s="608"/>
    </row>
    <row r="26" spans="1:11" x14ac:dyDescent="0.2">
      <c r="A26" s="606"/>
      <c r="B26" s="607"/>
      <c r="C26" s="607"/>
      <c r="D26" s="607"/>
      <c r="E26" s="607"/>
      <c r="F26" s="607"/>
      <c r="G26" s="607"/>
      <c r="H26" s="607"/>
      <c r="I26" s="607"/>
      <c r="J26" s="607"/>
      <c r="K26" s="608"/>
    </row>
    <row r="27" spans="1:11" x14ac:dyDescent="0.2">
      <c r="A27" s="606" t="s">
        <v>190</v>
      </c>
      <c r="B27" s="607"/>
      <c r="C27" s="607"/>
      <c r="D27" s="607"/>
      <c r="E27" s="607"/>
      <c r="F27" s="607"/>
      <c r="G27" s="607"/>
      <c r="H27" s="607"/>
      <c r="I27" s="607"/>
      <c r="J27" s="607"/>
      <c r="K27" s="608"/>
    </row>
    <row r="28" spans="1:11" x14ac:dyDescent="0.2">
      <c r="A28" s="606" t="s">
        <v>191</v>
      </c>
      <c r="B28" s="607"/>
      <c r="C28" s="607"/>
      <c r="D28" s="607"/>
      <c r="E28" s="607"/>
      <c r="F28" s="607"/>
      <c r="G28" s="607"/>
      <c r="H28" s="607"/>
      <c r="I28" s="607"/>
      <c r="J28" s="607"/>
      <c r="K28" s="608"/>
    </row>
    <row r="29" spans="1:11" x14ac:dyDescent="0.2">
      <c r="A29" s="606"/>
      <c r="B29" s="607"/>
      <c r="C29" s="607"/>
      <c r="D29" s="607"/>
      <c r="E29" s="607"/>
      <c r="F29" s="607"/>
      <c r="G29" s="607"/>
      <c r="H29" s="607"/>
      <c r="I29" s="607"/>
      <c r="J29" s="607"/>
      <c r="K29" s="608"/>
    </row>
    <row r="30" spans="1:11" x14ac:dyDescent="0.2">
      <c r="A30" s="27"/>
      <c r="B30" s="27"/>
      <c r="C30" s="27"/>
      <c r="D30" s="27"/>
      <c r="E30" s="27"/>
      <c r="F30" s="27"/>
      <c r="G30" s="27"/>
      <c r="H30" s="27"/>
      <c r="I30" s="27"/>
      <c r="J30" s="27"/>
      <c r="K30" s="27"/>
    </row>
    <row r="31" spans="1:11" x14ac:dyDescent="0.2">
      <c r="A31" s="27"/>
      <c r="B31" s="27"/>
      <c r="C31" s="27"/>
      <c r="D31" s="27"/>
      <c r="E31" s="27"/>
      <c r="F31" s="27"/>
      <c r="G31" s="27"/>
      <c r="H31" s="27"/>
      <c r="I31" s="27"/>
      <c r="J31" s="27"/>
      <c r="K31" s="27"/>
    </row>
    <row r="32" spans="1:11" x14ac:dyDescent="0.2">
      <c r="A32" s="466" t="str">
        <f>'Dane personalne'!$D$94&amp;""</f>
        <v/>
      </c>
      <c r="B32" s="466"/>
      <c r="C32" s="466" t="str">
        <f>'Dane personalne'!$F$94</f>
        <v/>
      </c>
      <c r="D32" s="466"/>
      <c r="E32" s="255"/>
      <c r="F32" s="27"/>
      <c r="G32" s="602"/>
      <c r="H32" s="602"/>
      <c r="I32" s="602"/>
      <c r="J32" s="602"/>
      <c r="K32" s="602"/>
    </row>
    <row r="33" spans="1:11" x14ac:dyDescent="0.2">
      <c r="A33" s="600" t="s">
        <v>41</v>
      </c>
      <c r="B33" s="600"/>
      <c r="C33" s="600"/>
      <c r="D33" s="600"/>
      <c r="E33" s="600"/>
      <c r="F33" s="27"/>
      <c r="G33" s="600" t="s">
        <v>43</v>
      </c>
      <c r="H33" s="600"/>
      <c r="I33" s="600"/>
      <c r="J33" s="600"/>
      <c r="K33" s="600"/>
    </row>
    <row r="34" spans="1:11" x14ac:dyDescent="0.2">
      <c r="A34" s="606"/>
      <c r="B34" s="607"/>
      <c r="C34" s="607"/>
      <c r="D34" s="607"/>
      <c r="E34" s="607"/>
      <c r="F34" s="607"/>
      <c r="G34" s="607"/>
      <c r="H34" s="607"/>
      <c r="I34" s="607"/>
      <c r="J34" s="607"/>
      <c r="K34" s="608"/>
    </row>
    <row r="35" spans="1:11" x14ac:dyDescent="0.2">
      <c r="A35" s="606" t="s">
        <v>250</v>
      </c>
      <c r="B35" s="607"/>
      <c r="C35" s="607"/>
      <c r="D35" s="607"/>
      <c r="E35" s="607"/>
      <c r="F35" s="607"/>
      <c r="G35" s="607"/>
      <c r="H35" s="607"/>
      <c r="I35" s="607"/>
      <c r="J35" s="607"/>
      <c r="K35" s="608"/>
    </row>
    <row r="36" spans="1:11" x14ac:dyDescent="0.2">
      <c r="A36" s="606" t="s">
        <v>192</v>
      </c>
      <c r="B36" s="607"/>
      <c r="C36" s="607"/>
      <c r="D36" s="607"/>
      <c r="E36" s="607"/>
      <c r="F36" s="607"/>
      <c r="G36" s="607"/>
      <c r="H36" s="607"/>
      <c r="I36" s="607"/>
      <c r="J36" s="607"/>
      <c r="K36" s="608"/>
    </row>
    <row r="37" spans="1:11" x14ac:dyDescent="0.2">
      <c r="A37" s="606" t="s">
        <v>193</v>
      </c>
      <c r="B37" s="607"/>
      <c r="C37" s="607"/>
      <c r="D37" s="607"/>
      <c r="E37" s="607"/>
      <c r="F37" s="607"/>
      <c r="G37" s="607"/>
      <c r="H37" s="607"/>
      <c r="I37" s="607"/>
      <c r="J37" s="607"/>
      <c r="K37" s="608"/>
    </row>
    <row r="38" spans="1:11" x14ac:dyDescent="0.2">
      <c r="A38" s="601"/>
      <c r="B38" s="601"/>
      <c r="C38" s="601"/>
      <c r="D38" s="601"/>
      <c r="E38" s="601"/>
      <c r="F38" s="27"/>
      <c r="G38" s="602"/>
      <c r="H38" s="602"/>
      <c r="I38" s="602"/>
      <c r="J38" s="602"/>
      <c r="K38" s="602"/>
    </row>
    <row r="39" spans="1:11" x14ac:dyDescent="0.2">
      <c r="A39" s="466" t="str">
        <f>'Dane personalne'!$D$94&amp;""</f>
        <v/>
      </c>
      <c r="B39" s="466"/>
      <c r="C39" s="466" t="str">
        <f>'Dane personalne'!$F$94</f>
        <v/>
      </c>
      <c r="D39" s="466"/>
      <c r="E39" s="255"/>
      <c r="F39" s="27"/>
      <c r="G39" s="602"/>
      <c r="H39" s="602"/>
      <c r="I39" s="602"/>
      <c r="J39" s="602"/>
      <c r="K39" s="602"/>
    </row>
    <row r="40" spans="1:11" x14ac:dyDescent="0.2">
      <c r="A40" s="600" t="s">
        <v>41</v>
      </c>
      <c r="B40" s="600"/>
      <c r="C40" s="600"/>
      <c r="D40" s="600"/>
      <c r="E40" s="600"/>
      <c r="F40" s="27"/>
      <c r="G40" s="600" t="s">
        <v>43</v>
      </c>
      <c r="H40" s="600"/>
      <c r="I40" s="600"/>
      <c r="J40" s="600"/>
      <c r="K40" s="600"/>
    </row>
    <row r="41" spans="1:11" x14ac:dyDescent="0.2">
      <c r="A41" s="606"/>
      <c r="B41" s="607"/>
      <c r="C41" s="607"/>
      <c r="D41" s="607"/>
      <c r="E41" s="607"/>
      <c r="F41" s="607"/>
      <c r="G41" s="607"/>
      <c r="H41" s="607"/>
      <c r="I41" s="607"/>
      <c r="J41" s="607"/>
      <c r="K41" s="608"/>
    </row>
    <row r="42" spans="1:11" x14ac:dyDescent="0.2">
      <c r="A42" s="606"/>
      <c r="B42" s="607"/>
      <c r="C42" s="607"/>
      <c r="D42" s="607"/>
      <c r="E42" s="607"/>
      <c r="F42" s="607"/>
      <c r="G42" s="607"/>
      <c r="H42" s="607"/>
      <c r="I42" s="607"/>
      <c r="J42" s="607"/>
      <c r="K42" s="608"/>
    </row>
    <row r="43" spans="1:11" x14ac:dyDescent="0.2">
      <c r="A43" s="606"/>
      <c r="B43" s="607"/>
      <c r="C43" s="607"/>
      <c r="D43" s="607"/>
      <c r="E43" s="607"/>
      <c r="F43" s="607"/>
      <c r="G43" s="607"/>
      <c r="H43" s="607"/>
      <c r="I43" s="607"/>
      <c r="J43" s="607"/>
      <c r="K43" s="608"/>
    </row>
    <row r="44" spans="1:11" ht="18.75" customHeight="1" x14ac:dyDescent="0.2">
      <c r="A44" s="27" t="s">
        <v>46</v>
      </c>
      <c r="B44" s="27"/>
      <c r="C44" s="27"/>
      <c r="D44" s="27"/>
      <c r="E44" s="27"/>
      <c r="F44" s="27"/>
      <c r="G44" s="27"/>
      <c r="H44" s="27"/>
      <c r="I44" s="27"/>
      <c r="J44" s="27"/>
      <c r="K44" s="27"/>
    </row>
    <row r="45" spans="1:11" x14ac:dyDescent="0.2">
      <c r="A45" s="28"/>
      <c r="B45" s="28"/>
      <c r="C45" s="28"/>
      <c r="D45" s="28"/>
      <c r="E45" s="28"/>
      <c r="F45" s="28"/>
      <c r="G45" s="28"/>
      <c r="H45" s="28"/>
      <c r="I45" s="28"/>
      <c r="J45" s="28"/>
      <c r="K45" s="28"/>
    </row>
    <row r="46" spans="1:11" ht="24.75" customHeight="1" x14ac:dyDescent="0.2">
      <c r="A46" s="33" t="s">
        <v>47</v>
      </c>
      <c r="B46" s="609" t="s">
        <v>44</v>
      </c>
      <c r="C46" s="609"/>
      <c r="D46" s="609"/>
      <c r="E46" s="609"/>
      <c r="F46" s="609"/>
      <c r="G46" s="609" t="s">
        <v>45</v>
      </c>
      <c r="H46" s="609"/>
      <c r="I46" s="609"/>
      <c r="J46" s="609"/>
      <c r="K46" s="609"/>
    </row>
    <row r="47" spans="1:11" ht="24.75" customHeight="1" x14ac:dyDescent="0.2">
      <c r="A47" s="34">
        <v>1</v>
      </c>
      <c r="B47" s="603" t="str">
        <f>IF('Dane personalne'!D71="","",'Dane personalne'!D71)</f>
        <v/>
      </c>
      <c r="C47" s="604"/>
      <c r="D47" s="604"/>
      <c r="E47" s="604"/>
      <c r="F47" s="604"/>
      <c r="G47" s="603" t="str">
        <f>IF('Dane personalne'!F71="","",'Dane personalne'!F71)</f>
        <v/>
      </c>
      <c r="H47" s="604"/>
      <c r="I47" s="604"/>
      <c r="J47" s="604"/>
      <c r="K47" s="604"/>
    </row>
    <row r="48" spans="1:11" ht="25.5" customHeight="1" x14ac:dyDescent="0.2">
      <c r="A48" s="34">
        <v>2</v>
      </c>
      <c r="B48" s="603" t="str">
        <f>IF('Dane personalne'!D72="","",'Dane personalne'!D72)</f>
        <v/>
      </c>
      <c r="C48" s="604"/>
      <c r="D48" s="604"/>
      <c r="E48" s="604"/>
      <c r="F48" s="604"/>
      <c r="G48" s="603" t="str">
        <f>IF('Dane personalne'!F72="","",'Dane personalne'!F72)</f>
        <v/>
      </c>
      <c r="H48" s="604"/>
      <c r="I48" s="604"/>
      <c r="J48" s="604"/>
      <c r="K48" s="604"/>
    </row>
    <row r="49" spans="1:15" ht="24.75" customHeight="1" x14ac:dyDescent="0.2">
      <c r="A49" s="34">
        <v>3</v>
      </c>
      <c r="B49" s="603" t="str">
        <f>IF('Dane personalne'!D73="","",'Dane personalne'!D73)</f>
        <v/>
      </c>
      <c r="C49" s="604"/>
      <c r="D49" s="604"/>
      <c r="E49" s="604"/>
      <c r="F49" s="604"/>
      <c r="G49" s="603" t="str">
        <f>IF('Dane personalne'!F73="","",'Dane personalne'!F73)</f>
        <v/>
      </c>
      <c r="H49" s="604"/>
      <c r="I49" s="604"/>
      <c r="J49" s="604"/>
      <c r="K49" s="604"/>
    </row>
    <row r="50" spans="1:15" ht="24.75" customHeight="1" x14ac:dyDescent="0.2">
      <c r="A50" s="34">
        <v>4</v>
      </c>
      <c r="B50" s="603" t="str">
        <f>IF('Dane personalne'!D74="","",'Dane personalne'!D74)</f>
        <v/>
      </c>
      <c r="C50" s="604"/>
      <c r="D50" s="604"/>
      <c r="E50" s="604"/>
      <c r="F50" s="604"/>
      <c r="G50" s="603" t="str">
        <f>IF('Dane personalne'!F74="","",'Dane personalne'!F74)</f>
        <v/>
      </c>
      <c r="H50" s="604"/>
      <c r="I50" s="604"/>
      <c r="J50" s="604"/>
      <c r="K50" s="604"/>
    </row>
    <row r="51" spans="1:15" x14ac:dyDescent="0.2">
      <c r="A51" s="35"/>
      <c r="B51" s="35"/>
      <c r="C51" s="35"/>
      <c r="D51" s="35"/>
      <c r="E51" s="35"/>
      <c r="F51" s="35"/>
      <c r="G51" s="35"/>
      <c r="H51" s="35"/>
      <c r="I51" s="35"/>
      <c r="J51" s="35"/>
      <c r="K51" s="35"/>
    </row>
    <row r="52" spans="1:15" x14ac:dyDescent="0.2">
      <c r="A52" s="597" t="s">
        <v>194</v>
      </c>
      <c r="B52" s="598"/>
      <c r="C52" s="598"/>
      <c r="D52" s="598"/>
      <c r="E52" s="598"/>
      <c r="F52" s="598"/>
      <c r="G52" s="598"/>
      <c r="H52" s="598"/>
      <c r="I52" s="598"/>
      <c r="J52" s="598"/>
      <c r="K52" s="599"/>
    </row>
    <row r="53" spans="1:15" x14ac:dyDescent="0.2">
      <c r="A53" s="597" t="s">
        <v>195</v>
      </c>
      <c r="B53" s="598"/>
      <c r="C53" s="598"/>
      <c r="D53" s="598"/>
      <c r="E53" s="598"/>
      <c r="F53" s="598"/>
      <c r="G53" s="598"/>
      <c r="H53" s="598"/>
      <c r="I53" s="598"/>
      <c r="J53" s="598"/>
      <c r="K53" s="599"/>
    </row>
    <row r="54" spans="1:15" x14ac:dyDescent="0.2">
      <c r="A54" s="597" t="s">
        <v>196</v>
      </c>
      <c r="B54" s="598"/>
      <c r="C54" s="598"/>
      <c r="D54" s="598"/>
      <c r="E54" s="598"/>
      <c r="F54" s="598"/>
      <c r="G54" s="598"/>
      <c r="H54" s="598"/>
      <c r="I54" s="598"/>
      <c r="J54" s="598"/>
      <c r="K54" s="599"/>
    </row>
    <row r="55" spans="1:15" x14ac:dyDescent="0.2">
      <c r="A55" s="597" t="s">
        <v>197</v>
      </c>
      <c r="B55" s="598"/>
      <c r="C55" s="598"/>
      <c r="D55" s="598"/>
      <c r="E55" s="598"/>
      <c r="F55" s="598"/>
      <c r="G55" s="598"/>
      <c r="H55" s="598"/>
      <c r="I55" s="598"/>
      <c r="J55" s="598"/>
      <c r="K55" s="599"/>
    </row>
    <row r="56" spans="1:15" x14ac:dyDescent="0.2">
      <c r="A56" s="597"/>
      <c r="B56" s="598"/>
      <c r="C56" s="598"/>
      <c r="D56" s="598"/>
      <c r="E56" s="598"/>
      <c r="F56" s="598"/>
      <c r="G56" s="598"/>
      <c r="H56" s="598"/>
      <c r="I56" s="598"/>
      <c r="J56" s="598"/>
      <c r="K56" s="599"/>
    </row>
    <row r="57" spans="1:15" x14ac:dyDescent="0.2">
      <c r="A57" s="605" t="str">
        <f>'Dane personalne'!$D$94&amp;", "&amp;'Dane personalne'!$F$94</f>
        <v xml:space="preserve">, </v>
      </c>
      <c r="B57" s="605"/>
      <c r="C57" s="605"/>
      <c r="D57" s="605"/>
      <c r="E57" s="605"/>
      <c r="F57" s="27"/>
      <c r="G57" s="602"/>
      <c r="H57" s="602"/>
      <c r="I57" s="602"/>
      <c r="J57" s="602"/>
      <c r="K57" s="602"/>
    </row>
    <row r="58" spans="1:15" x14ac:dyDescent="0.2">
      <c r="A58" s="600" t="s">
        <v>41</v>
      </c>
      <c r="B58" s="600"/>
      <c r="C58" s="600"/>
      <c r="D58" s="600"/>
      <c r="E58" s="600"/>
      <c r="F58" s="27"/>
      <c r="G58" s="600" t="s">
        <v>43</v>
      </c>
      <c r="H58" s="600"/>
      <c r="I58" s="600"/>
      <c r="J58" s="600"/>
      <c r="K58" s="600"/>
    </row>
    <row r="59" spans="1:15" x14ac:dyDescent="0.2">
      <c r="A59" s="27"/>
      <c r="B59" s="27"/>
      <c r="C59" s="27"/>
      <c r="D59" s="27"/>
      <c r="E59" s="27"/>
      <c r="F59" s="27"/>
      <c r="G59" s="27"/>
      <c r="H59" s="27"/>
      <c r="I59" s="27"/>
      <c r="J59" s="27"/>
      <c r="K59" s="27"/>
    </row>
    <row r="60" spans="1:15" x14ac:dyDescent="0.2">
      <c r="A60" s="27"/>
      <c r="B60" s="27"/>
      <c r="C60" s="27"/>
      <c r="D60" s="27"/>
      <c r="E60" s="596"/>
      <c r="F60" s="596"/>
      <c r="G60" s="596"/>
      <c r="H60" s="596"/>
      <c r="I60" s="596"/>
      <c r="J60" s="27"/>
      <c r="K60" s="31"/>
      <c r="L60" s="15"/>
      <c r="M60" s="15"/>
      <c r="N60" s="15"/>
      <c r="O60" s="15"/>
    </row>
    <row r="61" spans="1:15" x14ac:dyDescent="0.2">
      <c r="A61" s="27"/>
      <c r="B61" s="27"/>
      <c r="C61" s="27"/>
      <c r="D61" s="27"/>
      <c r="E61" s="27"/>
      <c r="F61" s="27"/>
      <c r="G61" s="27"/>
      <c r="H61" s="27"/>
      <c r="I61" s="27"/>
      <c r="J61" s="27"/>
      <c r="K61" s="27"/>
    </row>
  </sheetData>
  <mergeCells count="51">
    <mergeCell ref="A26:K26"/>
    <mergeCell ref="A27:K27"/>
    <mergeCell ref="A28:K28"/>
    <mergeCell ref="C39:D39"/>
    <mergeCell ref="A34:K34"/>
    <mergeCell ref="A29:K29"/>
    <mergeCell ref="A35:K35"/>
    <mergeCell ref="A36:K36"/>
    <mergeCell ref="A39:B39"/>
    <mergeCell ref="A37:K37"/>
    <mergeCell ref="A33:E33"/>
    <mergeCell ref="G32:K32"/>
    <mergeCell ref="G33:K33"/>
    <mergeCell ref="A32:B32"/>
    <mergeCell ref="C32:D32"/>
    <mergeCell ref="A14:E14"/>
    <mergeCell ref="A10:K10"/>
    <mergeCell ref="A23:K23"/>
    <mergeCell ref="A24:K24"/>
    <mergeCell ref="A25:K25"/>
    <mergeCell ref="A21:K21"/>
    <mergeCell ref="A20:K20"/>
    <mergeCell ref="A22:K22"/>
    <mergeCell ref="A41:K41"/>
    <mergeCell ref="G39:K39"/>
    <mergeCell ref="B46:F46"/>
    <mergeCell ref="G46:K46"/>
    <mergeCell ref="A42:K42"/>
    <mergeCell ref="A43:K43"/>
    <mergeCell ref="A52:K52"/>
    <mergeCell ref="B48:F48"/>
    <mergeCell ref="B49:F49"/>
    <mergeCell ref="G47:K47"/>
    <mergeCell ref="G48:K48"/>
    <mergeCell ref="G49:K49"/>
    <mergeCell ref="E60:I60"/>
    <mergeCell ref="A53:K53"/>
    <mergeCell ref="A40:E40"/>
    <mergeCell ref="G40:K40"/>
    <mergeCell ref="A38:E38"/>
    <mergeCell ref="G38:K38"/>
    <mergeCell ref="A54:K54"/>
    <mergeCell ref="A55:K55"/>
    <mergeCell ref="A56:K56"/>
    <mergeCell ref="G58:K58"/>
    <mergeCell ref="G57:K57"/>
    <mergeCell ref="G50:K50"/>
    <mergeCell ref="B47:F47"/>
    <mergeCell ref="A57:E57"/>
    <mergeCell ref="A58:E58"/>
    <mergeCell ref="B50:F50"/>
  </mergeCells>
  <phoneticPr fontId="2" type="noConversion"/>
  <pageMargins left="0.62992125984251968" right="0.51181102362204722" top="0.6692913385826772" bottom="0.74803149606299213" header="0.51181102362204722" footer="0.51181102362204722"/>
  <pageSetup scale="8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P448"/>
  <sheetViews>
    <sheetView zoomScaleNormal="100" zoomScaleSheetLayoutView="80" workbookViewId="0"/>
  </sheetViews>
  <sheetFormatPr defaultColWidth="9.140625" defaultRowHeight="12.75" x14ac:dyDescent="0.2"/>
  <cols>
    <col min="1" max="1" width="3.28515625" style="2" customWidth="1"/>
    <col min="2" max="10" width="9.140625" style="2"/>
    <col min="11" max="11" width="9.7109375" style="2" customWidth="1"/>
    <col min="12" max="12" width="9.140625" style="2"/>
    <col min="13" max="42" width="9.140625" style="120"/>
    <col min="43" max="16384" width="9.140625" style="2"/>
  </cols>
  <sheetData>
    <row r="1" spans="1:12" x14ac:dyDescent="0.2">
      <c r="A1" s="27"/>
      <c r="B1" s="27"/>
      <c r="C1" s="27"/>
      <c r="D1" s="27"/>
      <c r="E1" s="27"/>
      <c r="F1" s="27"/>
      <c r="G1" s="27"/>
      <c r="H1" s="27"/>
      <c r="I1" s="27"/>
      <c r="J1" s="27"/>
      <c r="K1" s="27"/>
      <c r="L1" s="120"/>
    </row>
    <row r="2" spans="1:12" x14ac:dyDescent="0.2">
      <c r="A2" s="27"/>
      <c r="B2" s="27"/>
      <c r="C2" s="27"/>
      <c r="D2" s="27"/>
      <c r="E2" s="27"/>
      <c r="F2" s="27"/>
      <c r="G2" s="27"/>
      <c r="H2" s="27"/>
      <c r="I2" s="27"/>
      <c r="J2" s="27"/>
      <c r="K2" s="27"/>
      <c r="L2" s="120"/>
    </row>
    <row r="3" spans="1:12" x14ac:dyDescent="0.2">
      <c r="A3" s="27"/>
      <c r="B3" s="27"/>
      <c r="C3" s="27"/>
      <c r="D3" s="27"/>
      <c r="E3" s="27"/>
      <c r="F3" s="27"/>
      <c r="G3" s="27"/>
      <c r="H3" s="27"/>
      <c r="I3" s="27"/>
      <c r="J3" s="27"/>
      <c r="K3" s="27"/>
      <c r="L3" s="120"/>
    </row>
    <row r="4" spans="1:12" x14ac:dyDescent="0.2">
      <c r="A4" s="27"/>
      <c r="B4" s="27"/>
      <c r="C4" s="27"/>
      <c r="D4" s="27"/>
      <c r="E4" s="27"/>
      <c r="F4" s="27"/>
      <c r="G4" s="27"/>
      <c r="H4" s="27"/>
      <c r="I4" s="27"/>
      <c r="J4" s="27"/>
      <c r="K4" s="27"/>
      <c r="L4" s="120"/>
    </row>
    <row r="5" spans="1:12" ht="13.5" thickBot="1" x14ac:dyDescent="0.25">
      <c r="A5" s="28"/>
      <c r="B5" s="28"/>
      <c r="C5" s="28"/>
      <c r="D5" s="28"/>
      <c r="E5" s="28"/>
      <c r="F5" s="28"/>
      <c r="G5" s="28"/>
      <c r="H5" s="28"/>
      <c r="I5" s="28"/>
      <c r="J5" s="28"/>
      <c r="K5" s="28"/>
      <c r="L5" s="120"/>
    </row>
    <row r="6" spans="1:12" x14ac:dyDescent="0.2">
      <c r="A6" s="29"/>
      <c r="B6" s="29"/>
      <c r="C6" s="29"/>
      <c r="D6" s="29"/>
      <c r="E6" s="29"/>
      <c r="F6" s="29"/>
      <c r="G6" s="29"/>
      <c r="H6" s="29"/>
      <c r="I6" s="29"/>
      <c r="J6" s="29"/>
      <c r="K6" s="29"/>
      <c r="L6" s="120"/>
    </row>
    <row r="7" spans="1:12" x14ac:dyDescent="0.2">
      <c r="A7" s="27"/>
      <c r="B7" s="27"/>
      <c r="C7" s="27"/>
      <c r="D7" s="27"/>
      <c r="E7" s="27"/>
      <c r="F7" s="27"/>
      <c r="G7" s="27"/>
      <c r="H7" s="27"/>
      <c r="I7" s="27"/>
      <c r="J7" s="27"/>
      <c r="K7" s="27"/>
      <c r="L7" s="120"/>
    </row>
    <row r="8" spans="1:12" x14ac:dyDescent="0.2">
      <c r="A8" s="27"/>
      <c r="B8" s="27"/>
      <c r="C8" s="27"/>
      <c r="D8" s="27"/>
      <c r="E8" s="27"/>
      <c r="F8" s="27"/>
      <c r="G8" s="27"/>
      <c r="H8" s="27"/>
      <c r="I8" s="27"/>
      <c r="J8" s="27"/>
      <c r="K8" s="27"/>
      <c r="L8" s="120"/>
    </row>
    <row r="9" spans="1:12" x14ac:dyDescent="0.2">
      <c r="A9" s="27"/>
      <c r="B9" s="27"/>
      <c r="C9" s="27"/>
      <c r="D9" s="27"/>
      <c r="E9" s="27"/>
      <c r="F9" s="27"/>
      <c r="G9" s="27"/>
      <c r="H9" s="27"/>
      <c r="I9" s="27"/>
      <c r="J9" s="27"/>
      <c r="K9" s="27"/>
      <c r="L9" s="120"/>
    </row>
    <row r="10" spans="1:12" ht="19.5" customHeight="1" x14ac:dyDescent="0.2">
      <c r="A10" s="610" t="s">
        <v>332</v>
      </c>
      <c r="B10" s="610"/>
      <c r="C10" s="610"/>
      <c r="D10" s="610"/>
      <c r="E10" s="610"/>
      <c r="F10" s="610"/>
      <c r="G10" s="610"/>
      <c r="H10" s="610"/>
      <c r="I10" s="610"/>
      <c r="J10" s="610"/>
      <c r="K10" s="610"/>
      <c r="L10" s="120"/>
    </row>
    <row r="11" spans="1:12" x14ac:dyDescent="0.2">
      <c r="A11" s="27"/>
      <c r="B11" s="27"/>
      <c r="C11" s="27"/>
      <c r="D11" s="27"/>
      <c r="E11" s="27"/>
      <c r="F11" s="27"/>
      <c r="G11" s="27"/>
      <c r="H11" s="27"/>
      <c r="I11" s="27"/>
      <c r="J11" s="27"/>
      <c r="K11" s="27"/>
      <c r="L11" s="120"/>
    </row>
    <row r="12" spans="1:12" x14ac:dyDescent="0.2">
      <c r="A12" s="27"/>
      <c r="B12" s="27"/>
      <c r="C12" s="27"/>
      <c r="D12" s="27"/>
      <c r="E12" s="27"/>
      <c r="F12" s="27"/>
      <c r="G12" s="27"/>
      <c r="H12" s="27"/>
      <c r="I12" s="27"/>
      <c r="J12" s="27"/>
      <c r="K12" s="27"/>
      <c r="L12" s="120"/>
    </row>
    <row r="13" spans="1:12" x14ac:dyDescent="0.2">
      <c r="A13" s="612" t="str">
        <f>CONCATENATE('Dane personalne'!D11," ",'Dane personalne'!D12)</f>
        <v xml:space="preserve"> </v>
      </c>
      <c r="B13" s="613"/>
      <c r="C13" s="613"/>
      <c r="D13" s="613"/>
      <c r="E13" s="614"/>
      <c r="F13" s="30"/>
      <c r="G13" s="30"/>
      <c r="H13" s="30"/>
      <c r="I13" s="30"/>
      <c r="J13" s="27"/>
      <c r="K13" s="27"/>
      <c r="L13" s="120"/>
    </row>
    <row r="14" spans="1:12" x14ac:dyDescent="0.2">
      <c r="A14" s="596" t="s">
        <v>358</v>
      </c>
      <c r="B14" s="596"/>
      <c r="C14" s="596"/>
      <c r="D14" s="596"/>
      <c r="E14" s="596"/>
      <c r="F14" s="31"/>
      <c r="G14" s="31"/>
      <c r="H14" s="31"/>
      <c r="I14" s="31"/>
      <c r="J14" s="27"/>
      <c r="K14" s="27"/>
      <c r="L14" s="120"/>
    </row>
    <row r="15" spans="1:12" x14ac:dyDescent="0.2">
      <c r="A15" s="27"/>
      <c r="B15" s="27"/>
      <c r="C15" s="27"/>
      <c r="D15" s="27"/>
      <c r="E15" s="27"/>
      <c r="F15" s="27"/>
      <c r="G15" s="27"/>
      <c r="H15" s="27"/>
      <c r="I15" s="27"/>
      <c r="J15" s="27"/>
      <c r="K15" s="27"/>
      <c r="L15" s="120"/>
    </row>
    <row r="16" spans="1:12" x14ac:dyDescent="0.2">
      <c r="A16" s="27"/>
      <c r="B16" s="27"/>
      <c r="C16" s="27"/>
      <c r="D16" s="27"/>
      <c r="E16" s="27"/>
      <c r="F16" s="27"/>
      <c r="G16" s="27"/>
      <c r="H16" s="27"/>
      <c r="I16" s="27"/>
      <c r="J16" s="27"/>
      <c r="K16" s="27"/>
      <c r="L16" s="120"/>
    </row>
    <row r="17" spans="1:13" x14ac:dyDescent="0.2">
      <c r="A17" s="27"/>
      <c r="B17" s="27"/>
      <c r="C17" s="27"/>
      <c r="D17" s="27"/>
      <c r="E17" s="27"/>
      <c r="F17" s="27"/>
      <c r="G17" s="27"/>
      <c r="H17" s="27"/>
      <c r="I17" s="27"/>
      <c r="J17" s="27"/>
      <c r="K17" s="27"/>
      <c r="L17" s="120"/>
    </row>
    <row r="18" spans="1:13" x14ac:dyDescent="0.2">
      <c r="A18" s="27"/>
      <c r="B18" s="27"/>
      <c r="C18" s="27"/>
      <c r="D18" s="27"/>
      <c r="E18" s="27"/>
      <c r="F18" s="27"/>
      <c r="G18" s="27"/>
      <c r="H18" s="27"/>
      <c r="I18" s="27"/>
      <c r="J18" s="27"/>
      <c r="K18" s="27"/>
      <c r="L18" s="120"/>
    </row>
    <row r="19" spans="1:13" ht="19.5" customHeight="1" x14ac:dyDescent="0.2">
      <c r="A19" s="2" t="s">
        <v>359</v>
      </c>
      <c r="B19" s="205"/>
      <c r="C19" s="205"/>
      <c r="D19" s="205"/>
      <c r="E19" s="205"/>
      <c r="F19" s="205"/>
      <c r="G19" s="205"/>
      <c r="H19" s="205"/>
      <c r="I19" s="205"/>
      <c r="J19" s="205"/>
      <c r="K19" s="205"/>
      <c r="L19" s="120"/>
    </row>
    <row r="20" spans="1:13" ht="19.5" customHeight="1" x14ac:dyDescent="0.2">
      <c r="A20" s="611" t="s">
        <v>584</v>
      </c>
      <c r="B20" s="611"/>
      <c r="C20" s="611"/>
      <c r="D20" s="611"/>
      <c r="E20" s="611"/>
      <c r="F20" s="611"/>
      <c r="G20" s="611"/>
      <c r="H20" s="611"/>
      <c r="I20" s="611"/>
      <c r="J20" s="611"/>
      <c r="K20" s="611"/>
      <c r="L20" s="120"/>
    </row>
    <row r="21" spans="1:13" ht="18.75" customHeight="1" x14ac:dyDescent="0.2">
      <c r="A21" s="611" t="s">
        <v>360</v>
      </c>
      <c r="B21" s="611"/>
      <c r="C21" s="611"/>
      <c r="D21" s="611"/>
      <c r="E21" s="611"/>
      <c r="F21" s="611"/>
      <c r="G21" s="611"/>
      <c r="H21" s="611"/>
      <c r="I21" s="611"/>
      <c r="J21" s="611"/>
      <c r="K21" s="611"/>
      <c r="L21" s="120"/>
    </row>
    <row r="22" spans="1:13" ht="18.75" customHeight="1" x14ac:dyDescent="0.2">
      <c r="A22" s="611" t="s">
        <v>361</v>
      </c>
      <c r="B22" s="611"/>
      <c r="C22" s="611"/>
      <c r="D22" s="611"/>
      <c r="E22" s="611"/>
      <c r="F22" s="611"/>
      <c r="G22" s="611"/>
      <c r="H22" s="611"/>
      <c r="I22" s="611"/>
      <c r="J22" s="611"/>
      <c r="K22" s="611"/>
      <c r="L22" s="120"/>
    </row>
    <row r="23" spans="1:13" x14ac:dyDescent="0.2">
      <c r="A23" s="606" t="s">
        <v>392</v>
      </c>
      <c r="B23" s="607"/>
      <c r="C23" s="607"/>
      <c r="D23" s="607"/>
      <c r="E23" s="607"/>
      <c r="F23" s="607"/>
      <c r="G23" s="607"/>
      <c r="H23" s="607"/>
      <c r="I23" s="607"/>
      <c r="J23" s="607"/>
      <c r="K23" s="608"/>
      <c r="L23" s="120"/>
    </row>
    <row r="24" spans="1:13" x14ac:dyDescent="0.2">
      <c r="A24" s="606" t="s">
        <v>583</v>
      </c>
      <c r="B24" s="607"/>
      <c r="C24" s="607"/>
      <c r="D24" s="607"/>
      <c r="E24" s="607"/>
      <c r="F24" s="607"/>
      <c r="G24" s="607"/>
      <c r="H24" s="607"/>
      <c r="I24" s="607"/>
      <c r="J24" s="607"/>
      <c r="K24" s="608"/>
      <c r="L24" s="120"/>
    </row>
    <row r="25" spans="1:13" x14ac:dyDescent="0.2">
      <c r="A25" s="606" t="s">
        <v>362</v>
      </c>
      <c r="B25" s="607"/>
      <c r="C25" s="607"/>
      <c r="D25" s="607"/>
      <c r="E25" s="607"/>
      <c r="F25" s="607"/>
      <c r="G25" s="607"/>
      <c r="H25" s="607"/>
      <c r="I25" s="607"/>
      <c r="J25" s="607"/>
      <c r="K25" s="608"/>
      <c r="L25" s="120"/>
    </row>
    <row r="26" spans="1:13" x14ac:dyDescent="0.2">
      <c r="A26" s="606"/>
      <c r="B26" s="607"/>
      <c r="C26" s="607"/>
      <c r="D26" s="607"/>
      <c r="E26" s="607"/>
      <c r="F26" s="607"/>
      <c r="G26" s="607"/>
      <c r="H26" s="607"/>
      <c r="I26" s="607"/>
      <c r="J26" s="607"/>
      <c r="K26" s="608"/>
      <c r="L26" s="120"/>
    </row>
    <row r="27" spans="1:13" x14ac:dyDescent="0.2">
      <c r="A27" s="606" t="s">
        <v>365</v>
      </c>
      <c r="B27" s="607"/>
      <c r="C27" s="607"/>
      <c r="D27" s="607"/>
      <c r="E27" s="607"/>
      <c r="F27" s="607"/>
      <c r="G27" s="607"/>
      <c r="H27" s="607"/>
      <c r="I27" s="607"/>
      <c r="J27" s="607"/>
      <c r="K27" s="608"/>
      <c r="L27" s="120"/>
    </row>
    <row r="28" spans="1:13" x14ac:dyDescent="0.2">
      <c r="A28" s="606" t="s">
        <v>364</v>
      </c>
      <c r="B28" s="607"/>
      <c r="C28" s="607"/>
      <c r="D28" s="607"/>
      <c r="E28" s="607"/>
      <c r="F28" s="607"/>
      <c r="G28" s="607"/>
      <c r="H28" s="607"/>
      <c r="I28" s="607"/>
      <c r="J28" s="607"/>
      <c r="K28" s="608"/>
      <c r="L28" s="120"/>
      <c r="M28" s="120" t="s">
        <v>363</v>
      </c>
    </row>
    <row r="29" spans="1:13" x14ac:dyDescent="0.2">
      <c r="A29" s="606"/>
      <c r="B29" s="607"/>
      <c r="C29" s="607"/>
      <c r="D29" s="607"/>
      <c r="E29" s="607"/>
      <c r="F29" s="607"/>
      <c r="G29" s="607"/>
      <c r="H29" s="607"/>
      <c r="I29" s="607"/>
      <c r="J29" s="607"/>
      <c r="K29" s="608"/>
      <c r="L29" s="120"/>
    </row>
    <row r="30" spans="1:13" x14ac:dyDescent="0.2">
      <c r="A30" s="27"/>
      <c r="B30" s="27"/>
      <c r="C30" s="27"/>
      <c r="D30" s="27"/>
      <c r="E30" s="27"/>
      <c r="F30" s="27"/>
      <c r="G30" s="27"/>
      <c r="H30" s="27"/>
      <c r="I30" s="27"/>
      <c r="J30" s="27"/>
      <c r="K30" s="27"/>
      <c r="L30" s="120"/>
    </row>
    <row r="31" spans="1:13" x14ac:dyDescent="0.2">
      <c r="A31" s="27"/>
      <c r="B31" s="27"/>
      <c r="C31" s="27"/>
      <c r="D31" s="27"/>
      <c r="E31" s="27"/>
      <c r="F31" s="27"/>
      <c r="G31" s="27"/>
      <c r="H31" s="27"/>
      <c r="I31" s="27"/>
      <c r="J31" s="27"/>
      <c r="K31" s="27"/>
      <c r="L31" s="120"/>
    </row>
    <row r="32" spans="1:13" x14ac:dyDescent="0.2">
      <c r="A32" s="466" t="str">
        <f>'Dane personalne'!$D$94&amp;""</f>
        <v/>
      </c>
      <c r="B32" s="466"/>
      <c r="C32" s="466" t="str">
        <f>'Dane personalne'!$F$94</f>
        <v/>
      </c>
      <c r="D32" s="466"/>
      <c r="E32" s="255"/>
      <c r="F32" s="27"/>
      <c r="G32" s="602"/>
      <c r="H32" s="602"/>
      <c r="I32" s="602"/>
      <c r="J32" s="602"/>
      <c r="K32" s="602"/>
      <c r="L32" s="120"/>
    </row>
    <row r="33" spans="1:12" x14ac:dyDescent="0.2">
      <c r="A33" s="600" t="s">
        <v>355</v>
      </c>
      <c r="B33" s="600"/>
      <c r="C33" s="600"/>
      <c r="D33" s="600"/>
      <c r="E33" s="600"/>
      <c r="F33" s="27"/>
      <c r="G33" s="600" t="s">
        <v>351</v>
      </c>
      <c r="H33" s="600"/>
      <c r="I33" s="600"/>
      <c r="J33" s="600"/>
      <c r="K33" s="600"/>
      <c r="L33" s="120"/>
    </row>
    <row r="34" spans="1:12" x14ac:dyDescent="0.2">
      <c r="A34" s="606"/>
      <c r="B34" s="607"/>
      <c r="C34" s="607"/>
      <c r="D34" s="607"/>
      <c r="E34" s="607"/>
      <c r="F34" s="607"/>
      <c r="G34" s="607"/>
      <c r="H34" s="607"/>
      <c r="I34" s="607"/>
      <c r="J34" s="607"/>
      <c r="K34" s="608"/>
      <c r="L34" s="120"/>
    </row>
    <row r="35" spans="1:12" x14ac:dyDescent="0.2">
      <c r="A35" s="606" t="s">
        <v>425</v>
      </c>
      <c r="B35" s="607"/>
      <c r="C35" s="607"/>
      <c r="D35" s="607"/>
      <c r="E35" s="607"/>
      <c r="F35" s="607"/>
      <c r="G35" s="607"/>
      <c r="H35" s="607"/>
      <c r="I35" s="607"/>
      <c r="J35" s="607"/>
      <c r="K35" s="608"/>
      <c r="L35" s="120"/>
    </row>
    <row r="36" spans="1:12" x14ac:dyDescent="0.2">
      <c r="A36" s="606" t="s">
        <v>367</v>
      </c>
      <c r="B36" s="607"/>
      <c r="C36" s="607"/>
      <c r="D36" s="607"/>
      <c r="E36" s="607"/>
      <c r="F36" s="607"/>
      <c r="G36" s="607"/>
      <c r="H36" s="607"/>
      <c r="I36" s="607"/>
      <c r="J36" s="607"/>
      <c r="K36" s="608"/>
      <c r="L36" s="120"/>
    </row>
    <row r="37" spans="1:12" x14ac:dyDescent="0.2">
      <c r="A37" s="606" t="s">
        <v>366</v>
      </c>
      <c r="B37" s="607"/>
      <c r="C37" s="607"/>
      <c r="D37" s="607"/>
      <c r="E37" s="607"/>
      <c r="F37" s="607"/>
      <c r="G37" s="607"/>
      <c r="H37" s="607"/>
      <c r="I37" s="607"/>
      <c r="J37" s="607"/>
      <c r="K37" s="608"/>
      <c r="L37" s="120"/>
    </row>
    <row r="38" spans="1:12" x14ac:dyDescent="0.2">
      <c r="A38" s="601"/>
      <c r="B38" s="601"/>
      <c r="C38" s="601"/>
      <c r="D38" s="601"/>
      <c r="E38" s="601"/>
      <c r="F38" s="27"/>
      <c r="G38" s="602"/>
      <c r="H38" s="602"/>
      <c r="I38" s="602"/>
      <c r="J38" s="602"/>
      <c r="K38" s="602"/>
      <c r="L38" s="120"/>
    </row>
    <row r="39" spans="1:12" x14ac:dyDescent="0.2">
      <c r="A39" s="466" t="str">
        <f>'Dane personalne'!$D$94&amp;""</f>
        <v/>
      </c>
      <c r="B39" s="466"/>
      <c r="C39" s="466" t="str">
        <f>'Dane personalne'!$F$94</f>
        <v/>
      </c>
      <c r="D39" s="466"/>
      <c r="E39" s="255"/>
      <c r="F39" s="27"/>
      <c r="G39" s="602"/>
      <c r="H39" s="602"/>
      <c r="I39" s="602"/>
      <c r="J39" s="602"/>
      <c r="K39" s="602"/>
      <c r="L39" s="120"/>
    </row>
    <row r="40" spans="1:12" x14ac:dyDescent="0.2">
      <c r="A40" s="600" t="s">
        <v>350</v>
      </c>
      <c r="B40" s="600"/>
      <c r="C40" s="600"/>
      <c r="D40" s="600"/>
      <c r="E40" s="600"/>
      <c r="F40" s="27"/>
      <c r="G40" s="600" t="s">
        <v>351</v>
      </c>
      <c r="H40" s="600"/>
      <c r="I40" s="600"/>
      <c r="J40" s="600"/>
      <c r="K40" s="600"/>
      <c r="L40" s="120"/>
    </row>
    <row r="41" spans="1:12" x14ac:dyDescent="0.2">
      <c r="A41" s="606"/>
      <c r="B41" s="607"/>
      <c r="C41" s="607"/>
      <c r="D41" s="607"/>
      <c r="E41" s="607"/>
      <c r="F41" s="607"/>
      <c r="G41" s="607"/>
      <c r="H41" s="607"/>
      <c r="I41" s="607"/>
      <c r="J41" s="607"/>
      <c r="K41" s="608"/>
      <c r="L41" s="120"/>
    </row>
    <row r="42" spans="1:12" x14ac:dyDescent="0.2">
      <c r="A42" s="606"/>
      <c r="B42" s="607"/>
      <c r="C42" s="607"/>
      <c r="D42" s="607"/>
      <c r="E42" s="607"/>
      <c r="F42" s="607"/>
      <c r="G42" s="607"/>
      <c r="H42" s="607"/>
      <c r="I42" s="607"/>
      <c r="J42" s="607"/>
      <c r="K42" s="608"/>
      <c r="L42" s="120"/>
    </row>
    <row r="43" spans="1:12" x14ac:dyDescent="0.2">
      <c r="A43" s="606"/>
      <c r="B43" s="607"/>
      <c r="C43" s="607"/>
      <c r="D43" s="607"/>
      <c r="E43" s="607"/>
      <c r="F43" s="607"/>
      <c r="G43" s="607"/>
      <c r="H43" s="607"/>
      <c r="I43" s="607"/>
      <c r="J43" s="607"/>
      <c r="K43" s="608"/>
      <c r="L43" s="120"/>
    </row>
    <row r="44" spans="1:12" ht="18.75" customHeight="1" x14ac:dyDescent="0.2">
      <c r="A44" s="27" t="s">
        <v>585</v>
      </c>
      <c r="B44" s="27"/>
      <c r="C44" s="27"/>
      <c r="D44" s="27"/>
      <c r="E44" s="27"/>
      <c r="F44" s="27"/>
      <c r="G44" s="27"/>
      <c r="H44" s="27"/>
      <c r="I44" s="27"/>
      <c r="J44" s="27"/>
      <c r="K44" s="27"/>
      <c r="L44" s="120"/>
    </row>
    <row r="45" spans="1:12" x14ac:dyDescent="0.2">
      <c r="A45" s="28"/>
      <c r="B45" s="28"/>
      <c r="C45" s="28"/>
      <c r="D45" s="28"/>
      <c r="E45" s="28"/>
      <c r="F45" s="28"/>
      <c r="G45" s="28"/>
      <c r="H45" s="28"/>
      <c r="I45" s="28"/>
      <c r="J45" s="28"/>
      <c r="K45" s="28"/>
      <c r="L45" s="120"/>
    </row>
    <row r="46" spans="1:12" ht="24.75" customHeight="1" x14ac:dyDescent="0.2">
      <c r="A46" s="33" t="s">
        <v>47</v>
      </c>
      <c r="B46" s="609" t="s">
        <v>394</v>
      </c>
      <c r="C46" s="609"/>
      <c r="D46" s="609"/>
      <c r="E46" s="609"/>
      <c r="F46" s="609"/>
      <c r="G46" s="609" t="s">
        <v>393</v>
      </c>
      <c r="H46" s="609"/>
      <c r="I46" s="609"/>
      <c r="J46" s="609"/>
      <c r="K46" s="609"/>
      <c r="L46" s="120"/>
    </row>
    <row r="47" spans="1:12" ht="24.75" customHeight="1" x14ac:dyDescent="0.2">
      <c r="A47" s="34">
        <v>1</v>
      </c>
      <c r="B47" s="603" t="str">
        <f>IF('Dane personalne'!D71="","",'Dane personalne'!D71)</f>
        <v/>
      </c>
      <c r="C47" s="604"/>
      <c r="D47" s="604"/>
      <c r="E47" s="604"/>
      <c r="F47" s="604"/>
      <c r="G47" s="603" t="str">
        <f>IF('Dane personalne'!F71="","",'Dane personalne'!F71)</f>
        <v/>
      </c>
      <c r="H47" s="604"/>
      <c r="I47" s="604"/>
      <c r="J47" s="604"/>
      <c r="K47" s="604"/>
      <c r="L47" s="120"/>
    </row>
    <row r="48" spans="1:12" ht="25.5" customHeight="1" x14ac:dyDescent="0.2">
      <c r="A48" s="34">
        <v>2</v>
      </c>
      <c r="B48" s="603" t="str">
        <f>IF('Dane personalne'!D72="","",'Dane personalne'!D72)</f>
        <v/>
      </c>
      <c r="C48" s="604"/>
      <c r="D48" s="604"/>
      <c r="E48" s="604"/>
      <c r="F48" s="604"/>
      <c r="G48" s="603" t="str">
        <f>IF('Dane personalne'!F72="","",'Dane personalne'!F72)</f>
        <v/>
      </c>
      <c r="H48" s="604"/>
      <c r="I48" s="604"/>
      <c r="J48" s="604"/>
      <c r="K48" s="604"/>
      <c r="L48" s="120"/>
    </row>
    <row r="49" spans="1:15" ht="24.75" customHeight="1" x14ac:dyDescent="0.2">
      <c r="A49" s="34">
        <v>3</v>
      </c>
      <c r="B49" s="603" t="str">
        <f>IF('Dane personalne'!D73="","",'Dane personalne'!D73)</f>
        <v/>
      </c>
      <c r="C49" s="604"/>
      <c r="D49" s="604"/>
      <c r="E49" s="604"/>
      <c r="F49" s="604"/>
      <c r="G49" s="603" t="str">
        <f>IF('Dane personalne'!F73="","",'Dane personalne'!F73)</f>
        <v/>
      </c>
      <c r="H49" s="604"/>
      <c r="I49" s="604"/>
      <c r="J49" s="604"/>
      <c r="K49" s="604"/>
      <c r="L49" s="120"/>
    </row>
    <row r="50" spans="1:15" ht="24.75" customHeight="1" x14ac:dyDescent="0.2">
      <c r="A50" s="34">
        <v>4</v>
      </c>
      <c r="B50" s="603" t="str">
        <f>IF('Dane personalne'!D74="","",'Dane personalne'!D74)</f>
        <v/>
      </c>
      <c r="C50" s="604"/>
      <c r="D50" s="604"/>
      <c r="E50" s="604"/>
      <c r="F50" s="604"/>
      <c r="G50" s="603" t="str">
        <f>IF('Dane personalne'!F74="","",'Dane personalne'!F74)</f>
        <v/>
      </c>
      <c r="H50" s="604"/>
      <c r="I50" s="604"/>
      <c r="J50" s="604"/>
      <c r="K50" s="604"/>
      <c r="L50" s="120"/>
    </row>
    <row r="51" spans="1:15" x14ac:dyDescent="0.2">
      <c r="A51" s="35"/>
      <c r="B51" s="35"/>
      <c r="C51" s="35"/>
      <c r="D51" s="35"/>
      <c r="E51" s="35"/>
      <c r="F51" s="35"/>
      <c r="G51" s="35"/>
      <c r="H51" s="35"/>
      <c r="I51" s="35"/>
      <c r="J51" s="35"/>
      <c r="K51" s="35"/>
      <c r="L51" s="120"/>
    </row>
    <row r="52" spans="1:15" x14ac:dyDescent="0.2">
      <c r="A52" s="597" t="s">
        <v>368</v>
      </c>
      <c r="B52" s="598"/>
      <c r="C52" s="598"/>
      <c r="D52" s="598"/>
      <c r="E52" s="598"/>
      <c r="F52" s="598"/>
      <c r="G52" s="598"/>
      <c r="H52" s="598"/>
      <c r="I52" s="598"/>
      <c r="J52" s="598"/>
      <c r="K52" s="599"/>
      <c r="L52" s="120"/>
    </row>
    <row r="53" spans="1:15" x14ac:dyDescent="0.2">
      <c r="A53" s="597" t="s">
        <v>581</v>
      </c>
      <c r="B53" s="598"/>
      <c r="C53" s="598"/>
      <c r="D53" s="598"/>
      <c r="E53" s="598"/>
      <c r="F53" s="598"/>
      <c r="G53" s="598"/>
      <c r="H53" s="598"/>
      <c r="I53" s="598"/>
      <c r="J53" s="598"/>
      <c r="K53" s="599"/>
    </row>
    <row r="54" spans="1:15" x14ac:dyDescent="0.2">
      <c r="A54" s="597" t="s">
        <v>426</v>
      </c>
      <c r="B54" s="598"/>
      <c r="C54" s="598"/>
      <c r="D54" s="598"/>
      <c r="E54" s="598"/>
      <c r="F54" s="598"/>
      <c r="G54" s="598"/>
      <c r="H54" s="598"/>
      <c r="I54" s="598"/>
      <c r="J54" s="598"/>
      <c r="K54" s="599"/>
      <c r="L54" s="120"/>
    </row>
    <row r="55" spans="1:15" x14ac:dyDescent="0.2">
      <c r="A55" s="597" t="s">
        <v>582</v>
      </c>
      <c r="B55" s="598"/>
      <c r="C55" s="598"/>
      <c r="D55" s="598"/>
      <c r="E55" s="598"/>
      <c r="F55" s="598"/>
      <c r="G55" s="598"/>
      <c r="H55" s="598"/>
      <c r="I55" s="598"/>
      <c r="J55" s="598"/>
      <c r="K55" s="599"/>
      <c r="L55" s="120"/>
    </row>
    <row r="56" spans="1:15" x14ac:dyDescent="0.2">
      <c r="A56" s="597"/>
      <c r="B56" s="598"/>
      <c r="C56" s="598"/>
      <c r="D56" s="598"/>
      <c r="E56" s="598"/>
      <c r="F56" s="598"/>
      <c r="G56" s="598"/>
      <c r="H56" s="598"/>
      <c r="I56" s="598"/>
      <c r="J56" s="598"/>
      <c r="K56" s="599"/>
      <c r="L56" s="120"/>
    </row>
    <row r="57" spans="1:15" x14ac:dyDescent="0.2">
      <c r="A57" s="605" t="str">
        <f>'Dane personalne EN'!$D$94&amp;", "&amp;'Dane personalne EN'!$F$94</f>
        <v xml:space="preserve">, </v>
      </c>
      <c r="B57" s="605"/>
      <c r="C57" s="605"/>
      <c r="D57" s="605"/>
      <c r="E57" s="605"/>
      <c r="F57" s="27"/>
      <c r="G57" s="602"/>
      <c r="H57" s="602"/>
      <c r="I57" s="602"/>
      <c r="J57" s="602"/>
      <c r="K57" s="602"/>
      <c r="L57" s="120"/>
    </row>
    <row r="58" spans="1:15" x14ac:dyDescent="0.2">
      <c r="A58" s="600" t="s">
        <v>355</v>
      </c>
      <c r="B58" s="600"/>
      <c r="C58" s="600"/>
      <c r="D58" s="600"/>
      <c r="E58" s="600"/>
      <c r="F58" s="27"/>
      <c r="G58" s="600" t="s">
        <v>395</v>
      </c>
      <c r="H58" s="600"/>
      <c r="I58" s="600"/>
      <c r="J58" s="600"/>
      <c r="K58" s="600"/>
      <c r="L58" s="120"/>
    </row>
    <row r="59" spans="1:15" x14ac:dyDescent="0.2">
      <c r="A59" s="27"/>
      <c r="B59" s="27"/>
      <c r="C59" s="27"/>
      <c r="D59" s="27"/>
      <c r="E59" s="27"/>
      <c r="F59" s="27"/>
      <c r="G59" s="27"/>
      <c r="H59" s="27"/>
      <c r="I59" s="27"/>
      <c r="J59" s="27"/>
      <c r="K59" s="27"/>
      <c r="L59" s="120"/>
    </row>
    <row r="60" spans="1:15" x14ac:dyDescent="0.2">
      <c r="A60" s="27"/>
      <c r="B60" s="27"/>
      <c r="C60" s="27"/>
      <c r="D60" s="27"/>
      <c r="E60" s="596"/>
      <c r="F60" s="596"/>
      <c r="G60" s="596"/>
      <c r="H60" s="596"/>
      <c r="I60" s="596"/>
      <c r="J60" s="27"/>
      <c r="K60" s="31"/>
      <c r="L60" s="134"/>
      <c r="M60" s="204"/>
      <c r="N60" s="204"/>
      <c r="O60" s="204"/>
    </row>
    <row r="61" spans="1:15" x14ac:dyDescent="0.2">
      <c r="A61" s="27"/>
      <c r="B61" s="27"/>
      <c r="C61" s="27"/>
      <c r="D61" s="27"/>
      <c r="E61" s="27"/>
      <c r="F61" s="27"/>
      <c r="G61" s="27"/>
      <c r="H61" s="27"/>
      <c r="I61" s="27"/>
      <c r="J61" s="27"/>
      <c r="K61" s="27"/>
      <c r="L61" s="120"/>
    </row>
    <row r="62" spans="1:15" x14ac:dyDescent="0.2">
      <c r="A62" s="120"/>
      <c r="B62" s="120"/>
      <c r="C62" s="120"/>
      <c r="D62" s="120"/>
      <c r="E62" s="120"/>
      <c r="F62" s="120"/>
      <c r="G62" s="120"/>
      <c r="H62" s="120"/>
      <c r="I62" s="120"/>
      <c r="J62" s="120"/>
      <c r="K62" s="120"/>
      <c r="L62" s="120"/>
    </row>
    <row r="63" spans="1:15" s="120" customFormat="1" x14ac:dyDescent="0.2"/>
    <row r="64" spans="1:15" s="120" customFormat="1" x14ac:dyDescent="0.2"/>
    <row r="65" s="120" customFormat="1" x14ac:dyDescent="0.2"/>
    <row r="66" s="120" customFormat="1" x14ac:dyDescent="0.2"/>
    <row r="67" s="120" customFormat="1" x14ac:dyDescent="0.2"/>
    <row r="68" s="120" customFormat="1" x14ac:dyDescent="0.2"/>
    <row r="69" s="120" customFormat="1" x14ac:dyDescent="0.2"/>
    <row r="70" s="120" customFormat="1" x14ac:dyDescent="0.2"/>
    <row r="71" s="120" customFormat="1" x14ac:dyDescent="0.2"/>
    <row r="72" s="120" customFormat="1" x14ac:dyDescent="0.2"/>
    <row r="73" s="120" customFormat="1" x14ac:dyDescent="0.2"/>
    <row r="74" s="120" customFormat="1" x14ac:dyDescent="0.2"/>
    <row r="75" s="120" customFormat="1" x14ac:dyDescent="0.2"/>
    <row r="76" s="120" customFormat="1" x14ac:dyDescent="0.2"/>
    <row r="77" s="120" customFormat="1" x14ac:dyDescent="0.2"/>
    <row r="78" s="120" customFormat="1" x14ac:dyDescent="0.2"/>
    <row r="79" s="120" customFormat="1" x14ac:dyDescent="0.2"/>
    <row r="80" s="120" customFormat="1" x14ac:dyDescent="0.2"/>
    <row r="81" s="120" customFormat="1" x14ac:dyDescent="0.2"/>
    <row r="82" s="120" customFormat="1" x14ac:dyDescent="0.2"/>
    <row r="83" s="120" customFormat="1" x14ac:dyDescent="0.2"/>
    <row r="84" s="120" customFormat="1" x14ac:dyDescent="0.2"/>
    <row r="85" s="120" customFormat="1" x14ac:dyDescent="0.2"/>
    <row r="86" s="120" customFormat="1" x14ac:dyDescent="0.2"/>
    <row r="87" s="120" customFormat="1" x14ac:dyDescent="0.2"/>
    <row r="88" s="120" customFormat="1" x14ac:dyDescent="0.2"/>
    <row r="89" s="120" customFormat="1" x14ac:dyDescent="0.2"/>
    <row r="90" s="120" customFormat="1" x14ac:dyDescent="0.2"/>
    <row r="91" s="120" customFormat="1" x14ac:dyDescent="0.2"/>
    <row r="92" s="120" customFormat="1" x14ac:dyDescent="0.2"/>
    <row r="93" s="120" customFormat="1" x14ac:dyDescent="0.2"/>
    <row r="94" s="120" customFormat="1" x14ac:dyDescent="0.2"/>
    <row r="95" s="120" customFormat="1" x14ac:dyDescent="0.2"/>
    <row r="96" s="120" customFormat="1" x14ac:dyDescent="0.2"/>
    <row r="97" s="120" customFormat="1" x14ac:dyDescent="0.2"/>
    <row r="98" s="120" customFormat="1" x14ac:dyDescent="0.2"/>
    <row r="99" s="120" customFormat="1" x14ac:dyDescent="0.2"/>
    <row r="100" s="120" customFormat="1" x14ac:dyDescent="0.2"/>
    <row r="101" s="120" customFormat="1" x14ac:dyDescent="0.2"/>
    <row r="102" s="120" customFormat="1" x14ac:dyDescent="0.2"/>
    <row r="103" s="120" customFormat="1" x14ac:dyDescent="0.2"/>
    <row r="104" s="120" customFormat="1" x14ac:dyDescent="0.2"/>
    <row r="105" s="120" customFormat="1" x14ac:dyDescent="0.2"/>
    <row r="106" s="120" customFormat="1" x14ac:dyDescent="0.2"/>
    <row r="107" s="120" customFormat="1" x14ac:dyDescent="0.2"/>
    <row r="108" s="120" customFormat="1" x14ac:dyDescent="0.2"/>
    <row r="109" s="120" customFormat="1" x14ac:dyDescent="0.2"/>
    <row r="110" s="120" customFormat="1" x14ac:dyDescent="0.2"/>
    <row r="111" s="120" customFormat="1" x14ac:dyDescent="0.2"/>
    <row r="112" s="120" customFormat="1" x14ac:dyDescent="0.2"/>
    <row r="113" s="120" customFormat="1" x14ac:dyDescent="0.2"/>
    <row r="114" s="120" customFormat="1" x14ac:dyDescent="0.2"/>
    <row r="115" s="120" customFormat="1" x14ac:dyDescent="0.2"/>
    <row r="116" s="120" customFormat="1" x14ac:dyDescent="0.2"/>
    <row r="117" s="120" customFormat="1" x14ac:dyDescent="0.2"/>
    <row r="118" s="120" customFormat="1" x14ac:dyDescent="0.2"/>
    <row r="119" s="120" customFormat="1" x14ac:dyDescent="0.2"/>
    <row r="120" s="120" customFormat="1" x14ac:dyDescent="0.2"/>
    <row r="121" s="120" customFormat="1" x14ac:dyDescent="0.2"/>
    <row r="122" s="120" customFormat="1" x14ac:dyDescent="0.2"/>
    <row r="123" s="120" customFormat="1" x14ac:dyDescent="0.2"/>
    <row r="124" s="120" customFormat="1" x14ac:dyDescent="0.2"/>
    <row r="125" s="120" customFormat="1" x14ac:dyDescent="0.2"/>
    <row r="126" s="120" customFormat="1" x14ac:dyDescent="0.2"/>
    <row r="127" s="120" customFormat="1" x14ac:dyDescent="0.2"/>
    <row r="128" s="120" customFormat="1" x14ac:dyDescent="0.2"/>
    <row r="129" s="120" customFormat="1" x14ac:dyDescent="0.2"/>
    <row r="130" s="120" customFormat="1" x14ac:dyDescent="0.2"/>
    <row r="131" s="120" customFormat="1" x14ac:dyDescent="0.2"/>
    <row r="132" s="120" customFormat="1" x14ac:dyDescent="0.2"/>
    <row r="133" s="120" customFormat="1" x14ac:dyDescent="0.2"/>
    <row r="134" s="120" customFormat="1" x14ac:dyDescent="0.2"/>
    <row r="135" s="120" customFormat="1" x14ac:dyDescent="0.2"/>
    <row r="136" s="120" customFormat="1" x14ac:dyDescent="0.2"/>
    <row r="137" s="120" customFormat="1" x14ac:dyDescent="0.2"/>
    <row r="138" s="120" customFormat="1" x14ac:dyDescent="0.2"/>
    <row r="139" s="120" customFormat="1" x14ac:dyDescent="0.2"/>
    <row r="140" s="120" customFormat="1" x14ac:dyDescent="0.2"/>
    <row r="141" s="120" customFormat="1" x14ac:dyDescent="0.2"/>
    <row r="142" s="120" customFormat="1" x14ac:dyDescent="0.2"/>
    <row r="143" s="120" customFormat="1" x14ac:dyDescent="0.2"/>
    <row r="144" s="120" customFormat="1" x14ac:dyDescent="0.2"/>
    <row r="145" s="120" customFormat="1" x14ac:dyDescent="0.2"/>
    <row r="146" s="120" customFormat="1" x14ac:dyDescent="0.2"/>
    <row r="147" s="120" customFormat="1" x14ac:dyDescent="0.2"/>
    <row r="148" s="120" customFormat="1" x14ac:dyDescent="0.2"/>
    <row r="149" s="120" customFormat="1" x14ac:dyDescent="0.2"/>
    <row r="150" s="120" customFormat="1" x14ac:dyDescent="0.2"/>
    <row r="151" s="120" customFormat="1" x14ac:dyDescent="0.2"/>
    <row r="152" s="120" customFormat="1" x14ac:dyDescent="0.2"/>
    <row r="153" s="120" customFormat="1" x14ac:dyDescent="0.2"/>
    <row r="154" s="120" customFormat="1" x14ac:dyDescent="0.2"/>
    <row r="155" s="120" customFormat="1" x14ac:dyDescent="0.2"/>
    <row r="156" s="120" customFormat="1" x14ac:dyDescent="0.2"/>
    <row r="157" s="120" customFormat="1" x14ac:dyDescent="0.2"/>
    <row r="158" s="120" customFormat="1" x14ac:dyDescent="0.2"/>
    <row r="159" s="120" customFormat="1" x14ac:dyDescent="0.2"/>
    <row r="160" s="120" customFormat="1" x14ac:dyDescent="0.2"/>
    <row r="161" s="120" customFormat="1" x14ac:dyDescent="0.2"/>
    <row r="162" s="120" customFormat="1" x14ac:dyDescent="0.2"/>
    <row r="163" s="120" customFormat="1" x14ac:dyDescent="0.2"/>
    <row r="164" s="120" customFormat="1" x14ac:dyDescent="0.2"/>
    <row r="165" s="120" customFormat="1" x14ac:dyDescent="0.2"/>
    <row r="166" s="120" customFormat="1" x14ac:dyDescent="0.2"/>
    <row r="167" s="120" customFormat="1" x14ac:dyDescent="0.2"/>
    <row r="168" s="120" customFormat="1" x14ac:dyDescent="0.2"/>
    <row r="169" s="120" customFormat="1" x14ac:dyDescent="0.2"/>
    <row r="170" s="120" customFormat="1" x14ac:dyDescent="0.2"/>
    <row r="171" s="120" customFormat="1" x14ac:dyDescent="0.2"/>
    <row r="172" s="120" customFormat="1" x14ac:dyDescent="0.2"/>
    <row r="173" s="120" customFormat="1" x14ac:dyDescent="0.2"/>
    <row r="174" s="120" customFormat="1" x14ac:dyDescent="0.2"/>
    <row r="175" s="120" customFormat="1" x14ac:dyDescent="0.2"/>
    <row r="176" s="120" customFormat="1" x14ac:dyDescent="0.2"/>
    <row r="177" s="120" customFormat="1" x14ac:dyDescent="0.2"/>
    <row r="178" s="120" customFormat="1" x14ac:dyDescent="0.2"/>
    <row r="179" s="120" customFormat="1" x14ac:dyDescent="0.2"/>
    <row r="180" s="120" customFormat="1" x14ac:dyDescent="0.2"/>
    <row r="181" s="120" customFormat="1" x14ac:dyDescent="0.2"/>
    <row r="182" s="120" customFormat="1" x14ac:dyDescent="0.2"/>
    <row r="183" s="120" customFormat="1" x14ac:dyDescent="0.2"/>
    <row r="184" s="120" customFormat="1" x14ac:dyDescent="0.2"/>
    <row r="185" s="120" customFormat="1" x14ac:dyDescent="0.2"/>
    <row r="186" s="120" customFormat="1" x14ac:dyDescent="0.2"/>
    <row r="187" s="120" customFormat="1" x14ac:dyDescent="0.2"/>
    <row r="188" s="120" customFormat="1" x14ac:dyDescent="0.2"/>
    <row r="189" s="120" customFormat="1" x14ac:dyDescent="0.2"/>
    <row r="190" s="120" customFormat="1" x14ac:dyDescent="0.2"/>
    <row r="191" s="120" customFormat="1" x14ac:dyDescent="0.2"/>
    <row r="192" s="120" customFormat="1" x14ac:dyDescent="0.2"/>
    <row r="193" s="120" customFormat="1" x14ac:dyDescent="0.2"/>
    <row r="194" s="120" customFormat="1" x14ac:dyDescent="0.2"/>
    <row r="195" s="120" customFormat="1" x14ac:dyDescent="0.2"/>
    <row r="196" s="120" customFormat="1" x14ac:dyDescent="0.2"/>
    <row r="197" s="120" customFormat="1" x14ac:dyDescent="0.2"/>
    <row r="198" s="120" customFormat="1" x14ac:dyDescent="0.2"/>
    <row r="199" s="120" customFormat="1" x14ac:dyDescent="0.2"/>
    <row r="200" s="120" customFormat="1" x14ac:dyDescent="0.2"/>
    <row r="201" s="120" customFormat="1" x14ac:dyDescent="0.2"/>
    <row r="202" s="120" customFormat="1" x14ac:dyDescent="0.2"/>
    <row r="203" s="120" customFormat="1" x14ac:dyDescent="0.2"/>
    <row r="204" s="120" customFormat="1" x14ac:dyDescent="0.2"/>
    <row r="205" s="120" customFormat="1" x14ac:dyDescent="0.2"/>
    <row r="206" s="120" customFormat="1" x14ac:dyDescent="0.2"/>
    <row r="207" s="120" customFormat="1" x14ac:dyDescent="0.2"/>
    <row r="208" s="120" customFormat="1" x14ac:dyDescent="0.2"/>
    <row r="209" s="120" customFormat="1" x14ac:dyDescent="0.2"/>
    <row r="210" s="120" customFormat="1" x14ac:dyDescent="0.2"/>
    <row r="211" s="120" customFormat="1" x14ac:dyDescent="0.2"/>
    <row r="212" s="120" customFormat="1" x14ac:dyDescent="0.2"/>
    <row r="213" s="120" customFormat="1" x14ac:dyDescent="0.2"/>
    <row r="214" s="120" customFormat="1" x14ac:dyDescent="0.2"/>
    <row r="215" s="120" customFormat="1" x14ac:dyDescent="0.2"/>
    <row r="216" s="120" customFormat="1" x14ac:dyDescent="0.2"/>
    <row r="217" s="120" customFormat="1" x14ac:dyDescent="0.2"/>
    <row r="218" s="120" customFormat="1" x14ac:dyDescent="0.2"/>
    <row r="219" s="120" customFormat="1" x14ac:dyDescent="0.2"/>
    <row r="220" s="120" customFormat="1" x14ac:dyDescent="0.2"/>
    <row r="221" s="120" customFormat="1" x14ac:dyDescent="0.2"/>
    <row r="222" s="120" customFormat="1" x14ac:dyDescent="0.2"/>
    <row r="223" s="120" customFormat="1" x14ac:dyDescent="0.2"/>
    <row r="224" s="120" customFormat="1" x14ac:dyDescent="0.2"/>
    <row r="225" s="120" customFormat="1" x14ac:dyDescent="0.2"/>
    <row r="226" s="120" customFormat="1" x14ac:dyDescent="0.2"/>
    <row r="227" s="120" customFormat="1" x14ac:dyDescent="0.2"/>
    <row r="228" s="120" customFormat="1" x14ac:dyDescent="0.2"/>
    <row r="229" s="120" customFormat="1" x14ac:dyDescent="0.2"/>
    <row r="230" s="120" customFormat="1" x14ac:dyDescent="0.2"/>
    <row r="231" s="120" customFormat="1" x14ac:dyDescent="0.2"/>
    <row r="232" s="120" customFormat="1" x14ac:dyDescent="0.2"/>
    <row r="233" s="120" customFormat="1" x14ac:dyDescent="0.2"/>
    <row r="234" s="120" customFormat="1" x14ac:dyDescent="0.2"/>
    <row r="235" s="120" customFormat="1" x14ac:dyDescent="0.2"/>
    <row r="236" s="120" customFormat="1" x14ac:dyDescent="0.2"/>
    <row r="237" s="120" customFormat="1" x14ac:dyDescent="0.2"/>
    <row r="238" s="120" customFormat="1" x14ac:dyDescent="0.2"/>
    <row r="239" s="120" customFormat="1" x14ac:dyDescent="0.2"/>
    <row r="240" s="120" customFormat="1" x14ac:dyDescent="0.2"/>
    <row r="241" s="120" customFormat="1" x14ac:dyDescent="0.2"/>
    <row r="242" s="120" customFormat="1" x14ac:dyDescent="0.2"/>
    <row r="243" s="120" customFormat="1" x14ac:dyDescent="0.2"/>
    <row r="244" s="120" customFormat="1" x14ac:dyDescent="0.2"/>
    <row r="245" s="120" customFormat="1" x14ac:dyDescent="0.2"/>
    <row r="246" s="120" customFormat="1" x14ac:dyDescent="0.2"/>
    <row r="247" s="120" customFormat="1" x14ac:dyDescent="0.2"/>
    <row r="248" s="120" customFormat="1" x14ac:dyDescent="0.2"/>
    <row r="249" s="120" customFormat="1" x14ac:dyDescent="0.2"/>
    <row r="250" s="120" customFormat="1" x14ac:dyDescent="0.2"/>
    <row r="251" s="120" customFormat="1" x14ac:dyDescent="0.2"/>
    <row r="252" s="120" customFormat="1" x14ac:dyDescent="0.2"/>
    <row r="253" s="120" customFormat="1" x14ac:dyDescent="0.2"/>
    <row r="254" s="120" customFormat="1" x14ac:dyDescent="0.2"/>
    <row r="255" s="120" customFormat="1" x14ac:dyDescent="0.2"/>
    <row r="256" s="120" customFormat="1" x14ac:dyDescent="0.2"/>
    <row r="257" s="120" customFormat="1" x14ac:dyDescent="0.2"/>
    <row r="258" s="120" customFormat="1" x14ac:dyDescent="0.2"/>
    <row r="259" s="120" customFormat="1" x14ac:dyDescent="0.2"/>
    <row r="260" s="120" customFormat="1" x14ac:dyDescent="0.2"/>
    <row r="261" s="120" customFormat="1" x14ac:dyDescent="0.2"/>
    <row r="262" s="120" customFormat="1" x14ac:dyDescent="0.2"/>
    <row r="263" s="120" customFormat="1" x14ac:dyDescent="0.2"/>
    <row r="264" s="120" customFormat="1" x14ac:dyDescent="0.2"/>
    <row r="265" s="120" customFormat="1" x14ac:dyDescent="0.2"/>
    <row r="266" s="120" customFormat="1" x14ac:dyDescent="0.2"/>
    <row r="267" s="120" customFormat="1" x14ac:dyDescent="0.2"/>
    <row r="268" s="120" customFormat="1" x14ac:dyDescent="0.2"/>
    <row r="269" s="120" customFormat="1" x14ac:dyDescent="0.2"/>
    <row r="270" s="120" customFormat="1" x14ac:dyDescent="0.2"/>
    <row r="271" s="120" customFormat="1" x14ac:dyDescent="0.2"/>
    <row r="272" s="120" customFormat="1" x14ac:dyDescent="0.2"/>
    <row r="273" s="120" customFormat="1" x14ac:dyDescent="0.2"/>
    <row r="274" s="120" customFormat="1" x14ac:dyDescent="0.2"/>
    <row r="275" s="120" customFormat="1" x14ac:dyDescent="0.2"/>
    <row r="276" s="120" customFormat="1" x14ac:dyDescent="0.2"/>
    <row r="277" s="120" customFormat="1" x14ac:dyDescent="0.2"/>
    <row r="278" s="120" customFormat="1" x14ac:dyDescent="0.2"/>
    <row r="279" s="120" customFormat="1" x14ac:dyDescent="0.2"/>
    <row r="280" s="120" customFormat="1" x14ac:dyDescent="0.2"/>
    <row r="281" s="120" customFormat="1" x14ac:dyDescent="0.2"/>
    <row r="282" s="120" customFormat="1" x14ac:dyDescent="0.2"/>
    <row r="283" s="120" customFormat="1" x14ac:dyDescent="0.2"/>
    <row r="284" s="120" customFormat="1" x14ac:dyDescent="0.2"/>
    <row r="285" s="120" customFormat="1" x14ac:dyDescent="0.2"/>
    <row r="286" s="120" customFormat="1" x14ac:dyDescent="0.2"/>
    <row r="287" s="120" customFormat="1" x14ac:dyDescent="0.2"/>
    <row r="288" s="120" customFormat="1" x14ac:dyDescent="0.2"/>
    <row r="289" s="120" customFormat="1" x14ac:dyDescent="0.2"/>
    <row r="290" s="120" customFormat="1" x14ac:dyDescent="0.2"/>
    <row r="291" s="120" customFormat="1" x14ac:dyDescent="0.2"/>
    <row r="292" s="120" customFormat="1" x14ac:dyDescent="0.2"/>
    <row r="293" s="120" customFormat="1" x14ac:dyDescent="0.2"/>
    <row r="294" s="120" customFormat="1" x14ac:dyDescent="0.2"/>
    <row r="295" s="120" customFormat="1" x14ac:dyDescent="0.2"/>
    <row r="296" s="120" customFormat="1" x14ac:dyDescent="0.2"/>
    <row r="297" s="120" customFormat="1" x14ac:dyDescent="0.2"/>
    <row r="298" s="120" customFormat="1" x14ac:dyDescent="0.2"/>
    <row r="299" s="120" customFormat="1" x14ac:dyDescent="0.2"/>
    <row r="300" s="120" customFormat="1" x14ac:dyDescent="0.2"/>
    <row r="301" s="120" customFormat="1" x14ac:dyDescent="0.2"/>
    <row r="302" s="120" customFormat="1" x14ac:dyDescent="0.2"/>
    <row r="303" s="120" customFormat="1" x14ac:dyDescent="0.2"/>
    <row r="304" s="120" customFormat="1" x14ac:dyDescent="0.2"/>
    <row r="305" s="120" customFormat="1" x14ac:dyDescent="0.2"/>
    <row r="306" s="120" customFormat="1" x14ac:dyDescent="0.2"/>
    <row r="307" s="120" customFormat="1" x14ac:dyDescent="0.2"/>
    <row r="308" s="120" customFormat="1" x14ac:dyDescent="0.2"/>
    <row r="309" s="120" customFormat="1" x14ac:dyDescent="0.2"/>
    <row r="310" s="120" customFormat="1" x14ac:dyDescent="0.2"/>
    <row r="311" s="120" customFormat="1" x14ac:dyDescent="0.2"/>
    <row r="312" s="120" customFormat="1" x14ac:dyDescent="0.2"/>
    <row r="313" s="120" customFormat="1" x14ac:dyDescent="0.2"/>
    <row r="314" s="120" customFormat="1" x14ac:dyDescent="0.2"/>
    <row r="315" s="120" customFormat="1" x14ac:dyDescent="0.2"/>
    <row r="316" s="120" customFormat="1" x14ac:dyDescent="0.2"/>
    <row r="317" s="120" customFormat="1" x14ac:dyDescent="0.2"/>
    <row r="318" s="120" customFormat="1" x14ac:dyDescent="0.2"/>
    <row r="319" s="120" customFormat="1" x14ac:dyDescent="0.2"/>
    <row r="320" s="120" customFormat="1" x14ac:dyDescent="0.2"/>
    <row r="321" s="120" customFormat="1" x14ac:dyDescent="0.2"/>
    <row r="322" s="120" customFormat="1" x14ac:dyDescent="0.2"/>
    <row r="323" s="120" customFormat="1" x14ac:dyDescent="0.2"/>
    <row r="324" s="120" customFormat="1" x14ac:dyDescent="0.2"/>
    <row r="325" s="120" customFormat="1" x14ac:dyDescent="0.2"/>
    <row r="326" s="120" customFormat="1" x14ac:dyDescent="0.2"/>
    <row r="327" s="120" customFormat="1" x14ac:dyDescent="0.2"/>
    <row r="328" s="120" customFormat="1" x14ac:dyDescent="0.2"/>
    <row r="329" s="120" customFormat="1" x14ac:dyDescent="0.2"/>
    <row r="330" s="120" customFormat="1" x14ac:dyDescent="0.2"/>
    <row r="331" s="120" customFormat="1" x14ac:dyDescent="0.2"/>
    <row r="332" s="120" customFormat="1" x14ac:dyDescent="0.2"/>
    <row r="333" s="120" customFormat="1" x14ac:dyDescent="0.2"/>
    <row r="334" s="120" customFormat="1" x14ac:dyDescent="0.2"/>
    <row r="335" s="120" customFormat="1" x14ac:dyDescent="0.2"/>
    <row r="336" s="120" customFormat="1" x14ac:dyDescent="0.2"/>
    <row r="337" s="120" customFormat="1" x14ac:dyDescent="0.2"/>
    <row r="338" s="120" customFormat="1" x14ac:dyDescent="0.2"/>
    <row r="339" s="120" customFormat="1" x14ac:dyDescent="0.2"/>
    <row r="340" s="120" customFormat="1" x14ac:dyDescent="0.2"/>
    <row r="341" s="120" customFormat="1" x14ac:dyDescent="0.2"/>
    <row r="342" s="120" customFormat="1" x14ac:dyDescent="0.2"/>
    <row r="343" s="120" customFormat="1" x14ac:dyDescent="0.2"/>
    <row r="344" s="120" customFormat="1" x14ac:dyDescent="0.2"/>
    <row r="345" s="120" customFormat="1" x14ac:dyDescent="0.2"/>
    <row r="346" s="120" customFormat="1" x14ac:dyDescent="0.2"/>
    <row r="347" s="120" customFormat="1" x14ac:dyDescent="0.2"/>
    <row r="348" s="120" customFormat="1" x14ac:dyDescent="0.2"/>
    <row r="349" s="120" customFormat="1" x14ac:dyDescent="0.2"/>
    <row r="350" s="120" customFormat="1" x14ac:dyDescent="0.2"/>
    <row r="351" s="120" customFormat="1" x14ac:dyDescent="0.2"/>
    <row r="352" s="120" customFormat="1" x14ac:dyDescent="0.2"/>
    <row r="353" s="120" customFormat="1" x14ac:dyDescent="0.2"/>
    <row r="354" s="120" customFormat="1" x14ac:dyDescent="0.2"/>
    <row r="355" s="120" customFormat="1" x14ac:dyDescent="0.2"/>
    <row r="356" s="120" customFormat="1" x14ac:dyDescent="0.2"/>
    <row r="357" s="120" customFormat="1" x14ac:dyDescent="0.2"/>
    <row r="358" s="120" customFormat="1" x14ac:dyDescent="0.2"/>
    <row r="359" s="120" customFormat="1" x14ac:dyDescent="0.2"/>
    <row r="360" s="120" customFormat="1" x14ac:dyDescent="0.2"/>
    <row r="361" s="120" customFormat="1" x14ac:dyDescent="0.2"/>
    <row r="362" s="120" customFormat="1" x14ac:dyDescent="0.2"/>
    <row r="363" s="120" customFormat="1" x14ac:dyDescent="0.2"/>
    <row r="364" s="120" customFormat="1" x14ac:dyDescent="0.2"/>
    <row r="365" s="120" customFormat="1" x14ac:dyDescent="0.2"/>
    <row r="366" s="120" customFormat="1" x14ac:dyDescent="0.2"/>
    <row r="367" s="120" customFormat="1" x14ac:dyDescent="0.2"/>
    <row r="368" s="120" customFormat="1" x14ac:dyDescent="0.2"/>
    <row r="369" s="120" customFormat="1" x14ac:dyDescent="0.2"/>
    <row r="370" s="120" customFormat="1" x14ac:dyDescent="0.2"/>
    <row r="371" s="120" customFormat="1" x14ac:dyDescent="0.2"/>
    <row r="372" s="120" customFormat="1" x14ac:dyDescent="0.2"/>
    <row r="373" s="120" customFormat="1" x14ac:dyDescent="0.2"/>
    <row r="374" s="120" customFormat="1" x14ac:dyDescent="0.2"/>
    <row r="375" s="120" customFormat="1" x14ac:dyDescent="0.2"/>
    <row r="376" s="120" customFormat="1" x14ac:dyDescent="0.2"/>
    <row r="377" s="120" customFormat="1" x14ac:dyDescent="0.2"/>
    <row r="378" s="120" customFormat="1" x14ac:dyDescent="0.2"/>
    <row r="379" s="120" customFormat="1" x14ac:dyDescent="0.2"/>
    <row r="380" s="120" customFormat="1" x14ac:dyDescent="0.2"/>
    <row r="381" s="120" customFormat="1" x14ac:dyDescent="0.2"/>
    <row r="382" s="120" customFormat="1" x14ac:dyDescent="0.2"/>
    <row r="383" s="120" customFormat="1" x14ac:dyDescent="0.2"/>
    <row r="384" s="120" customFormat="1" x14ac:dyDescent="0.2"/>
    <row r="385" s="120" customFormat="1" x14ac:dyDescent="0.2"/>
    <row r="386" s="120" customFormat="1" x14ac:dyDescent="0.2"/>
    <row r="387" s="120" customFormat="1" x14ac:dyDescent="0.2"/>
    <row r="388" s="120" customFormat="1" x14ac:dyDescent="0.2"/>
    <row r="389" s="120" customFormat="1" x14ac:dyDescent="0.2"/>
    <row r="390" s="120" customFormat="1" x14ac:dyDescent="0.2"/>
    <row r="391" s="120" customFormat="1" x14ac:dyDescent="0.2"/>
    <row r="392" s="120" customFormat="1" x14ac:dyDescent="0.2"/>
    <row r="393" s="120" customFormat="1" x14ac:dyDescent="0.2"/>
    <row r="394" s="120" customFormat="1" x14ac:dyDescent="0.2"/>
    <row r="395" s="120" customFormat="1" x14ac:dyDescent="0.2"/>
    <row r="396" s="120" customFormat="1" x14ac:dyDescent="0.2"/>
    <row r="397" s="120" customFormat="1" x14ac:dyDescent="0.2"/>
    <row r="398" s="120" customFormat="1" x14ac:dyDescent="0.2"/>
    <row r="399" s="120" customFormat="1" x14ac:dyDescent="0.2"/>
    <row r="400" s="120" customFormat="1" x14ac:dyDescent="0.2"/>
    <row r="401" s="120" customFormat="1" x14ac:dyDescent="0.2"/>
    <row r="402" s="120" customFormat="1" x14ac:dyDescent="0.2"/>
    <row r="403" s="120" customFormat="1" x14ac:dyDescent="0.2"/>
    <row r="404" s="120" customFormat="1" x14ac:dyDescent="0.2"/>
    <row r="405" s="120" customFormat="1" x14ac:dyDescent="0.2"/>
    <row r="406" s="120" customFormat="1" x14ac:dyDescent="0.2"/>
    <row r="407" s="120" customFormat="1" x14ac:dyDescent="0.2"/>
    <row r="408" s="120" customFormat="1" x14ac:dyDescent="0.2"/>
    <row r="409" s="120" customFormat="1" x14ac:dyDescent="0.2"/>
    <row r="410" s="120" customFormat="1" x14ac:dyDescent="0.2"/>
    <row r="411" s="120" customFormat="1" x14ac:dyDescent="0.2"/>
    <row r="412" s="120" customFormat="1" x14ac:dyDescent="0.2"/>
    <row r="413" s="120" customFormat="1" x14ac:dyDescent="0.2"/>
    <row r="414" s="120" customFormat="1" x14ac:dyDescent="0.2"/>
    <row r="415" s="120" customFormat="1" x14ac:dyDescent="0.2"/>
    <row r="416" s="120" customFormat="1" x14ac:dyDescent="0.2"/>
    <row r="417" s="120" customFormat="1" x14ac:dyDescent="0.2"/>
    <row r="418" s="120" customFormat="1" x14ac:dyDescent="0.2"/>
    <row r="419" s="120" customFormat="1" x14ac:dyDescent="0.2"/>
    <row r="420" s="120" customFormat="1" x14ac:dyDescent="0.2"/>
    <row r="421" s="120" customFormat="1" x14ac:dyDescent="0.2"/>
    <row r="422" s="120" customFormat="1" x14ac:dyDescent="0.2"/>
    <row r="423" s="120" customFormat="1" x14ac:dyDescent="0.2"/>
    <row r="424" s="120" customFormat="1" x14ac:dyDescent="0.2"/>
    <row r="425" s="120" customFormat="1" x14ac:dyDescent="0.2"/>
    <row r="426" s="120" customFormat="1" x14ac:dyDescent="0.2"/>
    <row r="427" s="120" customFormat="1" x14ac:dyDescent="0.2"/>
    <row r="428" s="120" customFormat="1" x14ac:dyDescent="0.2"/>
    <row r="429" s="120" customFormat="1" x14ac:dyDescent="0.2"/>
    <row r="430" s="120" customFormat="1" x14ac:dyDescent="0.2"/>
    <row r="431" s="120" customFormat="1" x14ac:dyDescent="0.2"/>
    <row r="432" s="120" customFormat="1" x14ac:dyDescent="0.2"/>
    <row r="433" s="120" customFormat="1" x14ac:dyDescent="0.2"/>
    <row r="434" s="120" customFormat="1" x14ac:dyDescent="0.2"/>
    <row r="435" s="120" customFormat="1" x14ac:dyDescent="0.2"/>
    <row r="436" s="120" customFormat="1" x14ac:dyDescent="0.2"/>
    <row r="437" s="120" customFormat="1" x14ac:dyDescent="0.2"/>
    <row r="438" s="120" customFormat="1" x14ac:dyDescent="0.2"/>
    <row r="439" s="120" customFormat="1" x14ac:dyDescent="0.2"/>
    <row r="440" s="120" customFormat="1" x14ac:dyDescent="0.2"/>
    <row r="441" s="120" customFormat="1" x14ac:dyDescent="0.2"/>
    <row r="442" s="120" customFormat="1" x14ac:dyDescent="0.2"/>
    <row r="443" s="120" customFormat="1" x14ac:dyDescent="0.2"/>
    <row r="444" s="120" customFormat="1" x14ac:dyDescent="0.2"/>
    <row r="445" s="120" customFormat="1" x14ac:dyDescent="0.2"/>
    <row r="446" s="120" customFormat="1" x14ac:dyDescent="0.2"/>
    <row r="447" s="120" customFormat="1" x14ac:dyDescent="0.2"/>
    <row r="448" s="120" customFormat="1" x14ac:dyDescent="0.2"/>
  </sheetData>
  <mergeCells count="52">
    <mergeCell ref="A58:E58"/>
    <mergeCell ref="G58:K58"/>
    <mergeCell ref="E60:I60"/>
    <mergeCell ref="A53:K53"/>
    <mergeCell ref="A54:K54"/>
    <mergeCell ref="A55:K55"/>
    <mergeCell ref="A56:K56"/>
    <mergeCell ref="A57:E57"/>
    <mergeCell ref="G57:K57"/>
    <mergeCell ref="B49:F49"/>
    <mergeCell ref="G49:K49"/>
    <mergeCell ref="B50:F50"/>
    <mergeCell ref="G50:K50"/>
    <mergeCell ref="A52:K52"/>
    <mergeCell ref="B46:F46"/>
    <mergeCell ref="G46:K46"/>
    <mergeCell ref="B47:F47"/>
    <mergeCell ref="G47:K47"/>
    <mergeCell ref="B48:F48"/>
    <mergeCell ref="G48:K48"/>
    <mergeCell ref="A40:E40"/>
    <mergeCell ref="G40:K40"/>
    <mergeCell ref="A41:K41"/>
    <mergeCell ref="A42:K42"/>
    <mergeCell ref="A43:K43"/>
    <mergeCell ref="A37:K37"/>
    <mergeCell ref="A38:E38"/>
    <mergeCell ref="G38:K38"/>
    <mergeCell ref="G39:K39"/>
    <mergeCell ref="A39:B39"/>
    <mergeCell ref="C39:D39"/>
    <mergeCell ref="A33:E33"/>
    <mergeCell ref="G33:K33"/>
    <mergeCell ref="A34:K34"/>
    <mergeCell ref="A35:K35"/>
    <mergeCell ref="A36:K36"/>
    <mergeCell ref="A27:K27"/>
    <mergeCell ref="A28:K28"/>
    <mergeCell ref="A29:K29"/>
    <mergeCell ref="G32:K32"/>
    <mergeCell ref="A32:B32"/>
    <mergeCell ref="C32:D32"/>
    <mergeCell ref="A22:K22"/>
    <mergeCell ref="A23:K23"/>
    <mergeCell ref="A24:K24"/>
    <mergeCell ref="A25:K25"/>
    <mergeCell ref="A26:K26"/>
    <mergeCell ref="A10:K10"/>
    <mergeCell ref="A13:E13"/>
    <mergeCell ref="A14:E14"/>
    <mergeCell ref="A20:K20"/>
    <mergeCell ref="A21:K21"/>
  </mergeCells>
  <pageMargins left="0.70866141732283472" right="0.70866141732283472" top="0.74803149606299213" bottom="0.74803149606299213" header="0.31496062992125984" footer="0.31496062992125984"/>
  <pageSetup paperSize="9" scale="85"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5:IV63"/>
  <sheetViews>
    <sheetView showGridLines="0" zoomScaleNormal="100" zoomScaleSheetLayoutView="80" workbookViewId="0"/>
  </sheetViews>
  <sheetFormatPr defaultColWidth="9.140625" defaultRowHeight="12.75" x14ac:dyDescent="0.2"/>
  <cols>
    <col min="1" max="1" width="13.7109375" style="2" customWidth="1"/>
    <col min="2" max="14" width="3.28515625" style="2" customWidth="1"/>
    <col min="15" max="16" width="9.140625" style="2"/>
    <col min="17" max="17" width="5.28515625" style="2" customWidth="1"/>
    <col min="18" max="18" width="8.28515625" style="2" customWidth="1"/>
    <col min="19" max="19" width="4" style="2" customWidth="1"/>
    <col min="20" max="16384" width="9.140625" style="2"/>
  </cols>
  <sheetData>
    <row r="5" spans="1:22" ht="13.5" thickBot="1" x14ac:dyDescent="0.25"/>
    <row r="6" spans="1:22" x14ac:dyDescent="0.2">
      <c r="A6" s="7"/>
      <c r="B6" s="7"/>
      <c r="C6" s="7"/>
      <c r="D6" s="7"/>
      <c r="E6" s="7"/>
      <c r="F6" s="7"/>
      <c r="G6" s="7"/>
      <c r="H6" s="7"/>
      <c r="I6" s="7"/>
      <c r="J6" s="7"/>
      <c r="K6" s="7"/>
      <c r="L6" s="7"/>
      <c r="M6" s="7"/>
      <c r="N6" s="7"/>
      <c r="O6" s="7"/>
      <c r="P6" s="7"/>
      <c r="Q6" s="7"/>
      <c r="R6" s="7"/>
      <c r="S6" s="7"/>
      <c r="T6" s="7"/>
    </row>
    <row r="11" spans="1:22" x14ac:dyDescent="0.2">
      <c r="A11" s="465" t="str">
        <f>CONCATENATE('Dane personalne'!D11," ",'Dane personalne'!D12)</f>
        <v xml:space="preserve"> </v>
      </c>
      <c r="B11" s="465"/>
      <c r="C11" s="465"/>
      <c r="D11" s="465"/>
      <c r="E11" s="465"/>
      <c r="F11" s="465"/>
      <c r="G11" s="465"/>
      <c r="H11" s="465"/>
      <c r="I11" s="465"/>
      <c r="J11" s="465"/>
      <c r="K11" s="36"/>
      <c r="L11" s="36"/>
      <c r="M11" s="36"/>
      <c r="N11" s="36"/>
      <c r="O11" s="36"/>
      <c r="P11" s="36"/>
      <c r="Q11" s="36"/>
      <c r="R11" s="36"/>
    </row>
    <row r="12" spans="1:22" x14ac:dyDescent="0.2">
      <c r="A12" s="441" t="s">
        <v>42</v>
      </c>
      <c r="B12" s="441"/>
      <c r="C12" s="441"/>
      <c r="D12" s="441"/>
      <c r="E12" s="441"/>
      <c r="F12" s="441"/>
      <c r="G12" s="441"/>
      <c r="H12" s="441"/>
      <c r="I12" s="441"/>
      <c r="J12" s="441"/>
      <c r="K12" s="37"/>
      <c r="L12" s="37"/>
      <c r="M12" s="37"/>
      <c r="N12" s="37"/>
      <c r="O12" s="37"/>
      <c r="P12" s="37"/>
      <c r="Q12" s="37"/>
      <c r="R12" s="37"/>
    </row>
    <row r="15" spans="1:22" x14ac:dyDescent="0.2">
      <c r="A15" s="2" t="s">
        <v>49</v>
      </c>
      <c r="B15" s="465" t="str">
        <f>'1.Kwestionariusz'!R13</f>
        <v/>
      </c>
      <c r="C15" s="465"/>
      <c r="D15" s="465"/>
      <c r="E15" s="465"/>
      <c r="F15" s="465"/>
      <c r="G15" s="465"/>
      <c r="H15" s="465"/>
      <c r="I15" s="465"/>
      <c r="J15" s="465"/>
      <c r="K15" s="465"/>
      <c r="L15" s="458" t="s">
        <v>50</v>
      </c>
      <c r="M15" s="458"/>
      <c r="N15" s="458"/>
      <c r="O15" s="465" t="str">
        <f>'1.Kwestionariusz'!I13</f>
        <v/>
      </c>
      <c r="P15" s="465"/>
      <c r="Q15" s="465"/>
      <c r="R15" s="465"/>
      <c r="S15" s="465"/>
      <c r="T15" s="465"/>
      <c r="U15" s="26"/>
      <c r="V15" s="26"/>
    </row>
    <row r="17" spans="1:22" x14ac:dyDescent="0.2">
      <c r="A17" s="2" t="s">
        <v>24</v>
      </c>
      <c r="D17" s="577" t="str">
        <f>'1.Kwestionariusz'!G15</f>
        <v/>
      </c>
      <c r="E17" s="578"/>
      <c r="F17" s="578"/>
      <c r="G17" s="578"/>
      <c r="H17" s="578"/>
      <c r="I17" s="578"/>
      <c r="J17" s="578"/>
      <c r="K17" s="578"/>
      <c r="M17" s="2" t="s">
        <v>51</v>
      </c>
      <c r="P17" s="465" t="str">
        <f>'1.Kwestionariusz'!V15</f>
        <v/>
      </c>
      <c r="Q17" s="465"/>
      <c r="R17" s="465"/>
      <c r="S17" s="465"/>
      <c r="T17" s="465"/>
      <c r="U17" s="10"/>
      <c r="V17" s="10"/>
    </row>
    <row r="19" spans="1:22" x14ac:dyDescent="0.2">
      <c r="A19" s="2" t="s">
        <v>199</v>
      </c>
      <c r="B19" s="577" t="str">
        <f>'1.Kwestionariusz'!B18</f>
        <v/>
      </c>
      <c r="C19" s="578"/>
      <c r="D19" s="578"/>
      <c r="E19" s="578"/>
      <c r="F19" s="578"/>
      <c r="G19" s="578"/>
      <c r="H19" s="578"/>
      <c r="I19" s="578"/>
      <c r="J19" s="578"/>
      <c r="K19" s="578"/>
      <c r="L19" s="578"/>
      <c r="M19" s="578"/>
      <c r="N19" s="578"/>
    </row>
    <row r="20" spans="1:22" x14ac:dyDescent="0.2">
      <c r="A20" s="2" t="s">
        <v>52</v>
      </c>
      <c r="B20" s="577" t="str">
        <f>'1.Kwestionariusz'!O18</f>
        <v/>
      </c>
      <c r="C20" s="578"/>
      <c r="D20" s="578"/>
      <c r="E20" s="578"/>
      <c r="F20" s="578"/>
      <c r="G20" s="578"/>
      <c r="H20" s="578"/>
      <c r="I20" s="578"/>
      <c r="J20" s="578"/>
      <c r="K20" s="578"/>
      <c r="L20" s="578"/>
      <c r="M20" s="578"/>
      <c r="N20" s="578"/>
    </row>
    <row r="22" spans="1:22" x14ac:dyDescent="0.2">
      <c r="A22" s="18" t="s">
        <v>204</v>
      </c>
    </row>
    <row r="24" spans="1:22" x14ac:dyDescent="0.2">
      <c r="A24" s="4" t="s">
        <v>9</v>
      </c>
      <c r="B24" s="13" t="str">
        <f>'2.R-k bankowy'!X18</f>
        <v/>
      </c>
      <c r="C24" s="13" t="str">
        <f>'2.R-k bankowy'!Y18</f>
        <v/>
      </c>
      <c r="D24" s="21" t="s">
        <v>13</v>
      </c>
      <c r="E24" s="13" t="str">
        <f>'2.R-k bankowy'!AA18</f>
        <v/>
      </c>
      <c r="F24" s="13" t="str">
        <f>'2.R-k bankowy'!AB18</f>
        <v/>
      </c>
      <c r="G24" s="13" t="str">
        <f>'2.R-k bankowy'!AC18</f>
        <v/>
      </c>
      <c r="H24" s="15"/>
      <c r="I24" s="15"/>
      <c r="J24" s="15" t="s">
        <v>30</v>
      </c>
      <c r="K24" s="15"/>
      <c r="L24" s="15"/>
      <c r="M24" s="15"/>
      <c r="N24" s="15"/>
      <c r="O24" s="465" t="str">
        <f>'2.R-k bankowy'!F18</f>
        <v/>
      </c>
      <c r="P24" s="465"/>
      <c r="Q24" s="465"/>
      <c r="R24" s="465"/>
      <c r="S24" s="465"/>
      <c r="T24" s="465"/>
    </row>
    <row r="26" spans="1:22" x14ac:dyDescent="0.2">
      <c r="A26" s="2" t="s">
        <v>8</v>
      </c>
      <c r="B26" s="465" t="str">
        <f>'1.Kwestionariusz'!A23</f>
        <v/>
      </c>
      <c r="C26" s="465"/>
      <c r="D26" s="465"/>
      <c r="E26" s="465"/>
      <c r="F26" s="465"/>
      <c r="G26" s="465"/>
      <c r="H26" s="465"/>
      <c r="I26" s="465"/>
      <c r="J26" s="465"/>
      <c r="K26" s="465"/>
      <c r="L26" s="2" t="s">
        <v>177</v>
      </c>
      <c r="O26" s="47"/>
      <c r="P26" s="69" t="str">
        <f>'1.Kwestionariusz'!P23:U23</f>
        <v/>
      </c>
      <c r="Q26" s="68"/>
      <c r="R26" s="67"/>
      <c r="S26" s="615"/>
      <c r="T26" s="615"/>
      <c r="U26" s="26"/>
    </row>
    <row r="29" spans="1:22" x14ac:dyDescent="0.2">
      <c r="A29" s="575" t="s">
        <v>54</v>
      </c>
      <c r="B29" s="575"/>
      <c r="C29" s="575"/>
      <c r="D29" s="575"/>
      <c r="E29" s="575"/>
      <c r="F29" s="575"/>
      <c r="G29" s="575"/>
      <c r="H29" s="575"/>
      <c r="I29" s="575"/>
      <c r="J29" s="575"/>
      <c r="K29" s="575"/>
      <c r="L29" s="575"/>
      <c r="M29" s="575"/>
      <c r="N29" s="575"/>
      <c r="O29" s="575"/>
      <c r="P29" s="575"/>
      <c r="Q29" s="575"/>
      <c r="R29" s="575"/>
      <c r="S29" s="575"/>
      <c r="T29" s="575"/>
    </row>
    <row r="30" spans="1:22" x14ac:dyDescent="0.2">
      <c r="A30" s="575" t="s">
        <v>67</v>
      </c>
      <c r="B30" s="575"/>
      <c r="C30" s="575"/>
      <c r="D30" s="575"/>
      <c r="E30" s="575"/>
      <c r="F30" s="575"/>
      <c r="G30" s="575"/>
      <c r="H30" s="575"/>
      <c r="I30" s="575"/>
      <c r="J30" s="575"/>
      <c r="K30" s="575"/>
      <c r="L30" s="575"/>
      <c r="M30" s="575"/>
      <c r="N30" s="575"/>
      <c r="O30" s="575"/>
      <c r="P30" s="575"/>
      <c r="Q30" s="575"/>
      <c r="R30" s="575"/>
      <c r="S30" s="575"/>
      <c r="T30" s="575"/>
    </row>
    <row r="31" spans="1:22" x14ac:dyDescent="0.2">
      <c r="A31" s="575" t="s">
        <v>200</v>
      </c>
      <c r="B31" s="575"/>
      <c r="C31" s="575"/>
      <c r="D31" s="575"/>
      <c r="E31" s="575"/>
      <c r="F31" s="575"/>
      <c r="G31" s="575"/>
      <c r="H31" s="575"/>
      <c r="I31" s="575"/>
      <c r="J31" s="575"/>
      <c r="K31" s="575"/>
      <c r="L31" s="575"/>
      <c r="M31" s="575"/>
      <c r="N31" s="575"/>
      <c r="O31" s="575"/>
      <c r="P31" s="575"/>
      <c r="Q31" s="575"/>
      <c r="R31" s="575"/>
      <c r="S31" s="575"/>
      <c r="T31" s="575"/>
    </row>
    <row r="32" spans="1:22" x14ac:dyDescent="0.2">
      <c r="A32" s="575" t="s">
        <v>68</v>
      </c>
      <c r="B32" s="575"/>
      <c r="C32" s="575"/>
      <c r="D32" s="575"/>
      <c r="E32" s="575"/>
      <c r="F32" s="575"/>
      <c r="G32" s="575"/>
      <c r="H32" s="575"/>
      <c r="I32" s="575"/>
      <c r="J32" s="575"/>
      <c r="K32" s="575"/>
      <c r="L32" s="575"/>
      <c r="M32" s="575"/>
      <c r="N32" s="575"/>
      <c r="O32" s="575"/>
      <c r="P32" s="575"/>
      <c r="Q32" s="575"/>
      <c r="R32" s="575"/>
      <c r="S32" s="575"/>
      <c r="T32" s="575"/>
    </row>
    <row r="33" spans="1:20" x14ac:dyDescent="0.2">
      <c r="A33" s="575" t="s">
        <v>201</v>
      </c>
      <c r="B33" s="575"/>
      <c r="C33" s="575"/>
      <c r="D33" s="575"/>
      <c r="E33" s="575"/>
      <c r="F33" s="575"/>
      <c r="G33" s="575"/>
      <c r="H33" s="575"/>
      <c r="I33" s="575"/>
      <c r="J33" s="575"/>
      <c r="K33" s="575"/>
      <c r="L33" s="575"/>
      <c r="M33" s="575"/>
      <c r="N33" s="575"/>
      <c r="O33" s="575"/>
      <c r="P33" s="575"/>
      <c r="Q33" s="575"/>
      <c r="R33" s="575"/>
      <c r="S33" s="575"/>
      <c r="T33" s="575"/>
    </row>
    <row r="34" spans="1:20" x14ac:dyDescent="0.2">
      <c r="A34" s="21"/>
      <c r="B34" s="21"/>
      <c r="C34" s="21"/>
      <c r="D34" s="21"/>
      <c r="E34" s="21"/>
      <c r="F34" s="21"/>
      <c r="G34" s="21"/>
      <c r="H34" s="21"/>
      <c r="I34" s="21"/>
      <c r="J34" s="21"/>
      <c r="K34" s="21"/>
      <c r="L34" s="21"/>
      <c r="M34" s="21"/>
      <c r="N34" s="21"/>
      <c r="O34" s="21"/>
      <c r="P34" s="21"/>
      <c r="Q34" s="21"/>
      <c r="R34" s="21"/>
      <c r="S34" s="21"/>
      <c r="T34" s="21"/>
    </row>
    <row r="37" spans="1:20" x14ac:dyDescent="0.2">
      <c r="A37" s="569" t="s">
        <v>69</v>
      </c>
      <c r="B37" s="569"/>
      <c r="C37" s="569"/>
      <c r="D37" s="569"/>
      <c r="E37" s="569"/>
      <c r="F37" s="569"/>
      <c r="G37" s="569"/>
      <c r="H37" s="465" t="str">
        <f>IF(const!$B$8="","",const!$B$8)</f>
        <v/>
      </c>
      <c r="I37" s="465"/>
      <c r="J37" s="465"/>
      <c r="K37" s="465"/>
      <c r="L37" s="465"/>
      <c r="M37" s="465"/>
      <c r="N37" s="465"/>
      <c r="O37" s="465"/>
      <c r="P37" s="465"/>
      <c r="Q37" s="465"/>
      <c r="R37" s="465"/>
      <c r="S37" s="465"/>
      <c r="T37" s="465"/>
    </row>
    <row r="38" spans="1:20" x14ac:dyDescent="0.2">
      <c r="H38" s="458" t="s">
        <v>58</v>
      </c>
      <c r="I38" s="458"/>
      <c r="J38" s="458"/>
      <c r="K38" s="458"/>
      <c r="L38" s="458"/>
      <c r="M38" s="458"/>
      <c r="N38" s="458"/>
      <c r="O38" s="458"/>
      <c r="P38" s="458"/>
      <c r="Q38" s="458"/>
      <c r="R38" s="458"/>
      <c r="S38" s="458"/>
      <c r="T38" s="458"/>
    </row>
    <row r="40" spans="1:20" x14ac:dyDescent="0.2">
      <c r="A40" s="569" t="s">
        <v>70</v>
      </c>
      <c r="B40" s="569"/>
      <c r="C40" s="569"/>
      <c r="D40" s="569"/>
      <c r="E40" s="569"/>
      <c r="F40" s="569"/>
      <c r="G40" s="569"/>
      <c r="H40" s="569"/>
      <c r="I40" s="569"/>
      <c r="J40" s="569"/>
      <c r="K40" s="569"/>
      <c r="L40" s="569"/>
      <c r="M40" s="569"/>
      <c r="N40" s="569"/>
      <c r="O40" s="569"/>
      <c r="P40" s="569"/>
      <c r="Q40" s="569"/>
      <c r="R40" s="569"/>
      <c r="S40" s="569"/>
      <c r="T40" s="569"/>
    </row>
    <row r="42" spans="1:20" x14ac:dyDescent="0.2">
      <c r="B42" s="2" t="s">
        <v>13</v>
      </c>
      <c r="C42" s="569" t="s">
        <v>71</v>
      </c>
      <c r="D42" s="569"/>
      <c r="E42" s="569"/>
      <c r="F42" s="569"/>
      <c r="G42" s="569"/>
      <c r="H42" s="617" t="str">
        <f>'2.R-k bankowy'!F18</f>
        <v/>
      </c>
      <c r="I42" s="617"/>
      <c r="J42" s="617"/>
      <c r="K42" s="617"/>
      <c r="L42" s="617"/>
      <c r="M42" s="617"/>
      <c r="N42" s="617"/>
      <c r="O42" s="617"/>
      <c r="P42" s="617"/>
      <c r="Q42" s="569" t="s">
        <v>72</v>
      </c>
      <c r="R42" s="569"/>
      <c r="S42" s="569"/>
      <c r="T42" s="569"/>
    </row>
    <row r="43" spans="1:20" x14ac:dyDescent="0.2">
      <c r="C43" s="569" t="s">
        <v>73</v>
      </c>
      <c r="D43" s="569"/>
      <c r="E43" s="569"/>
      <c r="F43" s="569"/>
      <c r="G43" s="569"/>
      <c r="H43" s="569"/>
      <c r="I43" s="569"/>
      <c r="J43" s="569"/>
      <c r="K43" s="569"/>
      <c r="L43" s="569"/>
      <c r="M43" s="569"/>
      <c r="N43" s="569"/>
      <c r="O43" s="569"/>
      <c r="P43" s="569"/>
      <c r="Q43" s="569"/>
      <c r="R43" s="569"/>
      <c r="S43" s="569"/>
      <c r="T43" s="569"/>
    </row>
    <row r="45" spans="1:20" x14ac:dyDescent="0.2">
      <c r="B45" s="2" t="s">
        <v>13</v>
      </c>
      <c r="C45" s="569" t="s">
        <v>74</v>
      </c>
      <c r="D45" s="569"/>
      <c r="E45" s="569"/>
      <c r="F45" s="569"/>
      <c r="G45" s="569"/>
      <c r="H45" s="569"/>
      <c r="I45" s="569"/>
      <c r="J45" s="569"/>
      <c r="K45" s="569"/>
      <c r="L45" s="569"/>
      <c r="M45" s="569"/>
      <c r="N45" s="569"/>
      <c r="O45" s="569"/>
      <c r="P45" s="569"/>
      <c r="Q45" s="569"/>
      <c r="R45" s="569"/>
      <c r="S45" s="569"/>
      <c r="T45" s="569"/>
    </row>
    <row r="46" spans="1:20" x14ac:dyDescent="0.2">
      <c r="C46" s="4"/>
      <c r="D46" s="4"/>
      <c r="E46" s="4"/>
      <c r="F46" s="4"/>
      <c r="G46" s="4"/>
      <c r="H46" s="4"/>
      <c r="I46" s="4"/>
      <c r="J46" s="4"/>
      <c r="K46" s="4"/>
      <c r="L46" s="4"/>
      <c r="M46" s="4"/>
      <c r="N46" s="4"/>
      <c r="O46" s="4"/>
      <c r="P46" s="4"/>
      <c r="Q46" s="4"/>
      <c r="R46" s="4"/>
      <c r="S46" s="4"/>
      <c r="T46" s="4"/>
    </row>
    <row r="47" spans="1:20" x14ac:dyDescent="0.2">
      <c r="A47" s="2" t="s">
        <v>202</v>
      </c>
      <c r="C47" s="4"/>
      <c r="D47" s="4"/>
      <c r="E47" s="4"/>
      <c r="F47" s="4"/>
      <c r="G47" s="4"/>
      <c r="H47" s="4"/>
      <c r="I47" s="4"/>
      <c r="J47" s="4"/>
      <c r="K47" s="4"/>
      <c r="L47" s="4"/>
      <c r="M47" s="4"/>
      <c r="N47" s="4"/>
      <c r="O47" s="4"/>
      <c r="P47" s="4"/>
      <c r="Q47" s="4"/>
      <c r="R47" s="4"/>
      <c r="S47" s="4"/>
      <c r="T47" s="4"/>
    </row>
    <row r="48" spans="1:20" x14ac:dyDescent="0.2">
      <c r="A48" s="2" t="s">
        <v>207</v>
      </c>
      <c r="C48" s="4"/>
      <c r="D48" s="4"/>
      <c r="E48" s="4"/>
      <c r="F48" s="4"/>
      <c r="G48" s="4"/>
      <c r="H48" s="4"/>
      <c r="I48" s="4"/>
      <c r="J48" s="4"/>
      <c r="K48" s="4"/>
      <c r="L48" s="4"/>
      <c r="M48" s="4"/>
      <c r="N48" s="4"/>
      <c r="O48" s="4"/>
      <c r="P48" s="4"/>
      <c r="Q48" s="4"/>
      <c r="R48" s="4"/>
      <c r="S48" s="4"/>
      <c r="T48" s="4"/>
    </row>
    <row r="49" spans="1:256" x14ac:dyDescent="0.2">
      <c r="A49" s="2" t="s">
        <v>203</v>
      </c>
      <c r="C49" s="4"/>
      <c r="D49" s="4"/>
      <c r="E49" s="4"/>
      <c r="F49" s="4"/>
      <c r="G49" s="4"/>
      <c r="H49" s="4"/>
      <c r="I49" s="4"/>
      <c r="J49" s="4"/>
      <c r="K49" s="4"/>
      <c r="L49" s="4"/>
      <c r="M49" s="4"/>
      <c r="N49" s="4"/>
      <c r="O49" s="4"/>
      <c r="P49" s="4"/>
      <c r="Q49" s="4"/>
      <c r="R49" s="4"/>
      <c r="S49" s="4"/>
      <c r="T49" s="4"/>
    </row>
    <row r="50" spans="1:256" x14ac:dyDescent="0.2">
      <c r="C50" s="4"/>
      <c r="D50" s="4"/>
      <c r="E50" s="4"/>
      <c r="F50" s="4"/>
      <c r="G50" s="4"/>
      <c r="H50" s="4"/>
      <c r="I50" s="4"/>
      <c r="J50" s="4"/>
      <c r="K50" s="4"/>
      <c r="L50" s="4"/>
      <c r="M50" s="4"/>
      <c r="N50" s="4"/>
      <c r="O50" s="4"/>
      <c r="P50" s="4"/>
      <c r="Q50" s="4"/>
      <c r="R50" s="4"/>
      <c r="S50" s="4"/>
      <c r="T50" s="4"/>
    </row>
    <row r="51" spans="1:256" ht="38.25" x14ac:dyDescent="0.2">
      <c r="A51" s="104" t="s">
        <v>205</v>
      </c>
      <c r="C51" s="4"/>
      <c r="D51" s="4"/>
      <c r="E51" s="4"/>
      <c r="F51" s="4"/>
      <c r="G51" s="4"/>
      <c r="H51" s="4"/>
      <c r="I51" s="4"/>
      <c r="J51" s="4"/>
      <c r="K51" s="4"/>
      <c r="L51" s="4"/>
      <c r="M51" s="4"/>
      <c r="N51" s="4"/>
      <c r="O51" s="4"/>
      <c r="P51" s="4"/>
      <c r="Q51" s="4"/>
      <c r="R51" s="4"/>
      <c r="S51" s="4"/>
      <c r="T51" s="4"/>
    </row>
    <row r="52" spans="1:256" x14ac:dyDescent="0.2">
      <c r="A52" s="616" t="s">
        <v>206</v>
      </c>
      <c r="B52" s="471"/>
      <c r="C52" s="471"/>
      <c r="D52" s="471"/>
      <c r="E52" s="471"/>
      <c r="F52" s="471"/>
      <c r="G52" s="471"/>
      <c r="H52" s="471"/>
      <c r="I52" s="471"/>
      <c r="J52" s="471"/>
      <c r="K52" s="471"/>
      <c r="L52" s="471"/>
      <c r="M52" s="471"/>
      <c r="N52" s="471"/>
      <c r="O52" s="471"/>
      <c r="P52" s="471"/>
      <c r="Q52" s="471"/>
      <c r="R52" s="471"/>
      <c r="S52" s="471"/>
      <c r="T52" s="471"/>
    </row>
    <row r="53" spans="1:256" x14ac:dyDescent="0.2">
      <c r="A53" s="576"/>
      <c r="B53" s="471"/>
      <c r="C53" s="471"/>
      <c r="D53" s="471"/>
      <c r="E53" s="471"/>
      <c r="F53" s="471"/>
      <c r="G53" s="471"/>
      <c r="H53" s="471"/>
      <c r="I53" s="471"/>
      <c r="J53" s="471"/>
      <c r="K53" s="471"/>
      <c r="L53" s="471"/>
      <c r="M53" s="471"/>
      <c r="N53" s="471"/>
      <c r="O53" s="471"/>
      <c r="P53" s="471"/>
      <c r="Q53" s="471"/>
      <c r="R53" s="471"/>
      <c r="S53" s="471"/>
      <c r="T53" s="471"/>
      <c r="U53" s="576"/>
      <c r="V53" s="576"/>
      <c r="W53" s="576"/>
      <c r="X53" s="576"/>
      <c r="Y53" s="576"/>
      <c r="Z53" s="576"/>
      <c r="AA53" s="576"/>
      <c r="AB53" s="576"/>
      <c r="AC53" s="576"/>
      <c r="AD53" s="576"/>
      <c r="AE53" s="576"/>
      <c r="AF53" s="576"/>
      <c r="AG53" s="576"/>
      <c r="AH53" s="576"/>
      <c r="AI53" s="576"/>
      <c r="AJ53" s="576"/>
      <c r="AK53" s="576"/>
      <c r="AL53" s="576"/>
      <c r="AM53" s="576"/>
      <c r="AN53" s="576"/>
      <c r="AO53" s="576"/>
      <c r="AP53" s="471"/>
      <c r="AQ53" s="471"/>
      <c r="AR53" s="471"/>
      <c r="AS53" s="471"/>
      <c r="AT53" s="471"/>
      <c r="AU53" s="471"/>
      <c r="AV53" s="471"/>
      <c r="AW53" s="471"/>
      <c r="AX53" s="471"/>
      <c r="AY53" s="471"/>
      <c r="AZ53" s="471"/>
      <c r="BA53" s="471"/>
      <c r="BB53" s="471"/>
      <c r="BC53" s="471"/>
      <c r="BD53" s="471"/>
      <c r="BE53" s="471"/>
      <c r="BF53" s="471"/>
      <c r="BG53" s="471"/>
      <c r="BH53" s="471"/>
      <c r="BI53" s="576"/>
      <c r="BJ53" s="471"/>
      <c r="BK53" s="471"/>
      <c r="BL53" s="471"/>
      <c r="BM53" s="471"/>
      <c r="BN53" s="471"/>
      <c r="BO53" s="471"/>
      <c r="BP53" s="471"/>
      <c r="BQ53" s="471"/>
      <c r="BR53" s="471"/>
      <c r="BS53" s="471"/>
      <c r="BT53" s="471"/>
      <c r="BU53" s="471"/>
      <c r="BV53" s="471"/>
      <c r="BW53" s="471"/>
      <c r="BX53" s="471"/>
      <c r="BY53" s="471"/>
      <c r="BZ53" s="471"/>
      <c r="CA53" s="471"/>
      <c r="CB53" s="471"/>
      <c r="CC53" s="15"/>
      <c r="CD53" s="103"/>
      <c r="CE53" s="103"/>
      <c r="CF53" s="103"/>
      <c r="CG53" s="103"/>
      <c r="CH53" s="103"/>
      <c r="CI53" s="103"/>
      <c r="CJ53" s="103"/>
      <c r="CK53" s="103"/>
      <c r="CL53" s="103"/>
      <c r="CM53" s="103"/>
      <c r="CN53" s="103"/>
      <c r="CO53" s="103"/>
      <c r="CP53" s="103"/>
      <c r="CQ53" s="103"/>
      <c r="CR53" s="103"/>
      <c r="CS53" s="103"/>
      <c r="CT53" s="103"/>
      <c r="CU53" s="103"/>
      <c r="CV53" s="103"/>
      <c r="CW53" s="576"/>
      <c r="CX53" s="471"/>
      <c r="CY53" s="471"/>
      <c r="CZ53" s="471"/>
      <c r="DA53" s="471"/>
      <c r="DB53" s="471"/>
      <c r="DC53" s="471"/>
      <c r="DD53" s="471"/>
      <c r="DE53" s="471"/>
      <c r="DF53" s="471"/>
      <c r="DG53" s="471"/>
      <c r="DH53" s="471"/>
      <c r="DI53" s="471"/>
      <c r="DJ53" s="471"/>
      <c r="DK53" s="471"/>
      <c r="DL53" s="471"/>
      <c r="DM53" s="471"/>
      <c r="DN53" s="471"/>
      <c r="DO53" s="471"/>
      <c r="DP53" s="471"/>
      <c r="DQ53" s="576"/>
      <c r="DR53" s="471"/>
      <c r="DS53" s="471"/>
      <c r="DT53" s="471"/>
      <c r="DU53" s="471"/>
      <c r="DV53" s="471"/>
      <c r="DW53" s="471"/>
      <c r="DX53" s="471"/>
      <c r="DY53" s="471"/>
      <c r="DZ53" s="471"/>
      <c r="EA53" s="471"/>
      <c r="EB53" s="471"/>
      <c r="EC53" s="471"/>
      <c r="ED53" s="471"/>
      <c r="EE53" s="471"/>
      <c r="EF53" s="471"/>
      <c r="EG53" s="471"/>
      <c r="EH53" s="471"/>
      <c r="EI53" s="471"/>
      <c r="EJ53" s="471"/>
      <c r="EK53" s="576"/>
      <c r="EL53" s="471"/>
      <c r="EM53" s="471"/>
      <c r="EN53" s="471"/>
      <c r="EO53" s="471"/>
      <c r="EP53" s="471"/>
      <c r="EQ53" s="471"/>
      <c r="ER53" s="471"/>
      <c r="ES53" s="471"/>
      <c r="ET53" s="471"/>
      <c r="EU53" s="471"/>
      <c r="EV53" s="471"/>
      <c r="EW53" s="471"/>
      <c r="EX53" s="471"/>
      <c r="EY53" s="471"/>
      <c r="EZ53" s="471"/>
      <c r="FA53" s="471"/>
      <c r="FB53" s="471"/>
      <c r="FC53" s="471"/>
      <c r="FD53" s="471"/>
      <c r="FE53" s="576"/>
      <c r="FF53" s="471"/>
      <c r="FG53" s="471"/>
      <c r="FH53" s="471"/>
      <c r="FI53" s="471"/>
      <c r="FJ53" s="471"/>
      <c r="FK53" s="471"/>
      <c r="FL53" s="471"/>
      <c r="FM53" s="471"/>
      <c r="FN53" s="471"/>
      <c r="FO53" s="471"/>
      <c r="FP53" s="471"/>
      <c r="FQ53" s="471"/>
      <c r="FR53" s="471"/>
      <c r="FS53" s="471"/>
      <c r="FT53" s="471"/>
      <c r="FU53" s="471"/>
      <c r="FV53" s="471"/>
      <c r="FW53" s="471"/>
      <c r="FX53" s="471"/>
      <c r="FY53" s="576"/>
      <c r="FZ53" s="471"/>
      <c r="GA53" s="471"/>
      <c r="GB53" s="471"/>
      <c r="GC53" s="471"/>
      <c r="GD53" s="471"/>
      <c r="GE53" s="471"/>
      <c r="GF53" s="471"/>
      <c r="GG53" s="471"/>
      <c r="GH53" s="471"/>
      <c r="GI53" s="471"/>
      <c r="GJ53" s="471"/>
      <c r="GK53" s="471"/>
      <c r="GL53" s="471"/>
      <c r="GM53" s="471"/>
      <c r="GN53" s="471"/>
      <c r="GO53" s="471"/>
      <c r="GP53" s="471"/>
      <c r="GQ53" s="471"/>
      <c r="GR53" s="471"/>
      <c r="GS53" s="576"/>
      <c r="GT53" s="471"/>
      <c r="GU53" s="471"/>
      <c r="GV53" s="471"/>
      <c r="GW53" s="471"/>
      <c r="GX53" s="471"/>
      <c r="GY53" s="471"/>
      <c r="GZ53" s="471"/>
      <c r="HA53" s="471"/>
      <c r="HB53" s="471"/>
      <c r="HC53" s="471"/>
      <c r="HD53" s="471"/>
      <c r="HE53" s="471"/>
      <c r="HF53" s="471"/>
      <c r="HG53" s="471"/>
      <c r="HH53" s="471"/>
      <c r="HI53" s="471"/>
      <c r="HJ53" s="471"/>
      <c r="HK53" s="471"/>
      <c r="HL53" s="471"/>
      <c r="HM53" s="576"/>
      <c r="HN53" s="471"/>
      <c r="HO53" s="471"/>
      <c r="HP53" s="471"/>
      <c r="HQ53" s="471"/>
      <c r="HR53" s="471"/>
      <c r="HS53" s="471"/>
      <c r="HT53" s="471"/>
      <c r="HU53" s="471"/>
      <c r="HV53" s="471"/>
      <c r="HW53" s="471"/>
      <c r="HX53" s="471"/>
      <c r="HY53" s="471"/>
      <c r="HZ53" s="471"/>
      <c r="IA53" s="471"/>
      <c r="IB53" s="471"/>
      <c r="IC53" s="471"/>
      <c r="ID53" s="471"/>
      <c r="IE53" s="471"/>
      <c r="IF53" s="471"/>
      <c r="IG53" s="576"/>
      <c r="IH53" s="471"/>
      <c r="II53" s="471"/>
      <c r="IJ53" s="471"/>
      <c r="IK53" s="471"/>
      <c r="IL53" s="471"/>
      <c r="IM53" s="471"/>
      <c r="IN53" s="471"/>
      <c r="IO53" s="471"/>
      <c r="IP53" s="471"/>
      <c r="IQ53" s="471"/>
      <c r="IR53" s="471"/>
      <c r="IS53" s="471"/>
      <c r="IT53" s="471"/>
      <c r="IU53" s="471"/>
      <c r="IV53" s="471"/>
    </row>
    <row r="54" spans="1:256" x14ac:dyDescent="0.2">
      <c r="A54" s="576"/>
      <c r="B54" s="471"/>
      <c r="C54" s="471"/>
      <c r="D54" s="471"/>
      <c r="E54" s="471"/>
      <c r="F54" s="471"/>
      <c r="G54" s="471"/>
      <c r="H54" s="471"/>
      <c r="I54" s="471"/>
      <c r="J54" s="471"/>
      <c r="K54" s="471"/>
      <c r="L54" s="471"/>
      <c r="M54" s="471"/>
      <c r="N54" s="471"/>
      <c r="O54" s="471"/>
      <c r="P54" s="471"/>
      <c r="Q54" s="471"/>
      <c r="R54" s="471"/>
      <c r="S54" s="471"/>
      <c r="T54" s="471"/>
    </row>
    <row r="55" spans="1:256" x14ac:dyDescent="0.2">
      <c r="A55" s="569" t="s">
        <v>75</v>
      </c>
      <c r="B55" s="569"/>
      <c r="C55" s="569"/>
      <c r="D55" s="569"/>
      <c r="E55" s="569"/>
      <c r="F55" s="569"/>
      <c r="G55" s="569"/>
      <c r="H55" s="569"/>
      <c r="I55" s="569"/>
      <c r="J55" s="569"/>
      <c r="K55" s="569"/>
      <c r="L55" s="569"/>
      <c r="M55" s="569"/>
      <c r="N55" s="569"/>
      <c r="O55" s="569"/>
      <c r="P55" s="569"/>
      <c r="Q55" s="569"/>
      <c r="R55" s="569"/>
      <c r="S55" s="569"/>
      <c r="T55" s="569"/>
    </row>
    <row r="56" spans="1:256" x14ac:dyDescent="0.2">
      <c r="A56" s="569" t="s">
        <v>38</v>
      </c>
      <c r="B56" s="569"/>
      <c r="C56" s="569"/>
      <c r="D56" s="569"/>
      <c r="E56" s="569"/>
      <c r="F56" s="569"/>
      <c r="G56" s="569"/>
      <c r="H56" s="569"/>
      <c r="I56" s="569"/>
      <c r="J56" s="569"/>
      <c r="K56" s="569"/>
      <c r="L56" s="569"/>
      <c r="M56" s="569"/>
      <c r="N56" s="569"/>
      <c r="O56" s="569"/>
      <c r="P56" s="569"/>
      <c r="Q56" s="569"/>
      <c r="R56" s="569"/>
      <c r="S56" s="569"/>
      <c r="T56" s="569"/>
    </row>
    <row r="57" spans="1:256" x14ac:dyDescent="0.2">
      <c r="A57" s="458"/>
      <c r="B57" s="458"/>
      <c r="C57" s="458"/>
      <c r="D57" s="458"/>
      <c r="E57" s="458"/>
      <c r="F57" s="458"/>
      <c r="G57" s="458"/>
      <c r="H57" s="458"/>
      <c r="I57" s="458"/>
      <c r="J57" s="458"/>
      <c r="K57" s="458"/>
      <c r="L57" s="458"/>
      <c r="M57" s="458"/>
      <c r="N57" s="458"/>
      <c r="O57" s="458"/>
      <c r="P57" s="458"/>
      <c r="Q57" s="458"/>
      <c r="R57" s="458"/>
      <c r="S57" s="458"/>
      <c r="T57" s="458"/>
    </row>
    <row r="58" spans="1:256" x14ac:dyDescent="0.2">
      <c r="A58" s="458"/>
      <c r="B58" s="458"/>
      <c r="C58" s="458"/>
      <c r="D58" s="458"/>
      <c r="E58" s="458"/>
      <c r="F58" s="458"/>
      <c r="G58" s="458"/>
      <c r="H58" s="458"/>
      <c r="I58" s="458"/>
      <c r="J58" s="458"/>
      <c r="K58" s="458"/>
      <c r="L58" s="458"/>
      <c r="M58" s="458"/>
      <c r="N58" s="458"/>
      <c r="O58" s="458"/>
      <c r="P58" s="458"/>
      <c r="Q58" s="458"/>
      <c r="R58" s="458"/>
      <c r="S58" s="458"/>
      <c r="T58" s="458"/>
    </row>
    <row r="59" spans="1:256" x14ac:dyDescent="0.2">
      <c r="A59" s="458"/>
      <c r="B59" s="458"/>
      <c r="C59" s="458"/>
      <c r="D59" s="458"/>
      <c r="E59" s="458"/>
      <c r="F59" s="458"/>
      <c r="G59" s="458"/>
      <c r="H59" s="458"/>
      <c r="I59" s="458"/>
      <c r="J59" s="458"/>
      <c r="K59" s="458"/>
      <c r="L59" s="458"/>
      <c r="M59" s="458"/>
      <c r="N59" s="458"/>
      <c r="O59" s="458"/>
      <c r="P59" s="458"/>
      <c r="Q59" s="458"/>
      <c r="R59" s="458"/>
      <c r="S59" s="458"/>
      <c r="T59" s="458"/>
    </row>
    <row r="60" spans="1:256" x14ac:dyDescent="0.2">
      <c r="A60" s="458"/>
      <c r="B60" s="458"/>
      <c r="C60" s="458"/>
      <c r="D60" s="458"/>
      <c r="E60" s="458"/>
      <c r="F60" s="458"/>
      <c r="G60" s="458"/>
      <c r="H60" s="458"/>
      <c r="I60" s="458"/>
      <c r="J60" s="458"/>
      <c r="K60" s="458"/>
      <c r="L60" s="458"/>
      <c r="M60" s="458"/>
      <c r="N60" s="458"/>
      <c r="O60" s="458"/>
      <c r="P60" s="458"/>
      <c r="Q60" s="458"/>
      <c r="R60" s="458"/>
      <c r="S60" s="458"/>
      <c r="T60" s="458"/>
    </row>
    <row r="61" spans="1:256" x14ac:dyDescent="0.2">
      <c r="A61" s="458"/>
      <c r="B61" s="458"/>
      <c r="C61" s="458"/>
      <c r="D61" s="458"/>
      <c r="E61" s="458"/>
      <c r="F61" s="458"/>
      <c r="G61" s="458"/>
      <c r="H61" s="458"/>
      <c r="I61" s="458"/>
      <c r="J61" s="458"/>
      <c r="K61" s="458"/>
      <c r="L61" s="458"/>
      <c r="M61" s="458"/>
      <c r="N61" s="458"/>
      <c r="O61" s="458"/>
      <c r="P61" s="458"/>
      <c r="Q61" s="458"/>
      <c r="R61" s="458"/>
      <c r="S61" s="458"/>
      <c r="T61" s="458"/>
    </row>
    <row r="62" spans="1:256" x14ac:dyDescent="0.2">
      <c r="A62" s="466" t="str">
        <f>'Dane personalne'!$D$94&amp;""</f>
        <v/>
      </c>
      <c r="B62" s="466"/>
      <c r="C62" s="466"/>
      <c r="D62" s="466"/>
      <c r="E62" s="466"/>
      <c r="F62" s="466"/>
      <c r="G62" s="466" t="str">
        <f>'Dane personalne'!$F$94</f>
        <v/>
      </c>
      <c r="H62" s="466"/>
      <c r="I62" s="466"/>
      <c r="J62" s="466"/>
      <c r="K62" s="466"/>
      <c r="O62" s="469"/>
      <c r="P62" s="469"/>
      <c r="Q62" s="469"/>
      <c r="R62" s="469"/>
      <c r="S62" s="469"/>
      <c r="T62" s="469"/>
    </row>
    <row r="63" spans="1:256" x14ac:dyDescent="0.2">
      <c r="A63" s="458" t="s">
        <v>41</v>
      </c>
      <c r="B63" s="458"/>
      <c r="C63" s="458"/>
      <c r="D63" s="458"/>
      <c r="E63" s="458"/>
      <c r="F63" s="458"/>
      <c r="G63" s="458"/>
      <c r="H63" s="458"/>
      <c r="I63" s="458"/>
      <c r="O63" s="458" t="s">
        <v>43</v>
      </c>
      <c r="P63" s="458"/>
      <c r="Q63" s="458"/>
      <c r="R63" s="458"/>
      <c r="S63" s="458"/>
      <c r="T63" s="458"/>
      <c r="U63" s="15"/>
      <c r="V63" s="15"/>
    </row>
  </sheetData>
  <mergeCells count="48">
    <mergeCell ref="HM53:IF53"/>
    <mergeCell ref="IG53:IV53"/>
    <mergeCell ref="CW53:DP53"/>
    <mergeCell ref="DQ53:EJ53"/>
    <mergeCell ref="EK53:FD53"/>
    <mergeCell ref="FE53:FX53"/>
    <mergeCell ref="FY53:GR53"/>
    <mergeCell ref="GS53:HL53"/>
    <mergeCell ref="U53:AN53"/>
    <mergeCell ref="AO53:BH53"/>
    <mergeCell ref="BI53:CB53"/>
    <mergeCell ref="A54:T54"/>
    <mergeCell ref="B20:N20"/>
    <mergeCell ref="C45:T45"/>
    <mergeCell ref="A52:T52"/>
    <mergeCell ref="A53:T53"/>
    <mergeCell ref="H38:T38"/>
    <mergeCell ref="A40:T40"/>
    <mergeCell ref="C42:G42"/>
    <mergeCell ref="H42:P42"/>
    <mergeCell ref="Q42:T42"/>
    <mergeCell ref="C43:T43"/>
    <mergeCell ref="A37:G37"/>
    <mergeCell ref="H37:T37"/>
    <mergeCell ref="A55:T55"/>
    <mergeCell ref="A56:T56"/>
    <mergeCell ref="A57:T61"/>
    <mergeCell ref="A63:I63"/>
    <mergeCell ref="O63:T63"/>
    <mergeCell ref="O62:T62"/>
    <mergeCell ref="A62:F62"/>
    <mergeCell ref="G62:K62"/>
    <mergeCell ref="A32:T32"/>
    <mergeCell ref="A33:T33"/>
    <mergeCell ref="A31:T31"/>
    <mergeCell ref="A11:J11"/>
    <mergeCell ref="A12:J12"/>
    <mergeCell ref="B15:K15"/>
    <mergeCell ref="L15:N15"/>
    <mergeCell ref="A30:T30"/>
    <mergeCell ref="O15:T15"/>
    <mergeCell ref="P17:T17"/>
    <mergeCell ref="O24:T24"/>
    <mergeCell ref="B26:K26"/>
    <mergeCell ref="S26:T26"/>
    <mergeCell ref="D17:K17"/>
    <mergeCell ref="B19:N19"/>
    <mergeCell ref="A29:T29"/>
  </mergeCells>
  <phoneticPr fontId="2" type="noConversion"/>
  <pageMargins left="0.27559055118110237" right="0.35433070866141736" top="0.55118110236220474" bottom="0.59055118110236227" header="0.51181102362204722" footer="0.51181102362204722"/>
  <pageSetup scale="85"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V63"/>
  <sheetViews>
    <sheetView topLeftCell="A10" zoomScaleNormal="100" zoomScaleSheetLayoutView="80" workbookViewId="0">
      <selection activeCell="H37" sqref="H37:T37"/>
    </sheetView>
  </sheetViews>
  <sheetFormatPr defaultColWidth="9.140625" defaultRowHeight="12.75" x14ac:dyDescent="0.2"/>
  <cols>
    <col min="1" max="1" width="13.7109375" style="114" customWidth="1"/>
    <col min="2" max="13" width="3.28515625" style="114" customWidth="1"/>
    <col min="14" max="14" width="7.7109375" style="114" customWidth="1"/>
    <col min="15" max="16" width="9.140625" style="114"/>
    <col min="17" max="17" width="5.28515625" style="114" customWidth="1"/>
    <col min="18" max="18" width="8.28515625" style="114" customWidth="1"/>
    <col min="19" max="19" width="4" style="114" customWidth="1"/>
    <col min="20" max="20" width="9.140625" style="114"/>
    <col min="21" max="21" width="9.140625" style="120"/>
    <col min="22" max="16384" width="9.140625" style="114"/>
  </cols>
  <sheetData>
    <row r="1" spans="1:22" x14ac:dyDescent="0.2">
      <c r="A1" s="120"/>
      <c r="B1" s="120"/>
      <c r="C1" s="120"/>
      <c r="D1" s="120"/>
      <c r="E1" s="120"/>
      <c r="F1" s="120"/>
      <c r="G1" s="120"/>
      <c r="H1" s="120"/>
      <c r="I1" s="120"/>
      <c r="J1" s="120"/>
      <c r="K1" s="120"/>
      <c r="L1" s="120"/>
      <c r="M1" s="120"/>
      <c r="N1" s="120"/>
      <c r="O1" s="120"/>
      <c r="P1" s="120"/>
      <c r="Q1" s="120"/>
      <c r="R1" s="120"/>
      <c r="S1" s="120"/>
      <c r="T1" s="120"/>
    </row>
    <row r="2" spans="1:22" x14ac:dyDescent="0.2">
      <c r="A2" s="120"/>
      <c r="B2" s="120"/>
      <c r="C2" s="120"/>
      <c r="D2" s="120"/>
      <c r="E2" s="120"/>
      <c r="F2" s="120"/>
      <c r="G2" s="120"/>
      <c r="H2" s="120"/>
      <c r="I2" s="120"/>
      <c r="J2" s="120"/>
      <c r="K2" s="120"/>
      <c r="L2" s="120"/>
      <c r="M2" s="120"/>
      <c r="N2" s="120"/>
      <c r="O2" s="120"/>
      <c r="P2" s="120"/>
      <c r="Q2" s="120"/>
      <c r="R2" s="120"/>
      <c r="S2" s="120"/>
      <c r="T2" s="120"/>
    </row>
    <row r="3" spans="1:22" x14ac:dyDescent="0.2">
      <c r="A3" s="120"/>
      <c r="B3" s="120"/>
      <c r="C3" s="120"/>
      <c r="D3" s="120"/>
      <c r="E3" s="120"/>
      <c r="F3" s="120"/>
      <c r="G3" s="120"/>
      <c r="H3" s="120"/>
      <c r="I3" s="120"/>
      <c r="J3" s="120"/>
      <c r="K3" s="120"/>
      <c r="L3" s="120"/>
      <c r="M3" s="120"/>
      <c r="N3" s="120"/>
      <c r="O3" s="120"/>
      <c r="P3" s="120"/>
      <c r="Q3" s="120"/>
      <c r="R3" s="120"/>
      <c r="S3" s="120"/>
      <c r="T3" s="120"/>
    </row>
    <row r="4" spans="1:22" x14ac:dyDescent="0.2">
      <c r="A4" s="120"/>
      <c r="B4" s="120"/>
      <c r="C4" s="120"/>
      <c r="D4" s="120"/>
      <c r="E4" s="120"/>
      <c r="F4" s="120"/>
      <c r="G4" s="120"/>
      <c r="H4" s="120"/>
      <c r="I4" s="120"/>
      <c r="J4" s="120"/>
      <c r="K4" s="120"/>
      <c r="L4" s="120"/>
      <c r="M4" s="120"/>
      <c r="N4" s="120"/>
      <c r="O4" s="120"/>
      <c r="P4" s="120"/>
      <c r="Q4" s="120"/>
      <c r="R4" s="120"/>
      <c r="S4" s="120"/>
      <c r="T4" s="120"/>
    </row>
    <row r="5" spans="1:22" ht="13.5" thickBot="1" x14ac:dyDescent="0.25">
      <c r="A5" s="120"/>
      <c r="B5" s="120"/>
      <c r="C5" s="120"/>
      <c r="D5" s="120"/>
      <c r="E5" s="120"/>
      <c r="F5" s="120"/>
      <c r="G5" s="120"/>
      <c r="H5" s="120"/>
      <c r="I5" s="120"/>
      <c r="J5" s="120"/>
      <c r="K5" s="120"/>
      <c r="L5" s="120"/>
      <c r="M5" s="120"/>
      <c r="N5" s="120"/>
      <c r="O5" s="120"/>
      <c r="P5" s="120"/>
      <c r="Q5" s="120"/>
      <c r="R5" s="120"/>
      <c r="S5" s="120"/>
      <c r="T5" s="120"/>
    </row>
    <row r="6" spans="1:22" x14ac:dyDescent="0.2">
      <c r="A6" s="125"/>
      <c r="B6" s="125"/>
      <c r="C6" s="125"/>
      <c r="D6" s="125"/>
      <c r="E6" s="125"/>
      <c r="F6" s="125"/>
      <c r="G6" s="125"/>
      <c r="H6" s="125"/>
      <c r="I6" s="125"/>
      <c r="J6" s="125"/>
      <c r="K6" s="125"/>
      <c r="L6" s="125"/>
      <c r="M6" s="125"/>
      <c r="N6" s="125"/>
      <c r="O6" s="125"/>
      <c r="P6" s="125"/>
      <c r="Q6" s="125"/>
      <c r="R6" s="125"/>
      <c r="S6" s="125"/>
      <c r="T6" s="125"/>
    </row>
    <row r="7" spans="1:22" x14ac:dyDescent="0.2">
      <c r="A7" s="120"/>
      <c r="B7" s="120"/>
      <c r="C7" s="120"/>
      <c r="D7" s="120"/>
      <c r="E7" s="120"/>
      <c r="F7" s="120"/>
      <c r="G7" s="120"/>
      <c r="H7" s="120"/>
      <c r="I7" s="120"/>
      <c r="J7" s="120"/>
      <c r="K7" s="120"/>
      <c r="L7" s="120"/>
      <c r="M7" s="120"/>
      <c r="N7" s="120"/>
      <c r="O7" s="120"/>
      <c r="P7" s="120"/>
      <c r="Q7" s="120"/>
      <c r="R7" s="120"/>
      <c r="S7" s="120"/>
      <c r="T7" s="120"/>
    </row>
    <row r="8" spans="1:22" x14ac:dyDescent="0.2">
      <c r="A8" s="120"/>
      <c r="B8" s="120"/>
      <c r="C8" s="120"/>
      <c r="D8" s="120"/>
      <c r="E8" s="120"/>
      <c r="F8" s="120"/>
      <c r="G8" s="120"/>
      <c r="H8" s="120"/>
      <c r="I8" s="120"/>
      <c r="J8" s="120"/>
      <c r="K8" s="120"/>
      <c r="L8" s="120"/>
      <c r="M8" s="120"/>
      <c r="N8" s="120"/>
      <c r="O8" s="120"/>
      <c r="P8" s="120"/>
      <c r="Q8" s="120"/>
      <c r="R8" s="120"/>
      <c r="S8" s="120"/>
      <c r="T8" s="120"/>
    </row>
    <row r="9" spans="1:22" x14ac:dyDescent="0.2">
      <c r="A9" s="120"/>
      <c r="B9" s="120"/>
      <c r="C9" s="120"/>
      <c r="D9" s="120"/>
      <c r="E9" s="120"/>
      <c r="F9" s="120"/>
      <c r="G9" s="120"/>
      <c r="H9" s="120"/>
      <c r="I9" s="120"/>
      <c r="J9" s="120"/>
      <c r="K9" s="120"/>
      <c r="L9" s="120"/>
      <c r="M9" s="120"/>
      <c r="N9" s="120"/>
      <c r="O9" s="120"/>
      <c r="P9" s="120"/>
      <c r="Q9" s="120"/>
      <c r="R9" s="120"/>
      <c r="S9" s="120"/>
      <c r="T9" s="120"/>
    </row>
    <row r="10" spans="1:22" x14ac:dyDescent="0.2">
      <c r="A10" s="120"/>
      <c r="B10" s="120"/>
      <c r="C10" s="120"/>
      <c r="D10" s="120"/>
      <c r="E10" s="120"/>
      <c r="F10" s="120"/>
      <c r="G10" s="120"/>
      <c r="H10" s="120"/>
      <c r="I10" s="120"/>
      <c r="J10" s="120"/>
      <c r="K10" s="120"/>
      <c r="L10" s="120"/>
      <c r="M10" s="120"/>
      <c r="N10" s="120"/>
      <c r="O10" s="120"/>
      <c r="P10" s="120"/>
      <c r="Q10" s="120"/>
      <c r="R10" s="120"/>
      <c r="S10" s="120"/>
      <c r="T10" s="120"/>
    </row>
    <row r="11" spans="1:22" x14ac:dyDescent="0.2">
      <c r="A11" s="405" t="str">
        <f>CONCATENATE('Dane personalne'!D11," ",'Dane personalne'!D12)</f>
        <v xml:space="preserve"> </v>
      </c>
      <c r="B11" s="405"/>
      <c r="C11" s="405"/>
      <c r="D11" s="405"/>
      <c r="E11" s="405"/>
      <c r="F11" s="405"/>
      <c r="G11" s="405"/>
      <c r="H11" s="405"/>
      <c r="I11" s="405"/>
      <c r="J11" s="405"/>
      <c r="K11" s="126"/>
      <c r="L11" s="126"/>
      <c r="M11" s="126"/>
      <c r="N11" s="126"/>
      <c r="O11" s="126"/>
      <c r="P11" s="126"/>
      <c r="Q11" s="126"/>
      <c r="R11" s="126"/>
      <c r="S11" s="120"/>
      <c r="T11" s="120"/>
    </row>
    <row r="12" spans="1:22" x14ac:dyDescent="0.2">
      <c r="A12" s="561" t="s">
        <v>369</v>
      </c>
      <c r="B12" s="561"/>
      <c r="C12" s="561"/>
      <c r="D12" s="561"/>
      <c r="E12" s="561"/>
      <c r="F12" s="561"/>
      <c r="G12" s="561"/>
      <c r="H12" s="561"/>
      <c r="I12" s="561"/>
      <c r="J12" s="561"/>
      <c r="K12" s="127"/>
      <c r="L12" s="127"/>
      <c r="M12" s="127"/>
      <c r="N12" s="127"/>
      <c r="O12" s="127"/>
      <c r="P12" s="127"/>
      <c r="Q12" s="127"/>
      <c r="R12" s="127"/>
      <c r="S12" s="120"/>
      <c r="T12" s="120"/>
    </row>
    <row r="13" spans="1:22" x14ac:dyDescent="0.2">
      <c r="A13" s="120"/>
      <c r="B13" s="120"/>
      <c r="C13" s="120"/>
      <c r="D13" s="120"/>
      <c r="E13" s="120"/>
      <c r="F13" s="120"/>
      <c r="G13" s="120"/>
      <c r="H13" s="120"/>
      <c r="I13" s="120"/>
      <c r="J13" s="120"/>
      <c r="K13" s="120"/>
      <c r="L13" s="120"/>
      <c r="M13" s="120"/>
      <c r="N13" s="120"/>
      <c r="O13" s="120"/>
      <c r="P13" s="120"/>
      <c r="Q13" s="120"/>
      <c r="R13" s="120"/>
      <c r="S13" s="120"/>
      <c r="T13" s="120"/>
    </row>
    <row r="14" spans="1:22" x14ac:dyDescent="0.2">
      <c r="A14" s="120"/>
      <c r="B14" s="120"/>
      <c r="C14" s="120"/>
      <c r="D14" s="120"/>
      <c r="E14" s="120"/>
      <c r="F14" s="120"/>
      <c r="G14" s="120"/>
      <c r="H14" s="120"/>
      <c r="I14" s="120"/>
      <c r="J14" s="120"/>
      <c r="K14" s="120"/>
      <c r="L14" s="120"/>
      <c r="M14" s="120"/>
      <c r="N14" s="120"/>
      <c r="O14" s="120"/>
      <c r="P14" s="120"/>
      <c r="Q14" s="120"/>
      <c r="R14" s="120"/>
      <c r="S14" s="120"/>
      <c r="T14" s="120"/>
    </row>
    <row r="15" spans="1:22" x14ac:dyDescent="0.2">
      <c r="A15" s="120" t="s">
        <v>370</v>
      </c>
      <c r="B15" s="405" t="str">
        <f>'1.Kwestionariusz'!R13</f>
        <v/>
      </c>
      <c r="C15" s="405"/>
      <c r="D15" s="405"/>
      <c r="E15" s="405"/>
      <c r="F15" s="405"/>
      <c r="G15" s="405"/>
      <c r="H15" s="405"/>
      <c r="I15" s="405"/>
      <c r="J15" s="405"/>
      <c r="K15" s="405"/>
      <c r="L15" s="571" t="s">
        <v>371</v>
      </c>
      <c r="M15" s="571"/>
      <c r="N15" s="571"/>
      <c r="O15" s="405" t="str">
        <f>'1.Kwestionariusz'!I13</f>
        <v/>
      </c>
      <c r="P15" s="405"/>
      <c r="Q15" s="405"/>
      <c r="R15" s="405"/>
      <c r="S15" s="405"/>
      <c r="T15" s="405"/>
      <c r="U15" s="128"/>
      <c r="V15" s="118"/>
    </row>
    <row r="16" spans="1:22" x14ac:dyDescent="0.2">
      <c r="A16" s="120"/>
      <c r="B16" s="120"/>
      <c r="C16" s="120"/>
      <c r="D16" s="120"/>
      <c r="E16" s="120"/>
      <c r="F16" s="120"/>
      <c r="G16" s="120"/>
      <c r="H16" s="120"/>
      <c r="I16" s="120"/>
      <c r="J16" s="120"/>
      <c r="K16" s="120"/>
      <c r="L16" s="120"/>
      <c r="M16" s="120"/>
      <c r="N16" s="120"/>
      <c r="O16" s="120"/>
      <c r="P16" s="120"/>
      <c r="Q16" s="120"/>
      <c r="R16" s="120"/>
      <c r="S16" s="120"/>
      <c r="T16" s="120"/>
    </row>
    <row r="17" spans="1:22" x14ac:dyDescent="0.2">
      <c r="A17" s="120" t="s">
        <v>336</v>
      </c>
      <c r="B17" s="120"/>
      <c r="C17" s="120"/>
      <c r="D17" s="577" t="str">
        <f>'1.Kwestionariusz'!G15</f>
        <v/>
      </c>
      <c r="E17" s="586"/>
      <c r="F17" s="586"/>
      <c r="G17" s="586"/>
      <c r="H17" s="586"/>
      <c r="I17" s="586"/>
      <c r="J17" s="586"/>
      <c r="K17" s="586"/>
      <c r="L17" s="120"/>
      <c r="M17" s="120" t="s">
        <v>372</v>
      </c>
      <c r="N17" s="120"/>
      <c r="O17" s="120"/>
      <c r="P17" s="405" t="str">
        <f>'1.Kwestionariusz'!V15</f>
        <v/>
      </c>
      <c r="Q17" s="405"/>
      <c r="R17" s="405"/>
      <c r="S17" s="405"/>
      <c r="T17" s="405"/>
      <c r="U17" s="129"/>
      <c r="V17" s="116"/>
    </row>
    <row r="18" spans="1:22" x14ac:dyDescent="0.2">
      <c r="A18" s="120"/>
      <c r="B18" s="120"/>
      <c r="C18" s="120"/>
      <c r="D18" s="120"/>
      <c r="E18" s="120"/>
      <c r="F18" s="120"/>
      <c r="G18" s="120"/>
      <c r="H18" s="120"/>
      <c r="I18" s="120"/>
      <c r="J18" s="120"/>
      <c r="K18" s="120"/>
      <c r="L18" s="120"/>
      <c r="M18" s="120"/>
      <c r="N18" s="120"/>
      <c r="O18" s="120"/>
      <c r="P18" s="120"/>
      <c r="Q18" s="120"/>
      <c r="R18" s="120"/>
      <c r="S18" s="120"/>
      <c r="T18" s="120"/>
    </row>
    <row r="19" spans="1:22" x14ac:dyDescent="0.2">
      <c r="A19" s="120" t="s">
        <v>373</v>
      </c>
      <c r="B19" s="577" t="str">
        <f>'1.Kwestionariusz'!B18</f>
        <v/>
      </c>
      <c r="C19" s="586"/>
      <c r="D19" s="586"/>
      <c r="E19" s="586"/>
      <c r="F19" s="586"/>
      <c r="G19" s="586"/>
      <c r="H19" s="586"/>
      <c r="I19" s="586"/>
      <c r="J19" s="586"/>
      <c r="K19" s="586"/>
      <c r="L19" s="586"/>
      <c r="M19" s="586"/>
      <c r="N19" s="586"/>
      <c r="O19" s="120"/>
      <c r="P19" s="120"/>
      <c r="Q19" s="120"/>
      <c r="R19" s="120"/>
      <c r="S19" s="120"/>
      <c r="T19" s="120"/>
    </row>
    <row r="20" spans="1:22" x14ac:dyDescent="0.2">
      <c r="A20" s="120" t="s">
        <v>374</v>
      </c>
      <c r="B20" s="577" t="str">
        <f>'1.Kwestionariusz'!O18</f>
        <v/>
      </c>
      <c r="C20" s="586"/>
      <c r="D20" s="586"/>
      <c r="E20" s="586"/>
      <c r="F20" s="586"/>
      <c r="G20" s="586"/>
      <c r="H20" s="586"/>
      <c r="I20" s="586"/>
      <c r="J20" s="586"/>
      <c r="K20" s="586"/>
      <c r="L20" s="586"/>
      <c r="M20" s="586"/>
      <c r="N20" s="586"/>
      <c r="O20" s="120"/>
      <c r="P20" s="120"/>
      <c r="Q20" s="120"/>
      <c r="R20" s="120"/>
      <c r="S20" s="120"/>
      <c r="T20" s="120"/>
    </row>
    <row r="21" spans="1:22" x14ac:dyDescent="0.2">
      <c r="A21" s="120"/>
      <c r="B21" s="120"/>
      <c r="C21" s="120"/>
      <c r="D21" s="120"/>
      <c r="E21" s="120"/>
      <c r="F21" s="120"/>
      <c r="G21" s="120"/>
      <c r="H21" s="120"/>
      <c r="I21" s="120"/>
      <c r="J21" s="120"/>
      <c r="K21" s="120"/>
      <c r="L21" s="120"/>
      <c r="M21" s="120"/>
      <c r="N21" s="120"/>
      <c r="O21" s="120"/>
      <c r="P21" s="120"/>
      <c r="Q21" s="120"/>
      <c r="R21" s="120"/>
      <c r="S21" s="120"/>
      <c r="T21" s="120"/>
    </row>
    <row r="22" spans="1:22" x14ac:dyDescent="0.2">
      <c r="A22" s="131" t="s">
        <v>375</v>
      </c>
      <c r="B22" s="120"/>
      <c r="C22" s="120"/>
      <c r="D22" s="120"/>
      <c r="E22" s="120"/>
      <c r="F22" s="120"/>
      <c r="G22" s="120"/>
      <c r="H22" s="120"/>
      <c r="I22" s="120"/>
      <c r="J22" s="120"/>
      <c r="K22" s="120"/>
      <c r="L22" s="120"/>
      <c r="M22" s="120"/>
      <c r="N22" s="120"/>
      <c r="O22" s="120"/>
      <c r="P22" s="120"/>
      <c r="Q22" s="120"/>
      <c r="R22" s="120"/>
      <c r="S22" s="120"/>
      <c r="T22" s="120"/>
    </row>
    <row r="23" spans="1:22" x14ac:dyDescent="0.2">
      <c r="A23" s="120"/>
      <c r="B23" s="120"/>
      <c r="C23" s="120"/>
      <c r="D23" s="120"/>
      <c r="E23" s="120"/>
      <c r="F23" s="120"/>
      <c r="G23" s="120"/>
      <c r="H23" s="120"/>
      <c r="I23" s="120"/>
      <c r="J23" s="120"/>
      <c r="K23" s="120"/>
      <c r="L23" s="120"/>
      <c r="M23" s="120"/>
      <c r="N23" s="120"/>
      <c r="O23" s="120"/>
      <c r="P23" s="120"/>
      <c r="Q23" s="120"/>
      <c r="R23" s="120"/>
      <c r="S23" s="120"/>
      <c r="T23" s="120"/>
    </row>
    <row r="24" spans="1:22" x14ac:dyDescent="0.2">
      <c r="A24" s="123" t="s">
        <v>321</v>
      </c>
      <c r="B24" s="132" t="str">
        <f>'2.R-k bankowy'!X18</f>
        <v/>
      </c>
      <c r="C24" s="132" t="str">
        <f>'2.R-k bankowy'!Y18</f>
        <v/>
      </c>
      <c r="D24" s="133" t="s">
        <v>13</v>
      </c>
      <c r="E24" s="132" t="str">
        <f>'2.R-k bankowy'!AA18</f>
        <v/>
      </c>
      <c r="F24" s="132" t="str">
        <f>'2.R-k bankowy'!AB18</f>
        <v/>
      </c>
      <c r="G24" s="132" t="str">
        <f>'2.R-k bankowy'!AC18</f>
        <v/>
      </c>
      <c r="H24" s="134"/>
      <c r="I24" s="134"/>
      <c r="J24" s="134" t="s">
        <v>324</v>
      </c>
      <c r="K24" s="134"/>
      <c r="L24" s="134"/>
      <c r="M24" s="134"/>
      <c r="N24" s="134"/>
      <c r="O24" s="405" t="str">
        <f>'2.R-k bankowy'!F18</f>
        <v/>
      </c>
      <c r="P24" s="405"/>
      <c r="Q24" s="405"/>
      <c r="R24" s="405"/>
      <c r="S24" s="405"/>
      <c r="T24" s="405"/>
    </row>
    <row r="25" spans="1:22" x14ac:dyDescent="0.2">
      <c r="A25" s="120"/>
      <c r="B25" s="120"/>
      <c r="C25" s="120"/>
      <c r="D25" s="120"/>
      <c r="E25" s="120"/>
      <c r="F25" s="120"/>
      <c r="G25" s="120"/>
      <c r="H25" s="120"/>
      <c r="I25" s="120"/>
      <c r="J25" s="120"/>
      <c r="K25" s="120"/>
      <c r="L25" s="120"/>
      <c r="M25" s="120"/>
      <c r="N25" s="120"/>
      <c r="O25" s="120"/>
      <c r="P25" s="120"/>
      <c r="Q25" s="120"/>
      <c r="R25" s="120"/>
      <c r="S25" s="120"/>
      <c r="T25" s="120"/>
    </row>
    <row r="26" spans="1:22" x14ac:dyDescent="0.2">
      <c r="A26" s="120" t="s">
        <v>322</v>
      </c>
      <c r="B26" s="405" t="str">
        <f>'1.Kwestionariusz'!A23</f>
        <v/>
      </c>
      <c r="C26" s="405"/>
      <c r="D26" s="405"/>
      <c r="E26" s="405"/>
      <c r="F26" s="405"/>
      <c r="G26" s="405"/>
      <c r="H26" s="405"/>
      <c r="I26" s="405"/>
      <c r="J26" s="405"/>
      <c r="K26" s="405"/>
      <c r="L26" s="120" t="s">
        <v>376</v>
      </c>
      <c r="M26" s="120"/>
      <c r="N26" s="120"/>
      <c r="O26" s="135"/>
      <c r="P26" s="136" t="str">
        <f>'1.Kwestionariusz'!P23:U23</f>
        <v/>
      </c>
      <c r="Q26" s="142"/>
      <c r="R26" s="143"/>
      <c r="S26" s="566"/>
      <c r="T26" s="566"/>
      <c r="U26" s="128"/>
    </row>
    <row r="27" spans="1:22" x14ac:dyDescent="0.2">
      <c r="A27" s="120"/>
      <c r="B27" s="120"/>
      <c r="C27" s="120"/>
      <c r="D27" s="120"/>
      <c r="E27" s="120"/>
      <c r="F27" s="120"/>
      <c r="G27" s="120"/>
      <c r="H27" s="120"/>
      <c r="I27" s="120"/>
      <c r="J27" s="120"/>
      <c r="K27" s="120"/>
      <c r="L27" s="120"/>
      <c r="M27" s="120"/>
      <c r="N27" s="120"/>
      <c r="O27" s="120"/>
      <c r="P27" s="120"/>
      <c r="Q27" s="120"/>
      <c r="R27" s="120"/>
      <c r="S27" s="120"/>
      <c r="T27" s="120"/>
    </row>
    <row r="28" spans="1:22" x14ac:dyDescent="0.2">
      <c r="A28" s="120"/>
      <c r="B28" s="120"/>
      <c r="C28" s="120"/>
      <c r="D28" s="120"/>
      <c r="E28" s="120"/>
      <c r="F28" s="120"/>
      <c r="G28" s="120"/>
      <c r="H28" s="120"/>
      <c r="I28" s="120"/>
      <c r="J28" s="120"/>
      <c r="K28" s="120"/>
      <c r="L28" s="120"/>
      <c r="M28" s="120"/>
      <c r="N28" s="120"/>
      <c r="O28" s="120"/>
      <c r="P28" s="120"/>
      <c r="Q28" s="120"/>
      <c r="R28" s="120"/>
      <c r="S28" s="120"/>
      <c r="T28" s="120"/>
    </row>
    <row r="29" spans="1:22" x14ac:dyDescent="0.2">
      <c r="A29" s="584" t="s">
        <v>377</v>
      </c>
      <c r="B29" s="584"/>
      <c r="C29" s="584"/>
      <c r="D29" s="584"/>
      <c r="E29" s="584"/>
      <c r="F29" s="584"/>
      <c r="G29" s="584"/>
      <c r="H29" s="584"/>
      <c r="I29" s="584"/>
      <c r="J29" s="584"/>
      <c r="K29" s="584"/>
      <c r="L29" s="584"/>
      <c r="M29" s="584"/>
      <c r="N29" s="584"/>
      <c r="O29" s="584"/>
      <c r="P29" s="584"/>
      <c r="Q29" s="584"/>
      <c r="R29" s="584"/>
      <c r="S29" s="584"/>
      <c r="T29" s="584"/>
    </row>
    <row r="30" spans="1:22" x14ac:dyDescent="0.2">
      <c r="A30" s="584" t="s">
        <v>378</v>
      </c>
      <c r="B30" s="584"/>
      <c r="C30" s="584"/>
      <c r="D30" s="584"/>
      <c r="E30" s="584"/>
      <c r="F30" s="584"/>
      <c r="G30" s="584"/>
      <c r="H30" s="584"/>
      <c r="I30" s="584"/>
      <c r="J30" s="584"/>
      <c r="K30" s="584"/>
      <c r="L30" s="584"/>
      <c r="M30" s="584"/>
      <c r="N30" s="584"/>
      <c r="O30" s="584"/>
      <c r="P30" s="584"/>
      <c r="Q30" s="584"/>
      <c r="R30" s="584"/>
      <c r="S30" s="584"/>
      <c r="T30" s="584"/>
    </row>
    <row r="31" spans="1:22" x14ac:dyDescent="0.2">
      <c r="A31" s="584" t="s">
        <v>379</v>
      </c>
      <c r="B31" s="584"/>
      <c r="C31" s="584"/>
      <c r="D31" s="584"/>
      <c r="E31" s="584"/>
      <c r="F31" s="584"/>
      <c r="G31" s="584"/>
      <c r="H31" s="584"/>
      <c r="I31" s="584"/>
      <c r="J31" s="584"/>
      <c r="K31" s="584"/>
      <c r="L31" s="584"/>
      <c r="M31" s="584"/>
      <c r="N31" s="584"/>
      <c r="O31" s="584"/>
      <c r="P31" s="584"/>
      <c r="Q31" s="584"/>
      <c r="R31" s="584"/>
      <c r="S31" s="584"/>
      <c r="T31" s="584"/>
    </row>
    <row r="32" spans="1:22" x14ac:dyDescent="0.2">
      <c r="A32" s="584" t="s">
        <v>380</v>
      </c>
      <c r="B32" s="584"/>
      <c r="C32" s="584"/>
      <c r="D32" s="584"/>
      <c r="E32" s="584"/>
      <c r="F32" s="584"/>
      <c r="G32" s="584"/>
      <c r="H32" s="584"/>
      <c r="I32" s="584"/>
      <c r="J32" s="584"/>
      <c r="K32" s="584"/>
      <c r="L32" s="584"/>
      <c r="M32" s="584"/>
      <c r="N32" s="584"/>
      <c r="O32" s="584"/>
      <c r="P32" s="584"/>
      <c r="Q32" s="584"/>
      <c r="R32" s="584"/>
      <c r="S32" s="584"/>
      <c r="T32" s="584"/>
    </row>
    <row r="33" spans="1:22" x14ac:dyDescent="0.2">
      <c r="A33" s="584" t="s">
        <v>381</v>
      </c>
      <c r="B33" s="584"/>
      <c r="C33" s="584"/>
      <c r="D33" s="584"/>
      <c r="E33" s="584"/>
      <c r="F33" s="584"/>
      <c r="G33" s="584"/>
      <c r="H33" s="584"/>
      <c r="I33" s="584"/>
      <c r="J33" s="584"/>
      <c r="K33" s="584"/>
      <c r="L33" s="584"/>
      <c r="M33" s="584"/>
      <c r="N33" s="584"/>
      <c r="O33" s="584"/>
      <c r="P33" s="584"/>
      <c r="Q33" s="584"/>
      <c r="R33" s="584"/>
      <c r="S33" s="584"/>
      <c r="T33" s="584"/>
    </row>
    <row r="34" spans="1:22" x14ac:dyDescent="0.2">
      <c r="A34" s="133"/>
      <c r="B34" s="133"/>
      <c r="C34" s="133"/>
      <c r="D34" s="133"/>
      <c r="E34" s="133"/>
      <c r="F34" s="133"/>
      <c r="G34" s="133"/>
      <c r="H34" s="133"/>
      <c r="I34" s="133"/>
      <c r="J34" s="133"/>
      <c r="K34" s="133"/>
      <c r="L34" s="133"/>
      <c r="M34" s="133"/>
      <c r="N34" s="133"/>
      <c r="O34" s="133"/>
      <c r="P34" s="133"/>
      <c r="Q34" s="133"/>
      <c r="R34" s="133"/>
      <c r="S34" s="133"/>
      <c r="T34" s="133"/>
    </row>
    <row r="35" spans="1:22" x14ac:dyDescent="0.2">
      <c r="A35" s="120"/>
      <c r="B35" s="120"/>
      <c r="C35" s="120"/>
      <c r="D35" s="120"/>
      <c r="E35" s="120"/>
      <c r="F35" s="120"/>
      <c r="G35" s="120"/>
      <c r="H35" s="120"/>
      <c r="I35" s="120"/>
      <c r="J35" s="120"/>
      <c r="K35" s="120"/>
      <c r="L35" s="120"/>
      <c r="M35" s="120"/>
      <c r="N35" s="120"/>
      <c r="O35" s="120"/>
      <c r="P35" s="120"/>
      <c r="Q35" s="120"/>
      <c r="R35" s="120"/>
      <c r="S35" s="120"/>
      <c r="T35" s="120"/>
    </row>
    <row r="36" spans="1:22" x14ac:dyDescent="0.2">
      <c r="A36" s="120"/>
      <c r="B36" s="120"/>
      <c r="C36" s="120"/>
      <c r="D36" s="120"/>
      <c r="E36" s="120"/>
      <c r="F36" s="120"/>
      <c r="G36" s="120"/>
      <c r="H36" s="120"/>
      <c r="I36" s="120"/>
      <c r="J36" s="120"/>
      <c r="K36" s="120"/>
      <c r="L36" s="120"/>
      <c r="M36" s="120"/>
      <c r="N36" s="120"/>
      <c r="O36" s="120"/>
      <c r="P36" s="120"/>
      <c r="Q36" s="120"/>
      <c r="R36" s="120"/>
      <c r="S36" s="120"/>
      <c r="T36" s="120"/>
    </row>
    <row r="37" spans="1:22" x14ac:dyDescent="0.2">
      <c r="A37" s="571" t="s">
        <v>385</v>
      </c>
      <c r="B37" s="571"/>
      <c r="C37" s="571"/>
      <c r="D37" s="571"/>
      <c r="E37" s="571"/>
      <c r="F37" s="571"/>
      <c r="G37" s="571"/>
      <c r="H37" s="405"/>
      <c r="I37" s="405"/>
      <c r="J37" s="405"/>
      <c r="K37" s="405"/>
      <c r="L37" s="405"/>
      <c r="M37" s="405"/>
      <c r="N37" s="405"/>
      <c r="O37" s="405"/>
      <c r="P37" s="405"/>
      <c r="Q37" s="405"/>
      <c r="R37" s="405"/>
      <c r="S37" s="405"/>
      <c r="T37" s="405"/>
    </row>
    <row r="38" spans="1:22" x14ac:dyDescent="0.2">
      <c r="A38" s="120"/>
      <c r="B38" s="120"/>
      <c r="C38" s="120"/>
      <c r="D38" s="120"/>
      <c r="E38" s="120"/>
      <c r="F38" s="120"/>
      <c r="G38" s="120"/>
      <c r="H38" s="515" t="s">
        <v>388</v>
      </c>
      <c r="I38" s="515"/>
      <c r="J38" s="515"/>
      <c r="K38" s="515"/>
      <c r="L38" s="515"/>
      <c r="M38" s="515"/>
      <c r="N38" s="515"/>
      <c r="O38" s="515"/>
      <c r="P38" s="515"/>
      <c r="Q38" s="515"/>
      <c r="R38" s="515"/>
      <c r="S38" s="515"/>
      <c r="T38" s="515"/>
    </row>
    <row r="39" spans="1:22" x14ac:dyDescent="0.2">
      <c r="A39" s="120"/>
      <c r="B39" s="120"/>
      <c r="C39" s="120"/>
      <c r="D39" s="120"/>
      <c r="E39" s="120"/>
      <c r="F39" s="120"/>
      <c r="G39" s="120"/>
      <c r="H39" s="120"/>
      <c r="I39" s="120"/>
      <c r="J39" s="120"/>
      <c r="K39" s="120"/>
      <c r="L39" s="120"/>
      <c r="M39" s="120"/>
      <c r="N39" s="120"/>
      <c r="O39" s="120"/>
      <c r="P39" s="120"/>
      <c r="Q39" s="120"/>
      <c r="R39" s="120"/>
      <c r="S39" s="120"/>
      <c r="T39" s="120"/>
    </row>
    <row r="40" spans="1:22" x14ac:dyDescent="0.2">
      <c r="A40" s="571" t="s">
        <v>608</v>
      </c>
      <c r="B40" s="571"/>
      <c r="C40" s="571"/>
      <c r="D40" s="571"/>
      <c r="E40" s="571"/>
      <c r="F40" s="571"/>
      <c r="G40" s="571"/>
      <c r="H40" s="571"/>
      <c r="I40" s="571"/>
      <c r="J40" s="571"/>
      <c r="K40" s="571"/>
      <c r="L40" s="571"/>
      <c r="M40" s="571"/>
      <c r="N40" s="571"/>
      <c r="O40" s="571"/>
      <c r="P40" s="571"/>
      <c r="Q40" s="571"/>
      <c r="R40" s="571"/>
      <c r="S40" s="571"/>
      <c r="T40" s="571"/>
    </row>
    <row r="41" spans="1:22" x14ac:dyDescent="0.2">
      <c r="A41" s="120"/>
      <c r="B41" s="120"/>
      <c r="C41" s="120"/>
      <c r="D41" s="120"/>
      <c r="E41" s="120"/>
      <c r="F41" s="120"/>
      <c r="G41" s="120"/>
      <c r="H41" s="120"/>
      <c r="I41" s="120"/>
      <c r="J41" s="120"/>
      <c r="K41" s="120"/>
      <c r="L41" s="120"/>
      <c r="M41" s="120"/>
      <c r="N41" s="120"/>
      <c r="O41" s="120"/>
      <c r="P41" s="120"/>
      <c r="Q41" s="120"/>
      <c r="R41" s="120"/>
      <c r="S41" s="120"/>
      <c r="T41" s="120"/>
    </row>
    <row r="42" spans="1:22" x14ac:dyDescent="0.2">
      <c r="A42" s="120"/>
      <c r="B42" s="120" t="s">
        <v>13</v>
      </c>
      <c r="C42" s="571" t="s">
        <v>396</v>
      </c>
      <c r="D42" s="571"/>
      <c r="E42" s="571"/>
      <c r="F42" s="571"/>
      <c r="G42" s="571"/>
      <c r="H42" s="618" t="str">
        <f>'2.R-k bankowy'!F18</f>
        <v/>
      </c>
      <c r="I42" s="618"/>
      <c r="J42" s="618"/>
      <c r="K42" s="618"/>
      <c r="L42" s="618"/>
      <c r="M42" s="618"/>
      <c r="N42" s="618"/>
      <c r="O42" s="618"/>
      <c r="P42" s="618"/>
      <c r="Q42" s="571" t="s">
        <v>397</v>
      </c>
      <c r="R42" s="571"/>
      <c r="S42" s="571"/>
      <c r="T42" s="571"/>
    </row>
    <row r="43" spans="1:22" x14ac:dyDescent="0.2">
      <c r="A43" s="120"/>
      <c r="B43" s="120"/>
      <c r="C43" s="571" t="s">
        <v>398</v>
      </c>
      <c r="D43" s="571"/>
      <c r="E43" s="571"/>
      <c r="F43" s="571"/>
      <c r="G43" s="571"/>
      <c r="H43" s="571"/>
      <c r="I43" s="571"/>
      <c r="J43" s="571"/>
      <c r="K43" s="571"/>
      <c r="L43" s="571"/>
      <c r="M43" s="571"/>
      <c r="N43" s="571"/>
      <c r="O43" s="571"/>
      <c r="P43" s="571"/>
      <c r="Q43" s="571"/>
      <c r="R43" s="571"/>
      <c r="S43" s="571"/>
      <c r="T43" s="571"/>
    </row>
    <row r="44" spans="1:22" x14ac:dyDescent="0.2">
      <c r="A44" s="120"/>
      <c r="B44" s="120"/>
      <c r="C44" s="120"/>
      <c r="D44" s="120"/>
      <c r="E44" s="120"/>
      <c r="F44" s="120"/>
      <c r="G44" s="120"/>
      <c r="H44" s="120"/>
      <c r="I44" s="120"/>
      <c r="J44" s="120"/>
      <c r="K44" s="120"/>
      <c r="L44" s="120"/>
      <c r="M44" s="120"/>
      <c r="N44" s="120"/>
      <c r="O44" s="120"/>
      <c r="P44" s="120"/>
      <c r="Q44" s="120"/>
      <c r="R44" s="120"/>
      <c r="S44" s="120"/>
      <c r="T44" s="120"/>
    </row>
    <row r="45" spans="1:22" x14ac:dyDescent="0.2">
      <c r="A45" s="120"/>
      <c r="B45" s="120" t="s">
        <v>13</v>
      </c>
      <c r="C45" s="571" t="s">
        <v>399</v>
      </c>
      <c r="D45" s="571"/>
      <c r="E45" s="571"/>
      <c r="F45" s="571"/>
      <c r="G45" s="571"/>
      <c r="H45" s="571"/>
      <c r="I45" s="571"/>
      <c r="J45" s="571"/>
      <c r="K45" s="571"/>
      <c r="L45" s="571"/>
      <c r="M45" s="571"/>
      <c r="N45" s="571"/>
      <c r="O45" s="571"/>
      <c r="P45" s="571"/>
      <c r="Q45" s="571"/>
      <c r="R45" s="571"/>
      <c r="S45" s="571"/>
      <c r="T45" s="571"/>
    </row>
    <row r="46" spans="1:22" x14ac:dyDescent="0.2">
      <c r="A46" s="120"/>
      <c r="B46" s="120"/>
      <c r="C46" s="123"/>
      <c r="D46" s="123"/>
      <c r="E46" s="123"/>
      <c r="F46" s="123"/>
      <c r="G46" s="123"/>
      <c r="H46" s="123"/>
      <c r="I46" s="123"/>
      <c r="J46" s="123"/>
      <c r="K46" s="123"/>
      <c r="L46" s="123"/>
      <c r="M46" s="123"/>
      <c r="N46" s="123"/>
      <c r="O46" s="123"/>
      <c r="P46" s="123"/>
      <c r="Q46" s="123"/>
      <c r="R46" s="123"/>
      <c r="S46" s="123"/>
      <c r="T46" s="123"/>
    </row>
    <row r="47" spans="1:22" x14ac:dyDescent="0.2">
      <c r="A47" s="120" t="s">
        <v>401</v>
      </c>
      <c r="B47" s="120"/>
      <c r="C47" s="123"/>
      <c r="D47" s="123"/>
      <c r="E47" s="123"/>
      <c r="F47" s="123"/>
      <c r="G47" s="123"/>
      <c r="H47" s="123"/>
      <c r="I47" s="123"/>
      <c r="J47" s="123"/>
      <c r="K47" s="123"/>
      <c r="L47" s="123"/>
      <c r="M47" s="123"/>
      <c r="N47" s="123"/>
      <c r="O47" s="123"/>
      <c r="P47" s="123"/>
      <c r="Q47" s="123"/>
      <c r="R47" s="123"/>
      <c r="S47" s="123"/>
      <c r="T47" s="123"/>
      <c r="V47" s="114" t="s">
        <v>363</v>
      </c>
    </row>
    <row r="48" spans="1:22" x14ac:dyDescent="0.2">
      <c r="A48" s="120" t="s">
        <v>402</v>
      </c>
      <c r="B48" s="120"/>
      <c r="C48" s="123"/>
      <c r="D48" s="123"/>
      <c r="E48" s="123"/>
      <c r="F48" s="123"/>
      <c r="G48" s="123"/>
      <c r="H48" s="123"/>
      <c r="I48" s="123"/>
      <c r="J48" s="123"/>
      <c r="K48" s="123"/>
      <c r="L48" s="123"/>
      <c r="M48" s="123"/>
      <c r="N48" s="123"/>
      <c r="O48" s="123"/>
      <c r="P48" s="123"/>
      <c r="Q48" s="123"/>
      <c r="R48" s="123"/>
      <c r="S48" s="123"/>
      <c r="T48" s="123"/>
    </row>
    <row r="49" spans="1:256" x14ac:dyDescent="0.2">
      <c r="A49" s="120" t="s">
        <v>400</v>
      </c>
      <c r="B49" s="120"/>
      <c r="C49" s="123"/>
      <c r="D49" s="123"/>
      <c r="E49" s="123"/>
      <c r="F49" s="123"/>
      <c r="G49" s="123"/>
      <c r="H49" s="123"/>
      <c r="I49" s="123"/>
      <c r="J49" s="123"/>
      <c r="K49" s="123"/>
      <c r="L49" s="123"/>
      <c r="M49" s="123"/>
      <c r="N49" s="123"/>
      <c r="O49" s="123"/>
      <c r="P49" s="123"/>
      <c r="Q49" s="123"/>
      <c r="R49" s="123"/>
      <c r="S49" s="123"/>
      <c r="T49" s="123"/>
    </row>
    <row r="50" spans="1:256" x14ac:dyDescent="0.2">
      <c r="A50" s="120"/>
      <c r="B50" s="120"/>
      <c r="C50" s="123"/>
      <c r="D50" s="123"/>
      <c r="E50" s="123"/>
      <c r="F50" s="123"/>
      <c r="G50" s="123"/>
      <c r="H50" s="123"/>
      <c r="I50" s="123"/>
      <c r="J50" s="123"/>
      <c r="K50" s="123"/>
      <c r="L50" s="123"/>
      <c r="M50" s="123"/>
      <c r="N50" s="123"/>
      <c r="O50" s="123"/>
      <c r="P50" s="123"/>
      <c r="Q50" s="123"/>
      <c r="R50" s="123"/>
      <c r="S50" s="123"/>
      <c r="T50" s="123"/>
    </row>
    <row r="51" spans="1:256" ht="38.25" x14ac:dyDescent="0.2">
      <c r="A51" s="144" t="s">
        <v>403</v>
      </c>
      <c r="B51" s="120"/>
      <c r="C51" s="123"/>
      <c r="D51" s="123"/>
      <c r="E51" s="123"/>
      <c r="F51" s="123"/>
      <c r="G51" s="123"/>
      <c r="H51" s="123"/>
      <c r="I51" s="123"/>
      <c r="J51" s="123"/>
      <c r="K51" s="123"/>
      <c r="L51" s="123"/>
      <c r="M51" s="123"/>
      <c r="N51" s="123"/>
      <c r="O51" s="123"/>
      <c r="P51" s="123"/>
      <c r="Q51" s="123"/>
      <c r="R51" s="123"/>
      <c r="S51" s="123"/>
      <c r="T51" s="123"/>
    </row>
    <row r="52" spans="1:256" x14ac:dyDescent="0.2">
      <c r="A52" s="619" t="s">
        <v>469</v>
      </c>
      <c r="B52" s="521"/>
      <c r="C52" s="521"/>
      <c r="D52" s="521"/>
      <c r="E52" s="521"/>
      <c r="F52" s="521"/>
      <c r="G52" s="521"/>
      <c r="H52" s="521"/>
      <c r="I52" s="521"/>
      <c r="J52" s="521"/>
      <c r="K52" s="521"/>
      <c r="L52" s="521"/>
      <c r="M52" s="521"/>
      <c r="N52" s="521"/>
      <c r="O52" s="521"/>
      <c r="P52" s="521"/>
      <c r="Q52" s="521"/>
      <c r="R52" s="521"/>
      <c r="S52" s="521"/>
      <c r="T52" s="521"/>
    </row>
    <row r="53" spans="1:256" x14ac:dyDescent="0.2">
      <c r="A53" s="585"/>
      <c r="B53" s="521"/>
      <c r="C53" s="521"/>
      <c r="D53" s="521"/>
      <c r="E53" s="521"/>
      <c r="F53" s="521"/>
      <c r="G53" s="521"/>
      <c r="H53" s="521"/>
      <c r="I53" s="521"/>
      <c r="J53" s="521"/>
      <c r="K53" s="521"/>
      <c r="L53" s="521"/>
      <c r="M53" s="521"/>
      <c r="N53" s="521"/>
      <c r="O53" s="521"/>
      <c r="P53" s="521"/>
      <c r="Q53" s="521"/>
      <c r="R53" s="521"/>
      <c r="S53" s="521"/>
      <c r="T53" s="521"/>
      <c r="U53" s="620"/>
      <c r="V53" s="620"/>
      <c r="W53" s="620"/>
      <c r="X53" s="620"/>
      <c r="Y53" s="620"/>
      <c r="Z53" s="620"/>
      <c r="AA53" s="620"/>
      <c r="AB53" s="620"/>
      <c r="AC53" s="620"/>
      <c r="AD53" s="620"/>
      <c r="AE53" s="620"/>
      <c r="AF53" s="620"/>
      <c r="AG53" s="620"/>
      <c r="AH53" s="620"/>
      <c r="AI53" s="620"/>
      <c r="AJ53" s="620"/>
      <c r="AK53" s="620"/>
      <c r="AL53" s="620"/>
      <c r="AM53" s="620"/>
      <c r="AN53" s="620"/>
      <c r="AO53" s="620"/>
      <c r="AP53" s="621"/>
      <c r="AQ53" s="621"/>
      <c r="AR53" s="621"/>
      <c r="AS53" s="621"/>
      <c r="AT53" s="621"/>
      <c r="AU53" s="621"/>
      <c r="AV53" s="621"/>
      <c r="AW53" s="621"/>
      <c r="AX53" s="621"/>
      <c r="AY53" s="621"/>
      <c r="AZ53" s="621"/>
      <c r="BA53" s="621"/>
      <c r="BB53" s="621"/>
      <c r="BC53" s="621"/>
      <c r="BD53" s="621"/>
      <c r="BE53" s="621"/>
      <c r="BF53" s="621"/>
      <c r="BG53" s="621"/>
      <c r="BH53" s="621"/>
      <c r="BI53" s="620"/>
      <c r="BJ53" s="621"/>
      <c r="BK53" s="621"/>
      <c r="BL53" s="621"/>
      <c r="BM53" s="621"/>
      <c r="BN53" s="621"/>
      <c r="BO53" s="621"/>
      <c r="BP53" s="621"/>
      <c r="BQ53" s="621"/>
      <c r="BR53" s="621"/>
      <c r="BS53" s="621"/>
      <c r="BT53" s="621"/>
      <c r="BU53" s="621"/>
      <c r="BV53" s="621"/>
      <c r="BW53" s="621"/>
      <c r="BX53" s="621"/>
      <c r="BY53" s="621"/>
      <c r="BZ53" s="621"/>
      <c r="CA53" s="621"/>
      <c r="CB53" s="621"/>
      <c r="CC53" s="115"/>
      <c r="CD53" s="117"/>
      <c r="CE53" s="117"/>
      <c r="CF53" s="117"/>
      <c r="CG53" s="117"/>
      <c r="CH53" s="117"/>
      <c r="CI53" s="117"/>
      <c r="CJ53" s="117"/>
      <c r="CK53" s="117"/>
      <c r="CL53" s="117"/>
      <c r="CM53" s="117"/>
      <c r="CN53" s="117"/>
      <c r="CO53" s="117"/>
      <c r="CP53" s="117"/>
      <c r="CQ53" s="117"/>
      <c r="CR53" s="117"/>
      <c r="CS53" s="117"/>
      <c r="CT53" s="117"/>
      <c r="CU53" s="117"/>
      <c r="CV53" s="117"/>
      <c r="CW53" s="620"/>
      <c r="CX53" s="621"/>
      <c r="CY53" s="621"/>
      <c r="CZ53" s="621"/>
      <c r="DA53" s="621"/>
      <c r="DB53" s="621"/>
      <c r="DC53" s="621"/>
      <c r="DD53" s="621"/>
      <c r="DE53" s="621"/>
      <c r="DF53" s="621"/>
      <c r="DG53" s="621"/>
      <c r="DH53" s="621"/>
      <c r="DI53" s="621"/>
      <c r="DJ53" s="621"/>
      <c r="DK53" s="621"/>
      <c r="DL53" s="621"/>
      <c r="DM53" s="621"/>
      <c r="DN53" s="621"/>
      <c r="DO53" s="621"/>
      <c r="DP53" s="621"/>
      <c r="DQ53" s="620"/>
      <c r="DR53" s="621"/>
      <c r="DS53" s="621"/>
      <c r="DT53" s="621"/>
      <c r="DU53" s="621"/>
      <c r="DV53" s="621"/>
      <c r="DW53" s="621"/>
      <c r="DX53" s="621"/>
      <c r="DY53" s="621"/>
      <c r="DZ53" s="621"/>
      <c r="EA53" s="621"/>
      <c r="EB53" s="621"/>
      <c r="EC53" s="621"/>
      <c r="ED53" s="621"/>
      <c r="EE53" s="621"/>
      <c r="EF53" s="621"/>
      <c r="EG53" s="621"/>
      <c r="EH53" s="621"/>
      <c r="EI53" s="621"/>
      <c r="EJ53" s="621"/>
      <c r="EK53" s="620"/>
      <c r="EL53" s="621"/>
      <c r="EM53" s="621"/>
      <c r="EN53" s="621"/>
      <c r="EO53" s="621"/>
      <c r="EP53" s="621"/>
      <c r="EQ53" s="621"/>
      <c r="ER53" s="621"/>
      <c r="ES53" s="621"/>
      <c r="ET53" s="621"/>
      <c r="EU53" s="621"/>
      <c r="EV53" s="621"/>
      <c r="EW53" s="621"/>
      <c r="EX53" s="621"/>
      <c r="EY53" s="621"/>
      <c r="EZ53" s="621"/>
      <c r="FA53" s="621"/>
      <c r="FB53" s="621"/>
      <c r="FC53" s="621"/>
      <c r="FD53" s="621"/>
      <c r="FE53" s="620"/>
      <c r="FF53" s="621"/>
      <c r="FG53" s="621"/>
      <c r="FH53" s="621"/>
      <c r="FI53" s="621"/>
      <c r="FJ53" s="621"/>
      <c r="FK53" s="621"/>
      <c r="FL53" s="621"/>
      <c r="FM53" s="621"/>
      <c r="FN53" s="621"/>
      <c r="FO53" s="621"/>
      <c r="FP53" s="621"/>
      <c r="FQ53" s="621"/>
      <c r="FR53" s="621"/>
      <c r="FS53" s="621"/>
      <c r="FT53" s="621"/>
      <c r="FU53" s="621"/>
      <c r="FV53" s="621"/>
      <c r="FW53" s="621"/>
      <c r="FX53" s="621"/>
      <c r="FY53" s="620"/>
      <c r="FZ53" s="621"/>
      <c r="GA53" s="621"/>
      <c r="GB53" s="621"/>
      <c r="GC53" s="621"/>
      <c r="GD53" s="621"/>
      <c r="GE53" s="621"/>
      <c r="GF53" s="621"/>
      <c r="GG53" s="621"/>
      <c r="GH53" s="621"/>
      <c r="GI53" s="621"/>
      <c r="GJ53" s="621"/>
      <c r="GK53" s="621"/>
      <c r="GL53" s="621"/>
      <c r="GM53" s="621"/>
      <c r="GN53" s="621"/>
      <c r="GO53" s="621"/>
      <c r="GP53" s="621"/>
      <c r="GQ53" s="621"/>
      <c r="GR53" s="621"/>
      <c r="GS53" s="620"/>
      <c r="GT53" s="621"/>
      <c r="GU53" s="621"/>
      <c r="GV53" s="621"/>
      <c r="GW53" s="621"/>
      <c r="GX53" s="621"/>
      <c r="GY53" s="621"/>
      <c r="GZ53" s="621"/>
      <c r="HA53" s="621"/>
      <c r="HB53" s="621"/>
      <c r="HC53" s="621"/>
      <c r="HD53" s="621"/>
      <c r="HE53" s="621"/>
      <c r="HF53" s="621"/>
      <c r="HG53" s="621"/>
      <c r="HH53" s="621"/>
      <c r="HI53" s="621"/>
      <c r="HJ53" s="621"/>
      <c r="HK53" s="621"/>
      <c r="HL53" s="621"/>
      <c r="HM53" s="620"/>
      <c r="HN53" s="621"/>
      <c r="HO53" s="621"/>
      <c r="HP53" s="621"/>
      <c r="HQ53" s="621"/>
      <c r="HR53" s="621"/>
      <c r="HS53" s="621"/>
      <c r="HT53" s="621"/>
      <c r="HU53" s="621"/>
      <c r="HV53" s="621"/>
      <c r="HW53" s="621"/>
      <c r="HX53" s="621"/>
      <c r="HY53" s="621"/>
      <c r="HZ53" s="621"/>
      <c r="IA53" s="621"/>
      <c r="IB53" s="621"/>
      <c r="IC53" s="621"/>
      <c r="ID53" s="621"/>
      <c r="IE53" s="621"/>
      <c r="IF53" s="621"/>
      <c r="IG53" s="620"/>
      <c r="IH53" s="621"/>
      <c r="II53" s="621"/>
      <c r="IJ53" s="621"/>
      <c r="IK53" s="621"/>
      <c r="IL53" s="621"/>
      <c r="IM53" s="621"/>
      <c r="IN53" s="621"/>
      <c r="IO53" s="621"/>
      <c r="IP53" s="621"/>
      <c r="IQ53" s="621"/>
      <c r="IR53" s="621"/>
      <c r="IS53" s="621"/>
      <c r="IT53" s="621"/>
      <c r="IU53" s="621"/>
      <c r="IV53" s="621"/>
    </row>
    <row r="54" spans="1:256" x14ac:dyDescent="0.2">
      <c r="A54" s="585"/>
      <c r="B54" s="521"/>
      <c r="C54" s="521"/>
      <c r="D54" s="521"/>
      <c r="E54" s="521"/>
      <c r="F54" s="521"/>
      <c r="G54" s="521"/>
      <c r="H54" s="521"/>
      <c r="I54" s="521"/>
      <c r="J54" s="521"/>
      <c r="K54" s="521"/>
      <c r="L54" s="521"/>
      <c r="M54" s="521"/>
      <c r="N54" s="521"/>
      <c r="O54" s="521"/>
      <c r="P54" s="521"/>
      <c r="Q54" s="521"/>
      <c r="R54" s="521"/>
      <c r="S54" s="521"/>
      <c r="T54" s="521"/>
    </row>
    <row r="55" spans="1:256" x14ac:dyDescent="0.2">
      <c r="A55" s="571" t="s">
        <v>404</v>
      </c>
      <c r="B55" s="571"/>
      <c r="C55" s="571"/>
      <c r="D55" s="571"/>
      <c r="E55" s="571"/>
      <c r="F55" s="571"/>
      <c r="G55" s="571"/>
      <c r="H55" s="571"/>
      <c r="I55" s="571"/>
      <c r="J55" s="571"/>
      <c r="K55" s="571"/>
      <c r="L55" s="571"/>
      <c r="M55" s="571"/>
      <c r="N55" s="571"/>
      <c r="O55" s="571"/>
      <c r="P55" s="571"/>
      <c r="Q55" s="571"/>
      <c r="R55" s="571"/>
      <c r="S55" s="571"/>
      <c r="T55" s="571"/>
    </row>
    <row r="56" spans="1:256" x14ac:dyDescent="0.2">
      <c r="A56" s="571" t="s">
        <v>405</v>
      </c>
      <c r="B56" s="571"/>
      <c r="C56" s="571"/>
      <c r="D56" s="571"/>
      <c r="E56" s="571"/>
      <c r="F56" s="571"/>
      <c r="G56" s="571"/>
      <c r="H56" s="571"/>
      <c r="I56" s="571"/>
      <c r="J56" s="571"/>
      <c r="K56" s="571"/>
      <c r="L56" s="571"/>
      <c r="M56" s="571"/>
      <c r="N56" s="571"/>
      <c r="O56" s="571"/>
      <c r="P56" s="571"/>
      <c r="Q56" s="571"/>
      <c r="R56" s="571"/>
      <c r="S56" s="571"/>
      <c r="T56" s="571"/>
    </row>
    <row r="57" spans="1:256" x14ac:dyDescent="0.2">
      <c r="A57" s="515"/>
      <c r="B57" s="515"/>
      <c r="C57" s="515"/>
      <c r="D57" s="515"/>
      <c r="E57" s="515"/>
      <c r="F57" s="515"/>
      <c r="G57" s="515"/>
      <c r="H57" s="515"/>
      <c r="I57" s="515"/>
      <c r="J57" s="515"/>
      <c r="K57" s="515"/>
      <c r="L57" s="515"/>
      <c r="M57" s="515"/>
      <c r="N57" s="515"/>
      <c r="O57" s="515"/>
      <c r="P57" s="515"/>
      <c r="Q57" s="515"/>
      <c r="R57" s="515"/>
      <c r="S57" s="515"/>
      <c r="T57" s="515"/>
    </row>
    <row r="58" spans="1:256" x14ac:dyDescent="0.2">
      <c r="A58" s="515"/>
      <c r="B58" s="515"/>
      <c r="C58" s="515"/>
      <c r="D58" s="515"/>
      <c r="E58" s="515"/>
      <c r="F58" s="515"/>
      <c r="G58" s="515"/>
      <c r="H58" s="515"/>
      <c r="I58" s="515"/>
      <c r="J58" s="515"/>
      <c r="K58" s="515"/>
      <c r="L58" s="515"/>
      <c r="M58" s="515"/>
      <c r="N58" s="515"/>
      <c r="O58" s="515"/>
      <c r="P58" s="515"/>
      <c r="Q58" s="515"/>
      <c r="R58" s="515"/>
      <c r="S58" s="515"/>
      <c r="T58" s="515"/>
    </row>
    <row r="59" spans="1:256" x14ac:dyDescent="0.2">
      <c r="A59" s="515"/>
      <c r="B59" s="515"/>
      <c r="C59" s="515"/>
      <c r="D59" s="515"/>
      <c r="E59" s="515"/>
      <c r="F59" s="515"/>
      <c r="G59" s="515"/>
      <c r="H59" s="515"/>
      <c r="I59" s="515"/>
      <c r="J59" s="515"/>
      <c r="K59" s="515"/>
      <c r="L59" s="515"/>
      <c r="M59" s="515"/>
      <c r="N59" s="515"/>
      <c r="O59" s="515"/>
      <c r="P59" s="515"/>
      <c r="Q59" s="515"/>
      <c r="R59" s="515"/>
      <c r="S59" s="515"/>
      <c r="T59" s="515"/>
    </row>
    <row r="60" spans="1:256" x14ac:dyDescent="0.2">
      <c r="A60" s="515"/>
      <c r="B60" s="515"/>
      <c r="C60" s="515"/>
      <c r="D60" s="515"/>
      <c r="E60" s="515"/>
      <c r="F60" s="515"/>
      <c r="G60" s="515"/>
      <c r="H60" s="515"/>
      <c r="I60" s="515"/>
      <c r="J60" s="515"/>
      <c r="K60" s="515"/>
      <c r="L60" s="515"/>
      <c r="M60" s="515"/>
      <c r="N60" s="515"/>
      <c r="O60" s="515"/>
      <c r="P60" s="515"/>
      <c r="Q60" s="515"/>
      <c r="R60" s="515"/>
      <c r="S60" s="515"/>
      <c r="T60" s="515"/>
    </row>
    <row r="61" spans="1:256" x14ac:dyDescent="0.2">
      <c r="A61" s="515"/>
      <c r="B61" s="515"/>
      <c r="C61" s="515"/>
      <c r="D61" s="515"/>
      <c r="E61" s="515"/>
      <c r="F61" s="515"/>
      <c r="G61" s="515"/>
      <c r="H61" s="515"/>
      <c r="I61" s="515"/>
      <c r="J61" s="515"/>
      <c r="K61" s="515"/>
      <c r="L61" s="515"/>
      <c r="M61" s="515"/>
      <c r="N61" s="515"/>
      <c r="O61" s="515"/>
      <c r="P61" s="515"/>
      <c r="Q61" s="515"/>
      <c r="R61" s="515"/>
      <c r="S61" s="515"/>
      <c r="T61" s="515"/>
    </row>
    <row r="62" spans="1:256" x14ac:dyDescent="0.2">
      <c r="A62" s="466" t="str">
        <f>'Dane personalne'!$D$94&amp;""</f>
        <v/>
      </c>
      <c r="B62" s="466"/>
      <c r="C62" s="466"/>
      <c r="D62" s="466"/>
      <c r="E62" s="466"/>
      <c r="F62" s="466"/>
      <c r="G62" s="466" t="str">
        <f>'Dane personalne'!$F$94</f>
        <v/>
      </c>
      <c r="H62" s="466"/>
      <c r="I62" s="466"/>
      <c r="J62" s="466"/>
      <c r="K62" s="466"/>
      <c r="L62" s="120"/>
      <c r="M62" s="120"/>
      <c r="N62" s="120"/>
      <c r="O62" s="574"/>
      <c r="P62" s="574"/>
      <c r="Q62" s="574"/>
      <c r="R62" s="574"/>
      <c r="S62" s="574"/>
      <c r="T62" s="574"/>
    </row>
    <row r="63" spans="1:256" x14ac:dyDescent="0.2">
      <c r="A63" s="515" t="s">
        <v>350</v>
      </c>
      <c r="B63" s="515"/>
      <c r="C63" s="515"/>
      <c r="D63" s="515"/>
      <c r="E63" s="515"/>
      <c r="F63" s="515"/>
      <c r="G63" s="515"/>
      <c r="H63" s="515"/>
      <c r="I63" s="515"/>
      <c r="J63" s="120"/>
      <c r="K63" s="120"/>
      <c r="L63" s="120"/>
      <c r="M63" s="120"/>
      <c r="N63" s="120"/>
      <c r="O63" s="515" t="s">
        <v>406</v>
      </c>
      <c r="P63" s="515"/>
      <c r="Q63" s="515"/>
      <c r="R63" s="515"/>
      <c r="S63" s="515"/>
      <c r="T63" s="515"/>
      <c r="U63" s="134"/>
      <c r="V63" s="115"/>
    </row>
  </sheetData>
  <mergeCells count="48">
    <mergeCell ref="HM53:IF53"/>
    <mergeCell ref="IG53:IV53"/>
    <mergeCell ref="A54:T54"/>
    <mergeCell ref="A55:T55"/>
    <mergeCell ref="A56:T56"/>
    <mergeCell ref="FY53:GR53"/>
    <mergeCell ref="GS53:HL53"/>
    <mergeCell ref="BI53:CB53"/>
    <mergeCell ref="CW53:DP53"/>
    <mergeCell ref="DQ53:EJ53"/>
    <mergeCell ref="EK53:FD53"/>
    <mergeCell ref="FE53:FX53"/>
    <mergeCell ref="O62:T62"/>
    <mergeCell ref="A63:I63"/>
    <mergeCell ref="O63:T63"/>
    <mergeCell ref="A57:T61"/>
    <mergeCell ref="A62:F62"/>
    <mergeCell ref="G62:K62"/>
    <mergeCell ref="C45:T45"/>
    <mergeCell ref="A52:T52"/>
    <mergeCell ref="A53:T53"/>
    <mergeCell ref="U53:AN53"/>
    <mergeCell ref="AO53:BH53"/>
    <mergeCell ref="A40:T40"/>
    <mergeCell ref="C42:G42"/>
    <mergeCell ref="H42:P42"/>
    <mergeCell ref="Q42:T42"/>
    <mergeCell ref="C43:T43"/>
    <mergeCell ref="A32:T32"/>
    <mergeCell ref="A33:T33"/>
    <mergeCell ref="A37:G37"/>
    <mergeCell ref="H37:T37"/>
    <mergeCell ref="H38:T38"/>
    <mergeCell ref="B26:K26"/>
    <mergeCell ref="S26:T26"/>
    <mergeCell ref="A29:T29"/>
    <mergeCell ref="A30:T30"/>
    <mergeCell ref="A31:T31"/>
    <mergeCell ref="D17:K17"/>
    <mergeCell ref="P17:T17"/>
    <mergeCell ref="B19:N19"/>
    <mergeCell ref="B20:N20"/>
    <mergeCell ref="O24:T24"/>
    <mergeCell ref="A11:J11"/>
    <mergeCell ref="A12:J12"/>
    <mergeCell ref="B15:K15"/>
    <mergeCell ref="L15:N15"/>
    <mergeCell ref="O15:T15"/>
  </mergeCells>
  <pageMargins left="0.7" right="0.7" top="0.75" bottom="0.75" header="0.3" footer="0.3"/>
  <pageSetup paperSize="9" scale="80" orientation="portrait" r:id="rId1"/>
  <colBreaks count="1" manualBreakCount="1">
    <brk id="28" max="62"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5:AB58"/>
  <sheetViews>
    <sheetView showGridLines="0" topLeftCell="A19" zoomScaleNormal="100" zoomScaleSheetLayoutView="80" workbookViewId="0">
      <selection activeCell="A19" sqref="A19"/>
    </sheetView>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23" width="2.7109375" style="2" customWidth="1"/>
    <col min="24" max="24" width="3.140625" style="2" customWidth="1"/>
    <col min="25" max="26" width="2.85546875" style="2" customWidth="1"/>
    <col min="27" max="27" width="3" style="2" customWidth="1"/>
    <col min="28" max="16384" width="9.140625" style="2"/>
  </cols>
  <sheetData>
    <row r="5" spans="1:28" ht="13.5" thickBot="1" x14ac:dyDescent="0.25"/>
    <row r="6" spans="1:28" x14ac:dyDescent="0.2">
      <c r="A6" s="7"/>
      <c r="B6" s="7"/>
      <c r="C6" s="7"/>
      <c r="D6" s="7"/>
      <c r="E6" s="7"/>
      <c r="F6" s="7"/>
      <c r="G6" s="7"/>
      <c r="H6" s="7"/>
      <c r="I6" s="7"/>
      <c r="J6" s="7"/>
      <c r="K6" s="7"/>
      <c r="L6" s="7"/>
      <c r="M6" s="7"/>
      <c r="N6" s="7"/>
      <c r="O6" s="7"/>
      <c r="P6" s="7"/>
      <c r="Q6" s="7"/>
      <c r="R6" s="7"/>
      <c r="S6" s="7"/>
      <c r="T6" s="7"/>
      <c r="U6" s="7"/>
      <c r="V6" s="7"/>
    </row>
    <row r="8" spans="1:28" x14ac:dyDescent="0.2">
      <c r="A8" s="465" t="str">
        <f>CONCATENATE('Dane personalne'!D11," ",'Dane personalne'!D12)</f>
        <v xml:space="preserve"> </v>
      </c>
      <c r="B8" s="465"/>
      <c r="C8" s="465"/>
      <c r="D8" s="465"/>
      <c r="E8" s="465"/>
      <c r="F8" s="465"/>
      <c r="G8" s="465"/>
      <c r="H8" s="465"/>
      <c r="I8" s="465"/>
      <c r="J8" s="465"/>
      <c r="K8" s="36"/>
      <c r="L8" s="36"/>
      <c r="M8" s="36"/>
      <c r="N8" s="36"/>
      <c r="O8" s="36"/>
      <c r="P8" s="36"/>
      <c r="Q8" s="36"/>
      <c r="R8" s="36"/>
    </row>
    <row r="9" spans="1:28" x14ac:dyDescent="0.2">
      <c r="A9" s="441" t="s">
        <v>42</v>
      </c>
      <c r="B9" s="441"/>
      <c r="C9" s="441"/>
      <c r="D9" s="441"/>
      <c r="E9" s="441"/>
      <c r="F9" s="441"/>
      <c r="G9" s="441"/>
      <c r="H9" s="441"/>
      <c r="I9" s="441"/>
      <c r="J9" s="441"/>
      <c r="K9" s="37"/>
      <c r="L9" s="37"/>
      <c r="M9" s="37"/>
      <c r="N9" s="37"/>
      <c r="O9" s="37"/>
      <c r="P9" s="37"/>
      <c r="Q9" s="37"/>
      <c r="R9" s="37"/>
    </row>
    <row r="12" spans="1:28" x14ac:dyDescent="0.2">
      <c r="A12" s="2" t="s">
        <v>49</v>
      </c>
      <c r="B12" s="465" t="str">
        <f>'1.Kwestionariusz'!I13</f>
        <v/>
      </c>
      <c r="C12" s="465"/>
      <c r="D12" s="465"/>
      <c r="E12" s="465"/>
      <c r="F12" s="465"/>
      <c r="G12" s="465"/>
      <c r="H12" s="465"/>
      <c r="I12" s="465"/>
      <c r="J12" s="465"/>
      <c r="K12" s="465"/>
      <c r="L12" s="458" t="s">
        <v>50</v>
      </c>
      <c r="M12" s="458"/>
      <c r="N12" s="458"/>
      <c r="O12" s="465" t="str">
        <f>'1.Kwestionariusz'!R13</f>
        <v/>
      </c>
      <c r="P12" s="465"/>
      <c r="Q12" s="465"/>
      <c r="R12" s="465"/>
      <c r="S12" s="465"/>
      <c r="T12" s="26"/>
      <c r="U12" s="26"/>
      <c r="V12" s="26"/>
    </row>
    <row r="13" spans="1:28" ht="8.4499999999999993" customHeight="1" x14ac:dyDescent="0.2"/>
    <row r="14" spans="1:28" x14ac:dyDescent="0.2">
      <c r="A14" s="2" t="s">
        <v>24</v>
      </c>
      <c r="D14" s="577" t="str">
        <f>'1.Kwestionariusz'!G15</f>
        <v/>
      </c>
      <c r="E14" s="578"/>
      <c r="F14" s="578"/>
      <c r="G14" s="578"/>
      <c r="H14" s="578"/>
      <c r="I14" s="578"/>
      <c r="J14" s="578"/>
      <c r="K14" s="578"/>
      <c r="M14" s="2" t="s">
        <v>51</v>
      </c>
      <c r="P14" s="465" t="str">
        <f>'1.Kwestionariusz'!V15</f>
        <v/>
      </c>
      <c r="Q14" s="465"/>
      <c r="R14" s="465"/>
      <c r="S14" s="465"/>
      <c r="T14" s="10"/>
      <c r="U14" s="10"/>
      <c r="V14" s="10"/>
      <c r="W14" s="10"/>
      <c r="X14" s="10"/>
      <c r="Y14" s="10"/>
      <c r="Z14" s="10"/>
      <c r="AA14" s="10"/>
      <c r="AB14" s="14"/>
    </row>
    <row r="15" spans="1:28" ht="7.5" customHeight="1" x14ac:dyDescent="0.2"/>
    <row r="16" spans="1:28" x14ac:dyDescent="0.2">
      <c r="A16" s="2" t="s">
        <v>52</v>
      </c>
      <c r="B16" s="577" t="str">
        <f>'1.Kwestionariusz'!O18</f>
        <v/>
      </c>
      <c r="C16" s="578"/>
      <c r="D16" s="578"/>
      <c r="E16" s="578"/>
      <c r="F16" s="578"/>
      <c r="G16" s="578"/>
      <c r="H16" s="578"/>
      <c r="I16" s="578"/>
      <c r="J16" s="578"/>
      <c r="K16" s="578"/>
      <c r="L16" s="578"/>
      <c r="M16" s="578"/>
      <c r="N16" s="578"/>
    </row>
    <row r="17" spans="1:22" x14ac:dyDescent="0.2">
      <c r="A17" s="2" t="s">
        <v>199</v>
      </c>
      <c r="B17" s="577" t="str">
        <f>'1.Kwestionariusz'!B18</f>
        <v/>
      </c>
      <c r="C17" s="578"/>
      <c r="D17" s="578"/>
      <c r="E17" s="578"/>
      <c r="F17" s="578"/>
      <c r="G17" s="578"/>
      <c r="H17" s="578"/>
      <c r="I17" s="578"/>
      <c r="J17" s="578"/>
      <c r="K17" s="578"/>
      <c r="L17" s="578"/>
      <c r="M17" s="578"/>
      <c r="N17" s="578"/>
    </row>
    <row r="19" spans="1:22" x14ac:dyDescent="0.2">
      <c r="A19" s="18" t="s">
        <v>53</v>
      </c>
    </row>
    <row r="21" spans="1:22" x14ac:dyDescent="0.2">
      <c r="A21" s="4" t="s">
        <v>9</v>
      </c>
      <c r="B21" s="13" t="str">
        <f>'2.R-k bankowy'!X18</f>
        <v/>
      </c>
      <c r="C21" s="13" t="str">
        <f>'2.R-k bankowy'!Y18</f>
        <v/>
      </c>
      <c r="D21" s="21" t="s">
        <v>13</v>
      </c>
      <c r="E21" s="13" t="str">
        <f>'2.R-k bankowy'!AA18</f>
        <v/>
      </c>
      <c r="F21" s="13" t="str">
        <f>'2.R-k bankowy'!AB18</f>
        <v/>
      </c>
      <c r="G21" s="13" t="str">
        <f>'2.R-k bankowy'!AC18</f>
        <v/>
      </c>
      <c r="H21" s="15"/>
      <c r="I21" s="15"/>
      <c r="J21" s="15" t="s">
        <v>30</v>
      </c>
      <c r="K21" s="15"/>
      <c r="L21" s="15"/>
      <c r="M21" s="15"/>
      <c r="N21" s="15"/>
      <c r="O21" s="465" t="str">
        <f>'2.R-k bankowy'!F18</f>
        <v/>
      </c>
      <c r="P21" s="465"/>
      <c r="Q21" s="465"/>
      <c r="R21" s="465"/>
      <c r="S21" s="465"/>
    </row>
    <row r="22" spans="1:22" ht="8.4499999999999993" customHeight="1" x14ac:dyDescent="0.2"/>
    <row r="23" spans="1:22" x14ac:dyDescent="0.2">
      <c r="A23" s="2" t="s">
        <v>8</v>
      </c>
      <c r="B23" s="465" t="str">
        <f>'1.Kwestionariusz'!A23</f>
        <v/>
      </c>
      <c r="C23" s="465"/>
      <c r="D23" s="465"/>
      <c r="E23" s="465"/>
      <c r="F23" s="465"/>
      <c r="G23" s="465"/>
      <c r="H23" s="465"/>
      <c r="I23" s="465"/>
      <c r="J23" s="465"/>
      <c r="K23" s="465"/>
      <c r="L23" s="2" t="s">
        <v>177</v>
      </c>
      <c r="O23" s="47"/>
      <c r="P23" s="69" t="str">
        <f>'1.Kwestionariusz'!P23:U23</f>
        <v/>
      </c>
      <c r="R23" s="18"/>
      <c r="S23" s="615"/>
      <c r="T23" s="615"/>
      <c r="U23" s="615"/>
    </row>
    <row r="24" spans="1:22" ht="6" customHeight="1" x14ac:dyDescent="0.2"/>
    <row r="25" spans="1:22" ht="6" customHeight="1" x14ac:dyDescent="0.2"/>
    <row r="26" spans="1:22" ht="6" customHeight="1" x14ac:dyDescent="0.2"/>
    <row r="27" spans="1:22" ht="6" customHeight="1" x14ac:dyDescent="0.2"/>
    <row r="29" spans="1:22" x14ac:dyDescent="0.2">
      <c r="A29" s="615" t="s">
        <v>54</v>
      </c>
      <c r="B29" s="615"/>
      <c r="C29" s="615"/>
      <c r="D29" s="615"/>
      <c r="E29" s="615"/>
      <c r="F29" s="615"/>
      <c r="G29" s="615"/>
      <c r="H29" s="615"/>
      <c r="I29" s="615"/>
      <c r="J29" s="615"/>
      <c r="K29" s="615"/>
      <c r="L29" s="615"/>
      <c r="M29" s="615"/>
      <c r="N29" s="615"/>
      <c r="O29" s="615"/>
      <c r="P29" s="615"/>
      <c r="Q29" s="615"/>
      <c r="R29" s="615"/>
      <c r="S29" s="623"/>
      <c r="T29" s="623"/>
      <c r="U29" s="623"/>
      <c r="V29" s="623"/>
    </row>
    <row r="30" spans="1:22" x14ac:dyDescent="0.2">
      <c r="A30" s="575" t="s">
        <v>55</v>
      </c>
      <c r="B30" s="575"/>
      <c r="C30" s="575"/>
      <c r="D30" s="575"/>
      <c r="E30" s="575"/>
      <c r="F30" s="575"/>
      <c r="G30" s="575"/>
      <c r="H30" s="575"/>
      <c r="I30" s="575"/>
      <c r="J30" s="575"/>
      <c r="K30" s="575"/>
      <c r="L30" s="575"/>
      <c r="M30" s="575"/>
      <c r="N30" s="575"/>
      <c r="O30" s="575"/>
      <c r="P30" s="575"/>
      <c r="Q30" s="575"/>
      <c r="R30" s="575"/>
      <c r="S30" s="576"/>
      <c r="T30" s="576"/>
      <c r="U30" s="576"/>
      <c r="V30" s="576"/>
    </row>
    <row r="31" spans="1:22" x14ac:dyDescent="0.2">
      <c r="A31" s="575" t="str">
        <f>"osób fizycznych w "&amp;const!$B$2&amp;" r. (art. 32 ust. 1a ustawy z dnia 26 lipca 1991 r. o podatku"</f>
        <v>osób fizycznych w 2016 r. (art. 32 ust. 1a ustawy z dnia 26 lipca 1991 r. o podatku</v>
      </c>
      <c r="B31" s="575"/>
      <c r="C31" s="575"/>
      <c r="D31" s="575"/>
      <c r="E31" s="575"/>
      <c r="F31" s="575"/>
      <c r="G31" s="575"/>
      <c r="H31" s="575"/>
      <c r="I31" s="575"/>
      <c r="J31" s="575"/>
      <c r="K31" s="575"/>
      <c r="L31" s="575"/>
      <c r="M31" s="575"/>
      <c r="N31" s="575"/>
      <c r="O31" s="575"/>
      <c r="P31" s="575"/>
      <c r="Q31" s="575"/>
      <c r="R31" s="575"/>
      <c r="S31" s="576"/>
      <c r="T31" s="576"/>
      <c r="U31" s="576"/>
      <c r="V31" s="576"/>
    </row>
    <row r="32" spans="1:22" x14ac:dyDescent="0.2">
      <c r="A32" s="575" t="s">
        <v>56</v>
      </c>
      <c r="B32" s="575"/>
      <c r="C32" s="575"/>
      <c r="D32" s="575"/>
      <c r="E32" s="575"/>
      <c r="F32" s="575"/>
      <c r="G32" s="575"/>
      <c r="H32" s="575"/>
      <c r="I32" s="575"/>
      <c r="J32" s="575"/>
      <c r="K32" s="575"/>
      <c r="L32" s="575"/>
      <c r="M32" s="575"/>
      <c r="N32" s="575"/>
      <c r="O32" s="575"/>
      <c r="P32" s="575"/>
      <c r="Q32" s="575"/>
      <c r="R32" s="575"/>
      <c r="S32" s="576"/>
      <c r="T32" s="576"/>
      <c r="U32" s="576"/>
      <c r="V32" s="576"/>
    </row>
    <row r="33" spans="1:22" x14ac:dyDescent="0.2">
      <c r="A33" s="21"/>
      <c r="B33" s="21"/>
      <c r="C33" s="21"/>
      <c r="D33" s="21"/>
      <c r="E33" s="21"/>
      <c r="F33" s="21"/>
      <c r="G33" s="21"/>
      <c r="H33" s="21"/>
      <c r="I33" s="21"/>
      <c r="J33" s="21"/>
      <c r="K33" s="21"/>
      <c r="L33" s="21"/>
      <c r="M33" s="21"/>
      <c r="N33" s="21"/>
      <c r="O33" s="21"/>
      <c r="P33" s="21"/>
      <c r="Q33" s="21"/>
      <c r="R33" s="21"/>
    </row>
    <row r="35" spans="1:22" x14ac:dyDescent="0.2">
      <c r="A35" s="569" t="s">
        <v>57</v>
      </c>
      <c r="B35" s="569"/>
      <c r="C35" s="569"/>
      <c r="D35" s="569"/>
      <c r="E35" s="569"/>
      <c r="F35" s="569"/>
      <c r="G35" s="569"/>
      <c r="H35" s="465" t="str">
        <f>IF(const!$B$8="","",const!$B$8)</f>
        <v/>
      </c>
      <c r="I35" s="465"/>
      <c r="J35" s="465"/>
      <c r="K35" s="465"/>
      <c r="L35" s="465"/>
      <c r="M35" s="465"/>
      <c r="N35" s="465"/>
      <c r="O35" s="465"/>
      <c r="P35" s="465"/>
      <c r="Q35" s="465"/>
      <c r="R35" s="465"/>
      <c r="S35" s="465"/>
      <c r="T35" s="465"/>
      <c r="U35" s="465"/>
      <c r="V35" s="465"/>
    </row>
    <row r="36" spans="1:22" x14ac:dyDescent="0.2">
      <c r="G36" s="458" t="s">
        <v>58</v>
      </c>
      <c r="H36" s="458"/>
      <c r="I36" s="458"/>
      <c r="J36" s="458"/>
      <c r="K36" s="458"/>
      <c r="L36" s="458"/>
      <c r="M36" s="458"/>
      <c r="N36" s="458"/>
      <c r="O36" s="458"/>
      <c r="P36" s="458"/>
      <c r="Q36" s="458"/>
      <c r="R36" s="458"/>
      <c r="S36" s="458"/>
      <c r="T36" s="458"/>
      <c r="U36" s="458"/>
      <c r="V36" s="458"/>
    </row>
    <row r="37" spans="1:22" x14ac:dyDescent="0.2">
      <c r="A37" s="2" t="s">
        <v>59</v>
      </c>
    </row>
    <row r="38" spans="1:22" x14ac:dyDescent="0.2">
      <c r="A38" s="569" t="s">
        <v>60</v>
      </c>
      <c r="B38" s="569"/>
      <c r="C38" s="569"/>
      <c r="D38" s="569"/>
      <c r="E38" s="569"/>
      <c r="F38" s="569"/>
      <c r="G38" s="569"/>
      <c r="H38" s="569"/>
      <c r="I38" s="569"/>
      <c r="J38" s="569"/>
      <c r="K38" s="569"/>
      <c r="L38" s="569"/>
      <c r="M38" s="569"/>
      <c r="N38" s="569"/>
      <c r="O38" s="569"/>
      <c r="P38" s="569"/>
      <c r="Q38" s="569"/>
      <c r="R38" s="569"/>
      <c r="S38" s="569"/>
    </row>
    <row r="40" spans="1:22" x14ac:dyDescent="0.2">
      <c r="B40" s="38" t="s">
        <v>61</v>
      </c>
      <c r="C40" s="569" t="s">
        <v>222</v>
      </c>
      <c r="D40" s="569"/>
      <c r="E40" s="569"/>
      <c r="F40" s="569"/>
      <c r="G40" s="569"/>
      <c r="H40" s="569"/>
      <c r="I40" s="569"/>
      <c r="J40" s="569"/>
      <c r="K40" s="569"/>
      <c r="L40" s="569"/>
      <c r="M40" s="569"/>
      <c r="N40" s="569"/>
      <c r="O40" s="569"/>
      <c r="P40" s="569"/>
      <c r="Q40" s="569"/>
      <c r="R40" s="569"/>
    </row>
    <row r="41" spans="1:22" x14ac:dyDescent="0.2">
      <c r="B41" s="38"/>
      <c r="C41" s="4"/>
      <c r="D41" s="39" t="s">
        <v>103</v>
      </c>
      <c r="E41" s="4"/>
      <c r="F41" s="4"/>
      <c r="G41" s="4"/>
      <c r="H41" s="4"/>
      <c r="I41" s="4"/>
      <c r="J41" s="4"/>
      <c r="K41" s="4"/>
      <c r="L41" s="4"/>
      <c r="M41" s="4"/>
      <c r="N41" s="4"/>
      <c r="O41" s="4"/>
      <c r="P41" s="4"/>
      <c r="Q41" s="4"/>
      <c r="R41" s="4"/>
    </row>
    <row r="42" spans="1:22" ht="12.75" customHeight="1" x14ac:dyDescent="0.2">
      <c r="D42" s="38"/>
    </row>
    <row r="43" spans="1:22" x14ac:dyDescent="0.2">
      <c r="B43" s="38" t="s">
        <v>62</v>
      </c>
      <c r="C43" s="569" t="str">
        <f>"przewidywane dochody współmałżonka za "&amp;const!$B$2&amp;" r. wyniosą "</f>
        <v xml:space="preserve">przewidywane dochody współmałżonka za 2016 r. wyniosą </v>
      </c>
      <c r="D43" s="569"/>
      <c r="E43" s="569"/>
      <c r="F43" s="569"/>
      <c r="G43" s="569"/>
      <c r="H43" s="569"/>
      <c r="I43" s="569"/>
      <c r="J43" s="569"/>
      <c r="K43" s="569"/>
      <c r="L43" s="569"/>
      <c r="M43" s="569"/>
      <c r="N43" s="569"/>
      <c r="O43" s="569"/>
      <c r="P43" s="569"/>
      <c r="Q43" s="622"/>
      <c r="R43" s="622"/>
      <c r="S43" s="569" t="s">
        <v>63</v>
      </c>
      <c r="T43" s="569"/>
      <c r="U43" s="569"/>
      <c r="V43" s="569"/>
    </row>
    <row r="44" spans="1:22" x14ac:dyDescent="0.2">
      <c r="C44" s="569" t="s">
        <v>221</v>
      </c>
      <c r="D44" s="569"/>
      <c r="E44" s="569"/>
      <c r="F44" s="569"/>
      <c r="G44" s="569"/>
      <c r="H44" s="569"/>
      <c r="I44" s="569"/>
      <c r="J44" s="569"/>
      <c r="K44" s="569"/>
      <c r="L44" s="569"/>
      <c r="M44" s="569"/>
      <c r="N44" s="569"/>
      <c r="O44" s="569"/>
      <c r="P44" s="569"/>
      <c r="Q44" s="569"/>
      <c r="R44" s="569"/>
      <c r="S44" s="569"/>
      <c r="T44" s="569"/>
      <c r="U44" s="569"/>
      <c r="V44" s="569"/>
    </row>
    <row r="45" spans="1:22" ht="15" customHeight="1" x14ac:dyDescent="0.2"/>
    <row r="46" spans="1:22" x14ac:dyDescent="0.2">
      <c r="B46" s="38"/>
      <c r="C46" s="569"/>
      <c r="D46" s="569"/>
      <c r="E46" s="569"/>
      <c r="F46" s="569"/>
      <c r="G46" s="569"/>
      <c r="H46" s="569"/>
      <c r="I46" s="569"/>
      <c r="J46" s="569"/>
      <c r="K46" s="569"/>
      <c r="L46" s="569"/>
      <c r="M46" s="569"/>
      <c r="N46" s="569"/>
      <c r="O46" s="569"/>
      <c r="P46" s="569"/>
      <c r="Q46" s="569"/>
      <c r="R46" s="569"/>
      <c r="S46" s="569"/>
      <c r="T46" s="569"/>
      <c r="U46" s="569"/>
      <c r="V46" s="569"/>
    </row>
    <row r="47" spans="1:22" ht="8.4499999999999993" customHeight="1" x14ac:dyDescent="0.2"/>
    <row r="49" spans="1:22" x14ac:dyDescent="0.2">
      <c r="A49" s="569" t="s">
        <v>64</v>
      </c>
      <c r="B49" s="569"/>
      <c r="C49" s="569"/>
      <c r="D49" s="569"/>
      <c r="E49" s="569"/>
      <c r="F49" s="569"/>
      <c r="G49" s="569"/>
      <c r="H49" s="569"/>
      <c r="I49" s="569"/>
      <c r="J49" s="569"/>
      <c r="K49" s="569"/>
      <c r="L49" s="569"/>
      <c r="M49" s="569"/>
      <c r="N49" s="569"/>
      <c r="O49" s="569"/>
      <c r="P49" s="569"/>
      <c r="Q49" s="569"/>
      <c r="R49" s="569"/>
      <c r="S49" s="569"/>
      <c r="T49" s="569"/>
      <c r="U49" s="569"/>
      <c r="V49" s="569"/>
    </row>
    <row r="50" spans="1:22" x14ac:dyDescent="0.2">
      <c r="A50" s="569" t="s">
        <v>65</v>
      </c>
      <c r="B50" s="569"/>
      <c r="C50" s="569"/>
      <c r="D50" s="569"/>
      <c r="E50" s="569"/>
      <c r="F50" s="569"/>
      <c r="G50" s="569"/>
      <c r="H50" s="569"/>
      <c r="I50" s="569"/>
      <c r="J50" s="569"/>
      <c r="K50" s="569"/>
      <c r="L50" s="569"/>
      <c r="M50" s="569"/>
      <c r="N50" s="569"/>
      <c r="O50" s="569"/>
      <c r="P50" s="569"/>
      <c r="Q50" s="569"/>
      <c r="R50" s="569"/>
      <c r="S50" s="569"/>
      <c r="T50" s="569"/>
      <c r="U50" s="569"/>
      <c r="V50" s="569"/>
    </row>
    <row r="51" spans="1:22" x14ac:dyDescent="0.2">
      <c r="A51" s="569" t="s">
        <v>66</v>
      </c>
      <c r="B51" s="569"/>
      <c r="C51" s="569"/>
      <c r="D51" s="569"/>
      <c r="E51" s="569"/>
      <c r="F51" s="569"/>
      <c r="G51" s="569"/>
      <c r="H51" s="569"/>
      <c r="I51" s="569"/>
      <c r="J51" s="569"/>
      <c r="K51" s="569"/>
      <c r="L51" s="569"/>
      <c r="M51" s="569"/>
      <c r="N51" s="569"/>
      <c r="O51" s="569"/>
      <c r="P51" s="569"/>
      <c r="Q51" s="569"/>
      <c r="R51" s="569"/>
      <c r="S51" s="569"/>
      <c r="T51" s="569"/>
      <c r="U51" s="569"/>
      <c r="V51" s="569"/>
    </row>
    <row r="52" spans="1:22" x14ac:dyDescent="0.2">
      <c r="A52" s="569" t="s">
        <v>38</v>
      </c>
      <c r="B52" s="569"/>
      <c r="C52" s="569"/>
      <c r="D52" s="569"/>
      <c r="E52" s="569"/>
      <c r="F52" s="569"/>
      <c r="G52" s="569"/>
      <c r="H52" s="569"/>
      <c r="I52" s="569"/>
      <c r="J52" s="569"/>
      <c r="K52" s="569"/>
      <c r="L52" s="569"/>
      <c r="M52" s="569"/>
      <c r="N52" s="569"/>
      <c r="O52" s="569"/>
      <c r="P52" s="569"/>
      <c r="Q52" s="569"/>
      <c r="R52" s="569"/>
      <c r="S52" s="569"/>
      <c r="T52" s="569"/>
      <c r="U52" s="569"/>
      <c r="V52" s="569"/>
    </row>
    <row r="53" spans="1:22" s="15" customFormat="1" ht="6" customHeight="1" x14ac:dyDescent="0.2">
      <c r="A53" s="458"/>
      <c r="B53" s="458"/>
      <c r="C53" s="458"/>
      <c r="D53" s="458"/>
      <c r="E53" s="458"/>
      <c r="F53" s="458"/>
      <c r="G53" s="458"/>
      <c r="H53" s="458"/>
      <c r="I53" s="458"/>
      <c r="J53" s="458"/>
      <c r="K53" s="458"/>
      <c r="L53" s="458"/>
      <c r="M53" s="458"/>
      <c r="N53" s="458"/>
      <c r="O53" s="458"/>
      <c r="P53" s="458"/>
      <c r="Q53" s="458"/>
      <c r="R53" s="458"/>
      <c r="S53" s="458"/>
      <c r="T53" s="458"/>
      <c r="U53" s="458"/>
      <c r="V53" s="458"/>
    </row>
    <row r="54" spans="1:22" s="15" customFormat="1" ht="6" customHeight="1" x14ac:dyDescent="0.2">
      <c r="A54" s="458"/>
      <c r="B54" s="458"/>
      <c r="C54" s="458"/>
      <c r="D54" s="458"/>
      <c r="E54" s="458"/>
      <c r="F54" s="458"/>
      <c r="G54" s="458"/>
      <c r="H54" s="458"/>
      <c r="I54" s="458"/>
      <c r="J54" s="458"/>
      <c r="K54" s="458"/>
      <c r="L54" s="458"/>
      <c r="M54" s="458"/>
      <c r="N54" s="458"/>
      <c r="O54" s="458"/>
      <c r="P54" s="458"/>
      <c r="Q54" s="458"/>
      <c r="R54" s="458"/>
      <c r="S54" s="458"/>
      <c r="T54" s="458"/>
      <c r="U54" s="458"/>
      <c r="V54" s="458"/>
    </row>
    <row r="55" spans="1:22" s="15" customFormat="1" ht="6" customHeight="1" x14ac:dyDescent="0.2">
      <c r="A55" s="458"/>
      <c r="B55" s="458"/>
      <c r="C55" s="458"/>
      <c r="D55" s="458"/>
      <c r="E55" s="458"/>
      <c r="F55" s="458"/>
      <c r="G55" s="458"/>
      <c r="H55" s="458"/>
      <c r="I55" s="458"/>
      <c r="J55" s="458"/>
      <c r="K55" s="458"/>
      <c r="L55" s="458"/>
      <c r="M55" s="458"/>
      <c r="N55" s="458"/>
      <c r="O55" s="458"/>
      <c r="P55" s="458"/>
      <c r="Q55" s="458"/>
      <c r="R55" s="458"/>
      <c r="S55" s="458"/>
      <c r="T55" s="458"/>
      <c r="U55" s="458"/>
      <c r="V55" s="458"/>
    </row>
    <row r="56" spans="1:22" s="15" customFormat="1" x14ac:dyDescent="0.2">
      <c r="A56" s="458"/>
      <c r="B56" s="458"/>
      <c r="C56" s="458"/>
      <c r="D56" s="458"/>
      <c r="E56" s="458"/>
      <c r="F56" s="458"/>
      <c r="G56" s="458"/>
      <c r="H56" s="458"/>
      <c r="I56" s="458"/>
      <c r="J56" s="458"/>
      <c r="K56" s="458"/>
      <c r="L56" s="458"/>
      <c r="M56" s="458"/>
      <c r="N56" s="458"/>
      <c r="O56" s="458"/>
      <c r="P56" s="458"/>
      <c r="Q56" s="458"/>
      <c r="R56" s="458"/>
      <c r="S56" s="458"/>
      <c r="T56" s="458"/>
      <c r="U56" s="458"/>
      <c r="V56" s="458"/>
    </row>
    <row r="57" spans="1:22" x14ac:dyDescent="0.2">
      <c r="A57" s="466" t="str">
        <f>'Dane personalne'!$D$94&amp;""</f>
        <v/>
      </c>
      <c r="B57" s="466"/>
      <c r="C57" s="466"/>
      <c r="D57" s="466"/>
      <c r="E57" s="466"/>
      <c r="F57" s="466"/>
      <c r="G57" s="466" t="str">
        <f>'Dane personalne'!$F$94</f>
        <v/>
      </c>
      <c r="H57" s="466"/>
      <c r="I57" s="466"/>
      <c r="J57" s="466"/>
      <c r="K57" s="466"/>
      <c r="P57" s="469"/>
      <c r="Q57" s="469"/>
      <c r="R57" s="469"/>
      <c r="S57" s="469"/>
      <c r="T57" s="469"/>
      <c r="U57" s="469"/>
      <c r="V57" s="469"/>
    </row>
    <row r="58" spans="1:22" x14ac:dyDescent="0.2">
      <c r="A58" s="562" t="s">
        <v>41</v>
      </c>
      <c r="B58" s="562"/>
      <c r="C58" s="562"/>
      <c r="D58" s="562"/>
      <c r="E58" s="562"/>
      <c r="F58" s="562"/>
      <c r="G58" s="562"/>
      <c r="H58" s="562"/>
      <c r="I58" s="562"/>
      <c r="P58" s="562" t="s">
        <v>43</v>
      </c>
      <c r="Q58" s="562"/>
      <c r="R58" s="562"/>
      <c r="S58" s="562"/>
      <c r="T58" s="562"/>
      <c r="U58" s="562"/>
      <c r="V58" s="562"/>
    </row>
  </sheetData>
  <mergeCells count="36">
    <mergeCell ref="A35:G35"/>
    <mergeCell ref="H35:V35"/>
    <mergeCell ref="A29:V29"/>
    <mergeCell ref="A30:V30"/>
    <mergeCell ref="A31:V31"/>
    <mergeCell ref="A32:V32"/>
    <mergeCell ref="C46:V46"/>
    <mergeCell ref="A49:V49"/>
    <mergeCell ref="P57:V57"/>
    <mergeCell ref="G36:V36"/>
    <mergeCell ref="C44:V44"/>
    <mergeCell ref="C40:R40"/>
    <mergeCell ref="C43:P43"/>
    <mergeCell ref="S43:V43"/>
    <mergeCell ref="Q43:R43"/>
    <mergeCell ref="A38:S38"/>
    <mergeCell ref="P58:V58"/>
    <mergeCell ref="A58:I58"/>
    <mergeCell ref="A50:V50"/>
    <mergeCell ref="A53:V56"/>
    <mergeCell ref="A51:V51"/>
    <mergeCell ref="A52:V52"/>
    <mergeCell ref="A57:F57"/>
    <mergeCell ref="G57:K57"/>
    <mergeCell ref="P14:S14"/>
    <mergeCell ref="S23:U23"/>
    <mergeCell ref="A8:J8"/>
    <mergeCell ref="A9:J9"/>
    <mergeCell ref="B12:K12"/>
    <mergeCell ref="L12:N12"/>
    <mergeCell ref="B23:K23"/>
    <mergeCell ref="O12:S12"/>
    <mergeCell ref="O21:S21"/>
    <mergeCell ref="D14:K14"/>
    <mergeCell ref="B17:N17"/>
    <mergeCell ref="B16:N16"/>
  </mergeCells>
  <phoneticPr fontId="2" type="noConversion"/>
  <pageMargins left="0.39" right="0.35" top="0.71" bottom="0.65"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CN546"/>
  <sheetViews>
    <sheetView showGridLines="0" zoomScaleNormal="100" zoomScaleSheetLayoutView="80" workbookViewId="0">
      <selection activeCell="H35" sqref="H35:V35"/>
    </sheetView>
  </sheetViews>
  <sheetFormatPr defaultColWidth="9.140625" defaultRowHeight="12.75" x14ac:dyDescent="0.2"/>
  <cols>
    <col min="1" max="1" width="12.85546875" style="2" customWidth="1"/>
    <col min="2" max="13" width="3" style="2" customWidth="1"/>
    <col min="14" max="14" width="7.855468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23" width="2.7109375" style="114" customWidth="1"/>
    <col min="24" max="24" width="3.140625" style="114" customWidth="1"/>
    <col min="25" max="26" width="2.85546875" style="114" customWidth="1"/>
    <col min="27" max="27" width="3" style="114" customWidth="1"/>
    <col min="28" max="29" width="9.140625" style="114"/>
    <col min="30" max="92" width="9.140625" style="120"/>
    <col min="93" max="16384" width="9.140625" style="114"/>
  </cols>
  <sheetData>
    <row r="1" spans="1:29" x14ac:dyDescent="0.2">
      <c r="W1" s="120"/>
      <c r="X1" s="120"/>
      <c r="Y1" s="120"/>
      <c r="Z1" s="120"/>
      <c r="AA1" s="120"/>
      <c r="AB1" s="120"/>
      <c r="AC1" s="120"/>
    </row>
    <row r="2" spans="1:29" x14ac:dyDescent="0.2">
      <c r="W2" s="120"/>
      <c r="X2" s="120"/>
      <c r="Y2" s="120"/>
      <c r="Z2" s="120"/>
      <c r="AA2" s="120"/>
      <c r="AB2" s="120"/>
      <c r="AC2" s="120"/>
    </row>
    <row r="3" spans="1:29" x14ac:dyDescent="0.2">
      <c r="W3" s="120"/>
      <c r="X3" s="120"/>
      <c r="Y3" s="120"/>
      <c r="Z3" s="120"/>
      <c r="AA3" s="120"/>
      <c r="AB3" s="120"/>
      <c r="AC3" s="120"/>
    </row>
    <row r="4" spans="1:29" x14ac:dyDescent="0.2">
      <c r="W4" s="120"/>
      <c r="X4" s="120"/>
      <c r="Y4" s="120"/>
      <c r="Z4" s="120"/>
      <c r="AA4" s="120"/>
      <c r="AB4" s="120"/>
      <c r="AC4" s="120"/>
    </row>
    <row r="5" spans="1:29" ht="13.5" thickBot="1" x14ac:dyDescent="0.25">
      <c r="W5" s="120"/>
      <c r="X5" s="120"/>
      <c r="Y5" s="120"/>
      <c r="Z5" s="120"/>
      <c r="AA5" s="120"/>
      <c r="AB5" s="120"/>
      <c r="AC5" s="120"/>
    </row>
    <row r="6" spans="1:29" x14ac:dyDescent="0.2">
      <c r="A6" s="7"/>
      <c r="B6" s="7"/>
      <c r="C6" s="7"/>
      <c r="D6" s="7"/>
      <c r="E6" s="7"/>
      <c r="F6" s="7"/>
      <c r="G6" s="7"/>
      <c r="H6" s="7"/>
      <c r="I6" s="7"/>
      <c r="J6" s="7"/>
      <c r="K6" s="7"/>
      <c r="L6" s="7"/>
      <c r="M6" s="7"/>
      <c r="N6" s="7"/>
      <c r="O6" s="7"/>
      <c r="P6" s="7"/>
      <c r="Q6" s="7"/>
      <c r="R6" s="7"/>
      <c r="S6" s="7"/>
      <c r="T6" s="7"/>
      <c r="U6" s="7"/>
      <c r="V6" s="7"/>
      <c r="W6" s="120"/>
      <c r="X6" s="120"/>
      <c r="Y6" s="120"/>
      <c r="Z6" s="120"/>
      <c r="AA6" s="120"/>
      <c r="AB6" s="120"/>
      <c r="AC6" s="120"/>
    </row>
    <row r="7" spans="1:29" x14ac:dyDescent="0.2">
      <c r="W7" s="120"/>
      <c r="X7" s="120"/>
      <c r="Y7" s="120"/>
      <c r="Z7" s="120"/>
      <c r="AA7" s="120"/>
      <c r="AB7" s="120"/>
      <c r="AC7" s="120"/>
    </row>
    <row r="8" spans="1:29" x14ac:dyDescent="0.2">
      <c r="A8" s="465" t="str">
        <f>CONCATENATE('Dane personalne'!D11," ",'Dane personalne'!D12)</f>
        <v xml:space="preserve"> </v>
      </c>
      <c r="B8" s="465"/>
      <c r="C8" s="465"/>
      <c r="D8" s="465"/>
      <c r="E8" s="465"/>
      <c r="F8" s="465"/>
      <c r="G8" s="465"/>
      <c r="H8" s="465"/>
      <c r="I8" s="465"/>
      <c r="J8" s="465"/>
      <c r="K8" s="36"/>
      <c r="L8" s="36"/>
      <c r="M8" s="36"/>
      <c r="N8" s="36"/>
      <c r="O8" s="36"/>
      <c r="P8" s="36"/>
      <c r="Q8" s="36"/>
      <c r="R8" s="36"/>
      <c r="W8" s="120"/>
      <c r="X8" s="120"/>
      <c r="Y8" s="120"/>
      <c r="Z8" s="120"/>
      <c r="AA8" s="120"/>
      <c r="AB8" s="120"/>
      <c r="AC8" s="120"/>
    </row>
    <row r="9" spans="1:29" x14ac:dyDescent="0.2">
      <c r="A9" s="441" t="s">
        <v>369</v>
      </c>
      <c r="B9" s="441"/>
      <c r="C9" s="441"/>
      <c r="D9" s="441"/>
      <c r="E9" s="441"/>
      <c r="F9" s="441"/>
      <c r="G9" s="441"/>
      <c r="H9" s="441"/>
      <c r="I9" s="441"/>
      <c r="J9" s="441"/>
      <c r="K9" s="37"/>
      <c r="L9" s="37"/>
      <c r="M9" s="37"/>
      <c r="N9" s="37"/>
      <c r="O9" s="37"/>
      <c r="P9" s="37"/>
      <c r="Q9" s="37"/>
      <c r="R9" s="37"/>
      <c r="W9" s="120"/>
      <c r="X9" s="120"/>
      <c r="Y9" s="120"/>
      <c r="Z9" s="120"/>
      <c r="AA9" s="120"/>
      <c r="AB9" s="120"/>
      <c r="AC9" s="120"/>
    </row>
    <row r="10" spans="1:29" x14ac:dyDescent="0.2">
      <c r="W10" s="120"/>
      <c r="X10" s="120"/>
      <c r="Y10" s="120"/>
      <c r="Z10" s="120"/>
      <c r="AA10" s="120"/>
      <c r="AB10" s="120"/>
      <c r="AC10" s="120"/>
    </row>
    <row r="11" spans="1:29" x14ac:dyDescent="0.2">
      <c r="W11" s="130"/>
      <c r="X11" s="130"/>
      <c r="Y11" s="120"/>
      <c r="Z11" s="120"/>
      <c r="AA11" s="120"/>
      <c r="AB11" s="120"/>
      <c r="AC11" s="120"/>
    </row>
    <row r="12" spans="1:29" x14ac:dyDescent="0.2">
      <c r="A12" s="2" t="s">
        <v>258</v>
      </c>
      <c r="B12" s="465" t="str">
        <f>'1.Kwestionariusz'!I13</f>
        <v/>
      </c>
      <c r="C12" s="465"/>
      <c r="D12" s="465"/>
      <c r="E12" s="465"/>
      <c r="F12" s="465"/>
      <c r="G12" s="465"/>
      <c r="H12" s="465"/>
      <c r="I12" s="465"/>
      <c r="J12" s="465"/>
      <c r="K12" s="465"/>
      <c r="L12" s="569" t="s">
        <v>371</v>
      </c>
      <c r="M12" s="569"/>
      <c r="N12" s="569"/>
      <c r="O12" s="465" t="str">
        <f>'1.Kwestionariusz'!R13</f>
        <v/>
      </c>
      <c r="P12" s="465"/>
      <c r="Q12" s="465"/>
      <c r="R12" s="465"/>
      <c r="S12" s="465"/>
      <c r="T12" s="26"/>
      <c r="U12" s="26"/>
      <c r="V12" s="26"/>
      <c r="W12" s="203"/>
      <c r="X12" s="203"/>
      <c r="Y12" s="120"/>
      <c r="Z12" s="120"/>
      <c r="AA12" s="120"/>
      <c r="AB12" s="120"/>
      <c r="AC12" s="120"/>
    </row>
    <row r="13" spans="1:29" ht="8.4499999999999993" customHeight="1" x14ac:dyDescent="0.2">
      <c r="W13" s="120"/>
      <c r="X13" s="120"/>
      <c r="Y13" s="120"/>
      <c r="Z13" s="120"/>
      <c r="AA13" s="120"/>
      <c r="AB13" s="120"/>
      <c r="AC13" s="120"/>
    </row>
    <row r="14" spans="1:29" x14ac:dyDescent="0.2">
      <c r="A14" s="2" t="s">
        <v>336</v>
      </c>
      <c r="D14" s="577" t="str">
        <f>'1.Kwestionariusz'!G15</f>
        <v/>
      </c>
      <c r="E14" s="578"/>
      <c r="F14" s="578"/>
      <c r="G14" s="578"/>
      <c r="H14" s="578"/>
      <c r="I14" s="578"/>
      <c r="J14" s="578"/>
      <c r="K14" s="578"/>
      <c r="M14" s="2" t="s">
        <v>372</v>
      </c>
      <c r="P14" s="465" t="str">
        <f>'1.Kwestionariusz'!V15</f>
        <v/>
      </c>
      <c r="Q14" s="465"/>
      <c r="R14" s="465"/>
      <c r="S14" s="465"/>
      <c r="T14" s="210"/>
      <c r="U14" s="210"/>
      <c r="V14" s="210"/>
      <c r="W14" s="215"/>
      <c r="X14" s="129"/>
      <c r="Y14" s="129"/>
      <c r="Z14" s="129"/>
      <c r="AA14" s="129"/>
      <c r="AB14" s="130"/>
      <c r="AC14" s="120"/>
    </row>
    <row r="15" spans="1:29" ht="7.5" customHeight="1" x14ac:dyDescent="0.2">
      <c r="W15" s="130"/>
      <c r="X15" s="120"/>
      <c r="Y15" s="120"/>
      <c r="Z15" s="120"/>
      <c r="AA15" s="120"/>
      <c r="AB15" s="120"/>
      <c r="AC15" s="120"/>
    </row>
    <row r="16" spans="1:29" x14ac:dyDescent="0.2">
      <c r="A16" s="2" t="s">
        <v>374</v>
      </c>
      <c r="B16" s="577" t="str">
        <f>'1.Kwestionariusz'!O18</f>
        <v/>
      </c>
      <c r="C16" s="578"/>
      <c r="D16" s="578"/>
      <c r="E16" s="578"/>
      <c r="F16" s="578"/>
      <c r="G16" s="578"/>
      <c r="H16" s="578"/>
      <c r="I16" s="578"/>
      <c r="J16" s="578"/>
      <c r="K16" s="578"/>
      <c r="L16" s="578"/>
      <c r="M16" s="578"/>
      <c r="N16" s="578"/>
      <c r="W16" s="120"/>
      <c r="X16" s="120"/>
      <c r="Y16" s="120"/>
      <c r="Z16" s="120"/>
      <c r="AA16" s="120"/>
      <c r="AB16" s="120"/>
      <c r="AC16" s="120"/>
    </row>
    <row r="17" spans="1:29" x14ac:dyDescent="0.2">
      <c r="A17" s="2" t="s">
        <v>373</v>
      </c>
      <c r="B17" s="577" t="str">
        <f>'1.Kwestionariusz'!B18</f>
        <v/>
      </c>
      <c r="C17" s="578"/>
      <c r="D17" s="578"/>
      <c r="E17" s="578"/>
      <c r="F17" s="578"/>
      <c r="G17" s="578"/>
      <c r="H17" s="578"/>
      <c r="I17" s="578"/>
      <c r="J17" s="578"/>
      <c r="K17" s="578"/>
      <c r="L17" s="578"/>
      <c r="M17" s="578"/>
      <c r="N17" s="578"/>
      <c r="W17" s="120"/>
      <c r="X17" s="120"/>
      <c r="Y17" s="120"/>
      <c r="Z17" s="120"/>
      <c r="AA17" s="120"/>
      <c r="AB17" s="120"/>
      <c r="AC17" s="120"/>
    </row>
    <row r="18" spans="1:29" x14ac:dyDescent="0.2">
      <c r="W18" s="120"/>
      <c r="X18" s="120"/>
      <c r="Y18" s="120"/>
      <c r="Z18" s="120"/>
      <c r="AA18" s="120"/>
      <c r="AB18" s="120"/>
      <c r="AC18" s="120"/>
    </row>
    <row r="19" spans="1:29" x14ac:dyDescent="0.2">
      <c r="A19" s="18" t="s">
        <v>320</v>
      </c>
      <c r="W19" s="120"/>
      <c r="X19" s="120"/>
      <c r="Y19" s="120"/>
      <c r="Z19" s="120"/>
      <c r="AA19" s="120"/>
      <c r="AB19" s="120"/>
      <c r="AC19" s="120"/>
    </row>
    <row r="20" spans="1:29" x14ac:dyDescent="0.2">
      <c r="W20" s="120"/>
      <c r="X20" s="120"/>
      <c r="Y20" s="120"/>
      <c r="Z20" s="120"/>
      <c r="AA20" s="120"/>
      <c r="AB20" s="120"/>
      <c r="AC20" s="120"/>
    </row>
    <row r="21" spans="1:29" x14ac:dyDescent="0.2">
      <c r="A21" s="211" t="s">
        <v>321</v>
      </c>
      <c r="B21" s="13" t="str">
        <f>'2.R-k bankowy'!X18</f>
        <v/>
      </c>
      <c r="C21" s="13" t="str">
        <f>'2.R-k bankowy'!Y18</f>
        <v/>
      </c>
      <c r="D21" s="212" t="s">
        <v>13</v>
      </c>
      <c r="E21" s="13" t="str">
        <f>'2.R-k bankowy'!AA18</f>
        <v/>
      </c>
      <c r="F21" s="13" t="str">
        <f>'2.R-k bankowy'!AB18</f>
        <v/>
      </c>
      <c r="G21" s="13" t="str">
        <f>'2.R-k bankowy'!AC18</f>
        <v/>
      </c>
      <c r="H21" s="213"/>
      <c r="I21" s="213"/>
      <c r="J21" s="213" t="s">
        <v>382</v>
      </c>
      <c r="K21" s="213"/>
      <c r="L21" s="213"/>
      <c r="M21" s="213"/>
      <c r="N21" s="213"/>
      <c r="O21" s="465" t="str">
        <f>'2.R-k bankowy'!F18</f>
        <v/>
      </c>
      <c r="P21" s="465"/>
      <c r="Q21" s="465"/>
      <c r="R21" s="465"/>
      <c r="S21" s="465"/>
      <c r="W21" s="120"/>
      <c r="X21" s="120"/>
      <c r="Y21" s="120"/>
      <c r="Z21" s="120"/>
      <c r="AA21" s="120"/>
      <c r="AB21" s="120"/>
      <c r="AC21" s="120"/>
    </row>
    <row r="22" spans="1:29" ht="8.4499999999999993" customHeight="1" x14ac:dyDescent="0.2">
      <c r="W22" s="120"/>
      <c r="X22" s="120"/>
      <c r="Y22" s="120"/>
      <c r="Z22" s="120"/>
      <c r="AA22" s="120"/>
      <c r="AB22" s="120"/>
      <c r="AC22" s="120"/>
    </row>
    <row r="23" spans="1:29" x14ac:dyDescent="0.2">
      <c r="A23" s="2" t="s">
        <v>383</v>
      </c>
      <c r="B23" s="465" t="str">
        <f>'1.Kwestionariusz'!A23</f>
        <v/>
      </c>
      <c r="C23" s="465"/>
      <c r="D23" s="465"/>
      <c r="E23" s="465"/>
      <c r="F23" s="465"/>
      <c r="G23" s="465"/>
      <c r="H23" s="465"/>
      <c r="I23" s="465"/>
      <c r="J23" s="465"/>
      <c r="K23" s="465"/>
      <c r="L23" s="2" t="s">
        <v>376</v>
      </c>
      <c r="O23" s="214"/>
      <c r="P23" s="69" t="str">
        <f>'1.Kwestionariusz'!P23:U23</f>
        <v/>
      </c>
      <c r="R23" s="18"/>
      <c r="S23" s="615"/>
      <c r="T23" s="615"/>
      <c r="U23" s="615"/>
      <c r="W23" s="120"/>
      <c r="X23" s="120"/>
      <c r="Y23" s="120"/>
      <c r="Z23" s="120"/>
      <c r="AA23" s="120"/>
      <c r="AB23" s="120"/>
      <c r="AC23" s="120"/>
    </row>
    <row r="24" spans="1:29" ht="6" customHeight="1" x14ac:dyDescent="0.2">
      <c r="W24" s="120"/>
      <c r="X24" s="120"/>
      <c r="Y24" s="120"/>
      <c r="Z24" s="120"/>
      <c r="AA24" s="120"/>
      <c r="AB24" s="120"/>
      <c r="AC24" s="120"/>
    </row>
    <row r="25" spans="1:29" ht="6" customHeight="1" x14ac:dyDescent="0.2">
      <c r="W25" s="120"/>
      <c r="X25" s="120"/>
      <c r="Y25" s="120"/>
      <c r="Z25" s="120"/>
      <c r="AA25" s="120"/>
      <c r="AB25" s="120"/>
      <c r="AC25" s="120"/>
    </row>
    <row r="26" spans="1:29" ht="6" customHeight="1" x14ac:dyDescent="0.2">
      <c r="W26" s="120"/>
      <c r="X26" s="120"/>
      <c r="Y26" s="120"/>
      <c r="Z26" s="120"/>
      <c r="AA26" s="120"/>
      <c r="AB26" s="120"/>
      <c r="AC26" s="120"/>
    </row>
    <row r="27" spans="1:29" ht="6" customHeight="1" x14ac:dyDescent="0.2">
      <c r="W27" s="120"/>
      <c r="X27" s="120"/>
      <c r="Y27" s="120"/>
      <c r="Z27" s="120"/>
      <c r="AA27" s="120"/>
      <c r="AB27" s="120"/>
      <c r="AC27" s="120"/>
    </row>
    <row r="28" spans="1:29" x14ac:dyDescent="0.2">
      <c r="W28" s="120"/>
      <c r="X28" s="120"/>
      <c r="Y28" s="120"/>
      <c r="Z28" s="120"/>
      <c r="AA28" s="120"/>
      <c r="AB28" s="120"/>
      <c r="AC28" s="120"/>
    </row>
    <row r="29" spans="1:29" x14ac:dyDescent="0.2">
      <c r="A29" s="615" t="s">
        <v>377</v>
      </c>
      <c r="B29" s="615"/>
      <c r="C29" s="615"/>
      <c r="D29" s="615"/>
      <c r="E29" s="615"/>
      <c r="F29" s="615"/>
      <c r="G29" s="615"/>
      <c r="H29" s="615"/>
      <c r="I29" s="615"/>
      <c r="J29" s="615"/>
      <c r="K29" s="615"/>
      <c r="L29" s="615"/>
      <c r="M29" s="615"/>
      <c r="N29" s="615"/>
      <c r="O29" s="615"/>
      <c r="P29" s="615"/>
      <c r="Q29" s="615"/>
      <c r="R29" s="615"/>
      <c r="S29" s="623"/>
      <c r="T29" s="623"/>
      <c r="U29" s="623"/>
      <c r="V29" s="623"/>
      <c r="W29" s="120"/>
      <c r="X29" s="120"/>
      <c r="Y29" s="120"/>
      <c r="Z29" s="120"/>
      <c r="AA29" s="120"/>
      <c r="AB29" s="120"/>
      <c r="AC29" s="120"/>
    </row>
    <row r="30" spans="1:29" x14ac:dyDescent="0.2">
      <c r="A30" s="575" t="s">
        <v>384</v>
      </c>
      <c r="B30" s="575"/>
      <c r="C30" s="575"/>
      <c r="D30" s="575"/>
      <c r="E30" s="575"/>
      <c r="F30" s="575"/>
      <c r="G30" s="575"/>
      <c r="H30" s="575"/>
      <c r="I30" s="575"/>
      <c r="J30" s="575"/>
      <c r="K30" s="575"/>
      <c r="L30" s="575"/>
      <c r="M30" s="575"/>
      <c r="N30" s="575"/>
      <c r="O30" s="575"/>
      <c r="P30" s="575"/>
      <c r="Q30" s="575"/>
      <c r="R30" s="575"/>
      <c r="S30" s="576"/>
      <c r="T30" s="576"/>
      <c r="U30" s="576"/>
      <c r="V30" s="576"/>
      <c r="W30" s="120"/>
      <c r="X30" s="120"/>
      <c r="Y30" s="120"/>
      <c r="Z30" s="120"/>
      <c r="AA30" s="120"/>
      <c r="AB30" s="120"/>
      <c r="AC30" s="120"/>
    </row>
    <row r="31" spans="1:29" x14ac:dyDescent="0.2">
      <c r="A31" s="575" t="str">
        <f>"tax in "&amp;const!$B$2&amp;" (Article 32 patagraph 1a of the Act of 26 July 1991 on personal"</f>
        <v>tax in 2016 (Article 32 patagraph 1a of the Act of 26 July 1991 on personal</v>
      </c>
      <c r="B31" s="575"/>
      <c r="C31" s="575"/>
      <c r="D31" s="575"/>
      <c r="E31" s="575"/>
      <c r="F31" s="575"/>
      <c r="G31" s="575"/>
      <c r="H31" s="575"/>
      <c r="I31" s="575"/>
      <c r="J31" s="575"/>
      <c r="K31" s="575"/>
      <c r="L31" s="575"/>
      <c r="M31" s="575"/>
      <c r="N31" s="575"/>
      <c r="O31" s="575"/>
      <c r="P31" s="575"/>
      <c r="Q31" s="575"/>
      <c r="R31" s="575"/>
      <c r="S31" s="576"/>
      <c r="T31" s="576"/>
      <c r="U31" s="576"/>
      <c r="V31" s="576"/>
      <c r="W31" s="120"/>
      <c r="X31" s="120"/>
      <c r="Y31" s="120"/>
      <c r="Z31" s="120"/>
      <c r="AA31" s="120"/>
      <c r="AB31" s="120"/>
      <c r="AC31" s="120"/>
    </row>
    <row r="32" spans="1:29" x14ac:dyDescent="0.2">
      <c r="A32" s="575" t="s">
        <v>588</v>
      </c>
      <c r="B32" s="575"/>
      <c r="C32" s="575"/>
      <c r="D32" s="575"/>
      <c r="E32" s="575"/>
      <c r="F32" s="575"/>
      <c r="G32" s="575"/>
      <c r="H32" s="575"/>
      <c r="I32" s="575"/>
      <c r="J32" s="575"/>
      <c r="K32" s="575"/>
      <c r="L32" s="575"/>
      <c r="M32" s="575"/>
      <c r="N32" s="575"/>
      <c r="O32" s="575"/>
      <c r="P32" s="575"/>
      <c r="Q32" s="575"/>
      <c r="R32" s="575"/>
      <c r="S32" s="576"/>
      <c r="T32" s="576"/>
      <c r="U32" s="576"/>
      <c r="V32" s="576"/>
      <c r="W32" s="120"/>
      <c r="X32" s="120"/>
      <c r="Y32" s="120"/>
      <c r="Z32" s="120"/>
      <c r="AA32" s="120"/>
      <c r="AB32" s="120"/>
      <c r="AC32" s="120"/>
    </row>
    <row r="33" spans="1:29" x14ac:dyDescent="0.2">
      <c r="A33" s="212"/>
      <c r="B33" s="212"/>
      <c r="C33" s="212"/>
      <c r="D33" s="212"/>
      <c r="E33" s="212"/>
      <c r="F33" s="212"/>
      <c r="G33" s="212"/>
      <c r="H33" s="212"/>
      <c r="I33" s="212"/>
      <c r="J33" s="212"/>
      <c r="K33" s="212"/>
      <c r="L33" s="212"/>
      <c r="M33" s="212"/>
      <c r="N33" s="212"/>
      <c r="O33" s="212"/>
      <c r="P33" s="212"/>
      <c r="Q33" s="212"/>
      <c r="R33" s="212"/>
      <c r="W33" s="120"/>
      <c r="X33" s="120"/>
      <c r="Y33" s="120"/>
      <c r="Z33" s="120"/>
      <c r="AA33" s="120"/>
      <c r="AB33" s="120"/>
      <c r="AC33" s="120"/>
    </row>
    <row r="34" spans="1:29" x14ac:dyDescent="0.2">
      <c r="W34" s="120"/>
      <c r="X34" s="120"/>
      <c r="Y34" s="120"/>
      <c r="Z34" s="120"/>
      <c r="AA34" s="120"/>
      <c r="AB34" s="120"/>
      <c r="AC34" s="120"/>
    </row>
    <row r="35" spans="1:29" x14ac:dyDescent="0.2">
      <c r="A35" s="569" t="s">
        <v>385</v>
      </c>
      <c r="B35" s="569"/>
      <c r="C35" s="569"/>
      <c r="D35" s="569"/>
      <c r="E35" s="569"/>
      <c r="F35" s="569"/>
      <c r="G35" s="569"/>
      <c r="H35" s="465"/>
      <c r="I35" s="465"/>
      <c r="J35" s="465"/>
      <c r="K35" s="465"/>
      <c r="L35" s="465"/>
      <c r="M35" s="465"/>
      <c r="N35" s="465"/>
      <c r="O35" s="465"/>
      <c r="P35" s="465"/>
      <c r="Q35" s="465"/>
      <c r="R35" s="465"/>
      <c r="S35" s="465"/>
      <c r="T35" s="465"/>
      <c r="U35" s="465"/>
      <c r="V35" s="465"/>
      <c r="W35" s="120"/>
      <c r="X35" s="120"/>
      <c r="Y35" s="120"/>
      <c r="Z35" s="120"/>
      <c r="AA35" s="120"/>
      <c r="AB35" s="120"/>
      <c r="AC35" s="120"/>
    </row>
    <row r="36" spans="1:29" x14ac:dyDescent="0.2">
      <c r="G36" s="458" t="s">
        <v>388</v>
      </c>
      <c r="H36" s="458"/>
      <c r="I36" s="458"/>
      <c r="J36" s="458"/>
      <c r="K36" s="458"/>
      <c r="L36" s="458"/>
      <c r="M36" s="458"/>
      <c r="N36" s="458"/>
      <c r="O36" s="458"/>
      <c r="P36" s="458"/>
      <c r="Q36" s="458"/>
      <c r="R36" s="458"/>
      <c r="S36" s="458"/>
      <c r="T36" s="458"/>
      <c r="U36" s="458"/>
      <c r="V36" s="458"/>
      <c r="W36" s="120"/>
      <c r="X36" s="120"/>
      <c r="Y36" s="120"/>
      <c r="Z36" s="120"/>
      <c r="AA36" s="120"/>
      <c r="AB36" s="120"/>
      <c r="AC36" s="120"/>
    </row>
    <row r="37" spans="1:29" x14ac:dyDescent="0.2">
      <c r="A37" s="2" t="s">
        <v>427</v>
      </c>
      <c r="W37" s="120"/>
      <c r="X37" s="120"/>
      <c r="Y37" s="120"/>
      <c r="Z37" s="120"/>
      <c r="AA37" s="120"/>
      <c r="AB37" s="120"/>
      <c r="AC37" s="120"/>
    </row>
    <row r="38" spans="1:29" x14ac:dyDescent="0.2">
      <c r="A38" s="569" t="s">
        <v>386</v>
      </c>
      <c r="B38" s="569"/>
      <c r="C38" s="569"/>
      <c r="D38" s="569"/>
      <c r="E38" s="569"/>
      <c r="F38" s="569"/>
      <c r="G38" s="569"/>
      <c r="H38" s="569"/>
      <c r="I38" s="569"/>
      <c r="J38" s="569"/>
      <c r="K38" s="569"/>
      <c r="L38" s="569"/>
      <c r="M38" s="569"/>
      <c r="N38" s="569"/>
      <c r="O38" s="569"/>
      <c r="P38" s="569"/>
      <c r="Q38" s="569"/>
      <c r="R38" s="569"/>
      <c r="S38" s="569"/>
      <c r="W38" s="120"/>
      <c r="X38" s="120"/>
      <c r="Y38" s="120"/>
      <c r="Z38" s="120"/>
      <c r="AA38" s="120"/>
      <c r="AB38" s="120"/>
      <c r="AC38" s="120"/>
    </row>
    <row r="39" spans="1:29" x14ac:dyDescent="0.2">
      <c r="W39" s="120"/>
      <c r="X39" s="120"/>
      <c r="Y39" s="120"/>
      <c r="Z39" s="120"/>
      <c r="AA39" s="120"/>
      <c r="AB39" s="120"/>
      <c r="AC39" s="120"/>
    </row>
    <row r="40" spans="1:29" x14ac:dyDescent="0.2">
      <c r="B40" s="38" t="s">
        <v>61</v>
      </c>
      <c r="C40" s="569" t="s">
        <v>443</v>
      </c>
      <c r="D40" s="569"/>
      <c r="E40" s="569"/>
      <c r="F40" s="569"/>
      <c r="G40" s="569"/>
      <c r="H40" s="569"/>
      <c r="I40" s="569"/>
      <c r="J40" s="569"/>
      <c r="K40" s="569"/>
      <c r="L40" s="569"/>
      <c r="M40" s="569"/>
      <c r="N40" s="569"/>
      <c r="O40" s="569"/>
      <c r="P40" s="569"/>
      <c r="Q40" s="569"/>
      <c r="R40" s="569"/>
      <c r="W40" s="120"/>
      <c r="X40" s="120"/>
      <c r="Y40" s="120"/>
      <c r="Z40" s="120"/>
      <c r="AA40" s="120"/>
      <c r="AB40" s="120"/>
      <c r="AC40" s="120"/>
    </row>
    <row r="41" spans="1:29" x14ac:dyDescent="0.2">
      <c r="B41" s="38"/>
      <c r="C41" s="211"/>
      <c r="D41" s="39" t="s">
        <v>387</v>
      </c>
      <c r="E41" s="211"/>
      <c r="F41" s="211"/>
      <c r="G41" s="211"/>
      <c r="H41" s="211"/>
      <c r="I41" s="211"/>
      <c r="J41" s="211"/>
      <c r="K41" s="211"/>
      <c r="L41" s="211"/>
      <c r="M41" s="211"/>
      <c r="N41" s="211"/>
      <c r="O41" s="211"/>
      <c r="P41" s="211"/>
      <c r="Q41" s="211"/>
      <c r="R41" s="211"/>
      <c r="W41" s="120"/>
      <c r="X41" s="120"/>
      <c r="Y41" s="120"/>
      <c r="Z41" s="120"/>
      <c r="AA41" s="120"/>
      <c r="AB41" s="120"/>
      <c r="AC41" s="120"/>
    </row>
    <row r="42" spans="1:29" ht="12.75" customHeight="1" x14ac:dyDescent="0.2">
      <c r="D42" s="38"/>
      <c r="W42" s="120"/>
      <c r="X42" s="120"/>
      <c r="Y42" s="120"/>
      <c r="Z42" s="120"/>
      <c r="AA42" s="120"/>
      <c r="AB42" s="120"/>
      <c r="AC42" s="120"/>
    </row>
    <row r="43" spans="1:29" x14ac:dyDescent="0.2">
      <c r="B43" s="38" t="s">
        <v>62</v>
      </c>
      <c r="C43" s="569" t="str">
        <f>"projected income of the  spouse in "&amp;const!$B$2&amp;" will amount to"</f>
        <v>projected income of the  spouse in 2016 will amount to</v>
      </c>
      <c r="D43" s="569"/>
      <c r="E43" s="569"/>
      <c r="F43" s="569"/>
      <c r="G43" s="569"/>
      <c r="H43" s="569"/>
      <c r="I43" s="569"/>
      <c r="J43" s="569"/>
      <c r="K43" s="569"/>
      <c r="L43" s="569"/>
      <c r="M43" s="569"/>
      <c r="N43" s="569"/>
      <c r="O43" s="569"/>
      <c r="P43" s="569"/>
      <c r="Q43" s="622"/>
      <c r="R43" s="622"/>
      <c r="S43" s="569" t="s">
        <v>580</v>
      </c>
      <c r="T43" s="569"/>
      <c r="U43" s="569"/>
      <c r="V43" s="569"/>
      <c r="W43" s="120"/>
      <c r="X43" s="120"/>
      <c r="Y43" s="120"/>
      <c r="Z43" s="120"/>
      <c r="AA43" s="120"/>
      <c r="AB43" s="120"/>
      <c r="AC43" s="120"/>
    </row>
    <row r="44" spans="1:29" x14ac:dyDescent="0.2">
      <c r="C44" s="569" t="s">
        <v>589</v>
      </c>
      <c r="D44" s="569"/>
      <c r="E44" s="569"/>
      <c r="F44" s="569"/>
      <c r="G44" s="569"/>
      <c r="H44" s="569"/>
      <c r="I44" s="569"/>
      <c r="J44" s="569"/>
      <c r="K44" s="569"/>
      <c r="L44" s="569"/>
      <c r="M44" s="569"/>
      <c r="N44" s="569"/>
      <c r="O44" s="569"/>
      <c r="P44" s="569"/>
      <c r="Q44" s="569"/>
      <c r="R44" s="569"/>
      <c r="S44" s="569"/>
      <c r="T44" s="569"/>
      <c r="U44" s="569"/>
      <c r="V44" s="569"/>
      <c r="W44" s="120"/>
      <c r="X44" s="120"/>
      <c r="Y44" s="120"/>
      <c r="Z44" s="120"/>
      <c r="AA44" s="120"/>
      <c r="AB44" s="120"/>
      <c r="AC44" s="120"/>
    </row>
    <row r="45" spans="1:29" ht="15" customHeight="1" x14ac:dyDescent="0.2">
      <c r="W45" s="120"/>
      <c r="X45" s="120"/>
      <c r="Y45" s="120"/>
      <c r="Z45" s="120"/>
      <c r="AA45" s="120"/>
      <c r="AB45" s="120"/>
      <c r="AC45" s="120"/>
    </row>
    <row r="46" spans="1:29" x14ac:dyDescent="0.2">
      <c r="B46" s="38"/>
      <c r="C46" s="569"/>
      <c r="D46" s="569"/>
      <c r="E46" s="569"/>
      <c r="F46" s="569"/>
      <c r="G46" s="569"/>
      <c r="H46" s="569"/>
      <c r="I46" s="569"/>
      <c r="J46" s="569"/>
      <c r="K46" s="569"/>
      <c r="L46" s="569"/>
      <c r="M46" s="569"/>
      <c r="N46" s="569"/>
      <c r="O46" s="569"/>
      <c r="P46" s="569"/>
      <c r="Q46" s="569"/>
      <c r="R46" s="569"/>
      <c r="S46" s="569"/>
      <c r="T46" s="569"/>
      <c r="U46" s="569"/>
      <c r="V46" s="569"/>
      <c r="W46" s="120"/>
      <c r="X46" s="120"/>
      <c r="Y46" s="120"/>
      <c r="Z46" s="120"/>
      <c r="AA46" s="120"/>
      <c r="AB46" s="120"/>
      <c r="AC46" s="120"/>
    </row>
    <row r="47" spans="1:29" ht="8.4499999999999993" customHeight="1" x14ac:dyDescent="0.2">
      <c r="W47" s="120"/>
      <c r="X47" s="120"/>
      <c r="Y47" s="120"/>
      <c r="Z47" s="120"/>
      <c r="AA47" s="120"/>
      <c r="AB47" s="120"/>
      <c r="AC47" s="120"/>
    </row>
    <row r="48" spans="1:29" x14ac:dyDescent="0.2">
      <c r="W48" s="120"/>
      <c r="X48" s="120"/>
      <c r="Y48" s="120"/>
      <c r="Z48" s="120"/>
      <c r="AA48" s="120"/>
      <c r="AB48" s="120"/>
      <c r="AC48" s="120"/>
    </row>
    <row r="49" spans="1:92" x14ac:dyDescent="0.2">
      <c r="A49" s="569" t="s">
        <v>389</v>
      </c>
      <c r="B49" s="569"/>
      <c r="C49" s="569"/>
      <c r="D49" s="569"/>
      <c r="E49" s="569"/>
      <c r="F49" s="569"/>
      <c r="G49" s="569"/>
      <c r="H49" s="569"/>
      <c r="I49" s="569"/>
      <c r="J49" s="569"/>
      <c r="K49" s="569"/>
      <c r="L49" s="569"/>
      <c r="M49" s="569"/>
      <c r="N49" s="569"/>
      <c r="O49" s="569"/>
      <c r="P49" s="569"/>
      <c r="Q49" s="569"/>
      <c r="R49" s="569"/>
      <c r="S49" s="569"/>
      <c r="T49" s="569"/>
      <c r="U49" s="569"/>
      <c r="V49" s="569"/>
      <c r="W49" s="120"/>
      <c r="X49" s="120"/>
      <c r="Y49" s="120"/>
      <c r="Z49" s="120"/>
      <c r="AA49" s="120"/>
      <c r="AB49" s="120"/>
      <c r="AC49" s="120"/>
    </row>
    <row r="50" spans="1:92" x14ac:dyDescent="0.2">
      <c r="A50" s="569" t="s">
        <v>390</v>
      </c>
      <c r="B50" s="569"/>
      <c r="C50" s="569"/>
      <c r="D50" s="569"/>
      <c r="E50" s="569"/>
      <c r="F50" s="569"/>
      <c r="G50" s="569"/>
      <c r="H50" s="569"/>
      <c r="I50" s="569"/>
      <c r="J50" s="569"/>
      <c r="K50" s="569"/>
      <c r="L50" s="569"/>
      <c r="M50" s="569"/>
      <c r="N50" s="569"/>
      <c r="O50" s="569"/>
      <c r="P50" s="569"/>
      <c r="Q50" s="569"/>
      <c r="R50" s="569"/>
      <c r="S50" s="569"/>
      <c r="T50" s="569"/>
      <c r="U50" s="569"/>
      <c r="V50" s="569"/>
      <c r="W50" s="120"/>
      <c r="X50" s="120"/>
      <c r="Y50" s="120"/>
      <c r="Z50" s="120"/>
      <c r="AA50" s="120"/>
      <c r="AB50" s="120"/>
      <c r="AC50" s="120"/>
    </row>
    <row r="51" spans="1:92" x14ac:dyDescent="0.2">
      <c r="A51" s="569" t="s">
        <v>391</v>
      </c>
      <c r="B51" s="569"/>
      <c r="C51" s="569"/>
      <c r="D51" s="569"/>
      <c r="E51" s="569"/>
      <c r="F51" s="569"/>
      <c r="G51" s="569"/>
      <c r="H51" s="569"/>
      <c r="I51" s="569"/>
      <c r="J51" s="569"/>
      <c r="K51" s="569"/>
      <c r="L51" s="569"/>
      <c r="M51" s="569"/>
      <c r="N51" s="569"/>
      <c r="O51" s="569"/>
      <c r="P51" s="569"/>
      <c r="Q51" s="569"/>
      <c r="R51" s="569"/>
      <c r="S51" s="569"/>
      <c r="T51" s="569"/>
      <c r="U51" s="569"/>
      <c r="V51" s="569"/>
      <c r="W51" s="120"/>
      <c r="X51" s="120"/>
      <c r="Y51" s="120"/>
      <c r="Z51" s="120"/>
      <c r="AA51" s="120"/>
      <c r="AB51" s="120"/>
      <c r="AC51" s="120"/>
    </row>
    <row r="52" spans="1:92" x14ac:dyDescent="0.2">
      <c r="A52" s="569" t="s">
        <v>579</v>
      </c>
      <c r="B52" s="569"/>
      <c r="C52" s="569"/>
      <c r="D52" s="569"/>
      <c r="E52" s="569"/>
      <c r="F52" s="569"/>
      <c r="G52" s="569"/>
      <c r="H52" s="569"/>
      <c r="I52" s="569"/>
      <c r="J52" s="569"/>
      <c r="K52" s="569"/>
      <c r="L52" s="569"/>
      <c r="M52" s="569"/>
      <c r="N52" s="569"/>
      <c r="O52" s="569"/>
      <c r="P52" s="569"/>
      <c r="Q52" s="569"/>
      <c r="R52" s="569"/>
      <c r="S52" s="569"/>
      <c r="T52" s="569"/>
      <c r="U52" s="569"/>
      <c r="V52" s="569"/>
      <c r="W52" s="120"/>
      <c r="X52" s="120"/>
      <c r="Y52" s="120"/>
      <c r="Z52" s="120"/>
      <c r="AA52" s="120"/>
      <c r="AB52" s="120"/>
      <c r="AC52" s="120"/>
    </row>
    <row r="53" spans="1:92" s="119" customFormat="1" ht="6" customHeight="1" x14ac:dyDescent="0.2">
      <c r="A53" s="458"/>
      <c r="B53" s="458"/>
      <c r="C53" s="458"/>
      <c r="D53" s="458"/>
      <c r="E53" s="458"/>
      <c r="F53" s="458"/>
      <c r="G53" s="458"/>
      <c r="H53" s="458"/>
      <c r="I53" s="458"/>
      <c r="J53" s="458"/>
      <c r="K53" s="458"/>
      <c r="L53" s="458"/>
      <c r="M53" s="458"/>
      <c r="N53" s="458"/>
      <c r="O53" s="458"/>
      <c r="P53" s="458"/>
      <c r="Q53" s="458"/>
      <c r="R53" s="458"/>
      <c r="S53" s="458"/>
      <c r="T53" s="458"/>
      <c r="U53" s="458"/>
      <c r="V53" s="458"/>
      <c r="W53" s="134"/>
      <c r="X53" s="134"/>
      <c r="Y53" s="134"/>
      <c r="Z53" s="134"/>
      <c r="AA53" s="134"/>
      <c r="AB53" s="134"/>
      <c r="AC53" s="134"/>
      <c r="AD53" s="204"/>
      <c r="AE53" s="204"/>
      <c r="AF53" s="204"/>
      <c r="AG53" s="204"/>
      <c r="AH53" s="204"/>
      <c r="AI53" s="204"/>
      <c r="AJ53" s="204"/>
      <c r="AK53" s="204"/>
      <c r="AL53" s="204"/>
      <c r="AM53" s="204"/>
      <c r="AN53" s="204"/>
      <c r="AO53" s="204"/>
      <c r="AP53" s="204"/>
      <c r="AQ53" s="204"/>
      <c r="AR53" s="204"/>
      <c r="AS53" s="204"/>
      <c r="AT53" s="204"/>
      <c r="AU53" s="204"/>
      <c r="AV53" s="204"/>
      <c r="AW53" s="204"/>
      <c r="AX53" s="204"/>
      <c r="AY53" s="204"/>
      <c r="AZ53" s="204"/>
      <c r="BA53" s="204"/>
      <c r="BB53" s="204"/>
      <c r="BC53" s="204"/>
      <c r="BD53" s="204"/>
      <c r="BE53" s="204"/>
      <c r="BF53" s="204"/>
      <c r="BG53" s="204"/>
      <c r="BH53" s="204"/>
      <c r="BI53" s="204"/>
      <c r="BJ53" s="204"/>
      <c r="BK53" s="204"/>
      <c r="BL53" s="204"/>
      <c r="BM53" s="204"/>
      <c r="BN53" s="204"/>
      <c r="BO53" s="204"/>
      <c r="BP53" s="204"/>
      <c r="BQ53" s="204"/>
      <c r="BR53" s="204"/>
      <c r="BS53" s="204"/>
      <c r="BT53" s="204"/>
      <c r="BU53" s="204"/>
      <c r="BV53" s="204"/>
      <c r="BW53" s="204"/>
      <c r="BX53" s="204"/>
      <c r="BY53" s="204"/>
      <c r="BZ53" s="204"/>
      <c r="CA53" s="204"/>
      <c r="CB53" s="204"/>
      <c r="CC53" s="204"/>
      <c r="CD53" s="204"/>
      <c r="CE53" s="204"/>
      <c r="CF53" s="204"/>
      <c r="CG53" s="204"/>
      <c r="CH53" s="204"/>
      <c r="CI53" s="204"/>
      <c r="CJ53" s="204"/>
      <c r="CK53" s="204"/>
      <c r="CL53" s="204"/>
      <c r="CM53" s="204"/>
      <c r="CN53" s="204"/>
    </row>
    <row r="54" spans="1:92" s="119" customFormat="1" ht="6" customHeight="1" x14ac:dyDescent="0.2">
      <c r="A54" s="458"/>
      <c r="B54" s="458"/>
      <c r="C54" s="458"/>
      <c r="D54" s="458"/>
      <c r="E54" s="458"/>
      <c r="F54" s="458"/>
      <c r="G54" s="458"/>
      <c r="H54" s="458"/>
      <c r="I54" s="458"/>
      <c r="J54" s="458"/>
      <c r="K54" s="458"/>
      <c r="L54" s="458"/>
      <c r="M54" s="458"/>
      <c r="N54" s="458"/>
      <c r="O54" s="458"/>
      <c r="P54" s="458"/>
      <c r="Q54" s="458"/>
      <c r="R54" s="458"/>
      <c r="S54" s="458"/>
      <c r="T54" s="458"/>
      <c r="U54" s="458"/>
      <c r="V54" s="458"/>
      <c r="W54" s="134"/>
      <c r="X54" s="134"/>
      <c r="Y54" s="134"/>
      <c r="Z54" s="134"/>
      <c r="AA54" s="134"/>
      <c r="AB54" s="134"/>
      <c r="AC54" s="134"/>
      <c r="AD54" s="204"/>
      <c r="AE54" s="204"/>
      <c r="AF54" s="204"/>
      <c r="AG54" s="204"/>
      <c r="AH54" s="204"/>
      <c r="AI54" s="204"/>
      <c r="AJ54" s="204"/>
      <c r="AK54" s="204"/>
      <c r="AL54" s="204"/>
      <c r="AM54" s="204"/>
      <c r="AN54" s="204"/>
      <c r="AO54" s="204"/>
      <c r="AP54" s="204"/>
      <c r="AQ54" s="204"/>
      <c r="AR54" s="204"/>
      <c r="AS54" s="204"/>
      <c r="AT54" s="204"/>
      <c r="AU54" s="204"/>
      <c r="AV54" s="204"/>
      <c r="AW54" s="204"/>
      <c r="AX54" s="204"/>
      <c r="AY54" s="204"/>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row>
    <row r="55" spans="1:92" s="119" customFormat="1" ht="6" customHeight="1" x14ac:dyDescent="0.2">
      <c r="A55" s="458"/>
      <c r="B55" s="458"/>
      <c r="C55" s="458"/>
      <c r="D55" s="458"/>
      <c r="E55" s="458"/>
      <c r="F55" s="458"/>
      <c r="G55" s="458"/>
      <c r="H55" s="458"/>
      <c r="I55" s="458"/>
      <c r="J55" s="458"/>
      <c r="K55" s="458"/>
      <c r="L55" s="458"/>
      <c r="M55" s="458"/>
      <c r="N55" s="458"/>
      <c r="O55" s="458"/>
      <c r="P55" s="458"/>
      <c r="Q55" s="458"/>
      <c r="R55" s="458"/>
      <c r="S55" s="458"/>
      <c r="T55" s="458"/>
      <c r="U55" s="458"/>
      <c r="V55" s="458"/>
      <c r="W55" s="134"/>
      <c r="X55" s="134"/>
      <c r="Y55" s="134"/>
      <c r="Z55" s="134"/>
      <c r="AA55" s="134"/>
      <c r="AB55" s="134"/>
      <c r="AC55" s="134"/>
      <c r="AD55" s="204"/>
      <c r="AE55" s="204"/>
      <c r="AF55" s="204"/>
      <c r="AG55" s="204"/>
      <c r="AH55" s="204"/>
      <c r="AI55" s="204"/>
      <c r="AJ55" s="204"/>
      <c r="AK55" s="204"/>
      <c r="AL55" s="204"/>
      <c r="AM55" s="204"/>
      <c r="AN55" s="204"/>
      <c r="AO55" s="204"/>
      <c r="AP55" s="204"/>
      <c r="AQ55" s="204"/>
      <c r="AR55" s="204"/>
      <c r="AS55" s="204"/>
      <c r="AT55" s="204"/>
      <c r="AU55" s="204"/>
      <c r="AV55" s="204"/>
      <c r="AW55" s="204"/>
      <c r="AX55" s="204"/>
      <c r="AY55" s="204"/>
      <c r="AZ55" s="204"/>
      <c r="BA55" s="204"/>
      <c r="BB55" s="204"/>
      <c r="BC55" s="204"/>
      <c r="BD55" s="204"/>
      <c r="BE55" s="204"/>
      <c r="BF55" s="204"/>
      <c r="BG55" s="204"/>
      <c r="BH55" s="204"/>
      <c r="BI55" s="204"/>
      <c r="BJ55" s="204"/>
      <c r="BK55" s="204"/>
      <c r="BL55" s="204"/>
      <c r="BM55" s="204"/>
      <c r="BN55" s="204"/>
      <c r="BO55" s="204"/>
      <c r="BP55" s="204"/>
      <c r="BQ55" s="204"/>
      <c r="BR55" s="204"/>
      <c r="BS55" s="204"/>
      <c r="BT55" s="204"/>
      <c r="BU55" s="204"/>
      <c r="BV55" s="204"/>
      <c r="BW55" s="204"/>
      <c r="BX55" s="204"/>
      <c r="BY55" s="204"/>
      <c r="BZ55" s="204"/>
      <c r="CA55" s="204"/>
      <c r="CB55" s="204"/>
      <c r="CC55" s="204"/>
      <c r="CD55" s="204"/>
      <c r="CE55" s="204"/>
      <c r="CF55" s="204"/>
      <c r="CG55" s="204"/>
      <c r="CH55" s="204"/>
      <c r="CI55" s="204"/>
      <c r="CJ55" s="204"/>
      <c r="CK55" s="204"/>
      <c r="CL55" s="204"/>
      <c r="CM55" s="204"/>
      <c r="CN55" s="204"/>
    </row>
    <row r="56" spans="1:92" s="119" customFormat="1" x14ac:dyDescent="0.2">
      <c r="A56" s="458"/>
      <c r="B56" s="458"/>
      <c r="C56" s="458"/>
      <c r="D56" s="458"/>
      <c r="E56" s="458"/>
      <c r="F56" s="458"/>
      <c r="G56" s="458"/>
      <c r="H56" s="458"/>
      <c r="I56" s="458"/>
      <c r="J56" s="458"/>
      <c r="K56" s="458"/>
      <c r="L56" s="458"/>
      <c r="M56" s="458"/>
      <c r="N56" s="458"/>
      <c r="O56" s="458"/>
      <c r="P56" s="458"/>
      <c r="Q56" s="458"/>
      <c r="R56" s="458"/>
      <c r="S56" s="458"/>
      <c r="T56" s="458"/>
      <c r="U56" s="458"/>
      <c r="V56" s="458"/>
      <c r="W56" s="134"/>
      <c r="X56" s="134"/>
      <c r="Y56" s="134"/>
      <c r="Z56" s="134"/>
      <c r="AA56" s="134"/>
      <c r="AB56" s="134"/>
      <c r="AC56" s="134"/>
      <c r="AD56" s="204"/>
      <c r="AE56" s="204"/>
      <c r="AF56" s="204"/>
      <c r="AG56" s="204"/>
      <c r="AH56" s="204"/>
      <c r="AI56" s="204"/>
      <c r="AJ56" s="204"/>
      <c r="AK56" s="204"/>
      <c r="AL56" s="204"/>
      <c r="AM56" s="204"/>
      <c r="AN56" s="204"/>
      <c r="AO56" s="204"/>
      <c r="AP56" s="204"/>
      <c r="AQ56" s="204"/>
      <c r="AR56" s="204"/>
      <c r="AS56" s="204"/>
      <c r="AT56" s="204"/>
      <c r="AU56" s="204"/>
      <c r="AV56" s="204"/>
      <c r="AW56" s="204"/>
      <c r="AX56" s="204"/>
      <c r="AY56" s="204"/>
      <c r="AZ56" s="204"/>
      <c r="BA56" s="204"/>
      <c r="BB56" s="204"/>
      <c r="BC56" s="204"/>
      <c r="BD56" s="204"/>
      <c r="BE56" s="204"/>
      <c r="BF56" s="204"/>
      <c r="BG56" s="204"/>
      <c r="BH56" s="204"/>
      <c r="BI56" s="204"/>
      <c r="BJ56" s="204"/>
      <c r="BK56" s="204"/>
      <c r="BL56" s="204"/>
      <c r="BM56" s="204"/>
      <c r="BN56" s="204"/>
      <c r="BO56" s="204"/>
      <c r="BP56" s="204"/>
      <c r="BQ56" s="204"/>
      <c r="BR56" s="204"/>
      <c r="BS56" s="204"/>
      <c r="BT56" s="204"/>
      <c r="BU56" s="204"/>
      <c r="BV56" s="204"/>
      <c r="BW56" s="204"/>
      <c r="BX56" s="204"/>
      <c r="BY56" s="204"/>
      <c r="BZ56" s="204"/>
      <c r="CA56" s="204"/>
      <c r="CB56" s="204"/>
      <c r="CC56" s="204"/>
      <c r="CD56" s="204"/>
      <c r="CE56" s="204"/>
      <c r="CF56" s="204"/>
      <c r="CG56" s="204"/>
      <c r="CH56" s="204"/>
      <c r="CI56" s="204"/>
      <c r="CJ56" s="204"/>
      <c r="CK56" s="204"/>
      <c r="CL56" s="204"/>
      <c r="CM56" s="204"/>
      <c r="CN56" s="204"/>
    </row>
    <row r="57" spans="1:92" x14ac:dyDescent="0.2">
      <c r="A57" s="466" t="str">
        <f>'Dane personalne'!$D$94&amp;""</f>
        <v/>
      </c>
      <c r="B57" s="466"/>
      <c r="C57" s="466"/>
      <c r="D57" s="466"/>
      <c r="E57" s="466"/>
      <c r="F57" s="466"/>
      <c r="G57" s="466" t="str">
        <f>'Dane personalne'!$F$94</f>
        <v/>
      </c>
      <c r="H57" s="466"/>
      <c r="I57" s="466"/>
      <c r="J57" s="466"/>
      <c r="K57" s="466"/>
      <c r="P57" s="469"/>
      <c r="Q57" s="469"/>
      <c r="R57" s="469"/>
      <c r="S57" s="469"/>
      <c r="T57" s="469"/>
      <c r="U57" s="469"/>
      <c r="V57" s="469"/>
      <c r="W57" s="120"/>
      <c r="X57" s="120"/>
      <c r="Y57" s="120"/>
      <c r="Z57" s="120"/>
      <c r="AA57" s="120"/>
      <c r="AB57" s="120"/>
      <c r="AC57" s="120"/>
    </row>
    <row r="58" spans="1:92" x14ac:dyDescent="0.2">
      <c r="A58" s="562" t="s">
        <v>355</v>
      </c>
      <c r="B58" s="562"/>
      <c r="C58" s="562"/>
      <c r="D58" s="562"/>
      <c r="E58" s="562"/>
      <c r="F58" s="562"/>
      <c r="G58" s="562"/>
      <c r="H58" s="562"/>
      <c r="I58" s="562"/>
      <c r="P58" s="562" t="s">
        <v>351</v>
      </c>
      <c r="Q58" s="562"/>
      <c r="R58" s="562"/>
      <c r="S58" s="562"/>
      <c r="T58" s="562"/>
      <c r="U58" s="562"/>
      <c r="V58" s="562"/>
      <c r="W58" s="120"/>
      <c r="X58" s="120"/>
      <c r="Y58" s="120"/>
      <c r="Z58" s="120"/>
      <c r="AA58" s="120"/>
      <c r="AB58" s="120"/>
      <c r="AC58" s="120"/>
    </row>
    <row r="59" spans="1:92" x14ac:dyDescent="0.2">
      <c r="W59" s="120"/>
      <c r="X59" s="120"/>
      <c r="Y59" s="120"/>
      <c r="Z59" s="120"/>
      <c r="AA59" s="120"/>
      <c r="AB59" s="120"/>
      <c r="AC59" s="120"/>
    </row>
    <row r="60" spans="1:92" s="120" customFormat="1" x14ac:dyDescent="0.2">
      <c r="A60" s="2"/>
      <c r="B60" s="2"/>
      <c r="C60" s="2"/>
      <c r="D60" s="2"/>
      <c r="E60" s="2"/>
      <c r="F60" s="2"/>
      <c r="G60" s="2"/>
      <c r="H60" s="2"/>
      <c r="I60" s="2"/>
      <c r="J60" s="2"/>
      <c r="K60" s="2"/>
      <c r="L60" s="2"/>
      <c r="M60" s="2"/>
      <c r="N60" s="2"/>
      <c r="O60" s="2"/>
      <c r="P60" s="2"/>
      <c r="Q60" s="2"/>
      <c r="R60" s="2"/>
      <c r="S60" s="2"/>
      <c r="T60" s="2"/>
      <c r="U60" s="2"/>
      <c r="V60" s="2"/>
    </row>
    <row r="61" spans="1:92" s="120" customFormat="1" x14ac:dyDescent="0.2">
      <c r="A61" s="2"/>
      <c r="B61" s="2"/>
      <c r="C61" s="2"/>
      <c r="D61" s="2"/>
      <c r="E61" s="2"/>
      <c r="F61" s="2"/>
      <c r="G61" s="2"/>
      <c r="H61" s="2"/>
      <c r="I61" s="2"/>
      <c r="J61" s="2"/>
      <c r="K61" s="2"/>
      <c r="L61" s="2"/>
      <c r="M61" s="2"/>
      <c r="N61" s="2"/>
      <c r="O61" s="2"/>
      <c r="P61" s="2"/>
      <c r="Q61" s="2"/>
      <c r="R61" s="2"/>
      <c r="S61" s="2"/>
      <c r="T61" s="2"/>
      <c r="U61" s="2"/>
      <c r="V61" s="2"/>
    </row>
    <row r="62" spans="1:92" s="120" customFormat="1" x14ac:dyDescent="0.2">
      <c r="A62" s="2"/>
      <c r="B62" s="2"/>
      <c r="C62" s="2"/>
      <c r="D62" s="2"/>
      <c r="E62" s="2"/>
      <c r="F62" s="2"/>
      <c r="G62" s="2"/>
      <c r="H62" s="2"/>
      <c r="I62" s="2"/>
      <c r="J62" s="2"/>
      <c r="K62" s="2"/>
      <c r="L62" s="2"/>
      <c r="M62" s="2"/>
      <c r="N62" s="2"/>
      <c r="O62" s="2"/>
      <c r="P62" s="2"/>
      <c r="Q62" s="2"/>
      <c r="R62" s="2"/>
      <c r="S62" s="2"/>
      <c r="T62" s="2"/>
      <c r="U62" s="2"/>
      <c r="V62" s="2"/>
    </row>
    <row r="63" spans="1:92" s="120" customFormat="1" x14ac:dyDescent="0.2">
      <c r="A63" s="2"/>
      <c r="B63" s="2"/>
      <c r="C63" s="2"/>
      <c r="D63" s="2"/>
      <c r="E63" s="2"/>
      <c r="F63" s="2"/>
      <c r="G63" s="2"/>
      <c r="H63" s="2"/>
      <c r="I63" s="2"/>
      <c r="J63" s="2"/>
      <c r="K63" s="2"/>
      <c r="L63" s="2"/>
      <c r="M63" s="2"/>
      <c r="N63" s="2"/>
      <c r="O63" s="2"/>
      <c r="P63" s="2"/>
      <c r="Q63" s="2"/>
      <c r="R63" s="2"/>
      <c r="S63" s="2"/>
      <c r="T63" s="2"/>
      <c r="U63" s="2"/>
      <c r="V63" s="2"/>
    </row>
    <row r="64" spans="1:92" s="120" customFormat="1" x14ac:dyDescent="0.2">
      <c r="A64" s="2"/>
      <c r="B64" s="2"/>
      <c r="C64" s="2"/>
      <c r="D64" s="2"/>
      <c r="E64" s="2"/>
      <c r="F64" s="2"/>
      <c r="G64" s="2"/>
      <c r="H64" s="2"/>
      <c r="I64" s="2"/>
      <c r="J64" s="2"/>
      <c r="K64" s="2"/>
      <c r="L64" s="2"/>
      <c r="M64" s="2"/>
      <c r="N64" s="2"/>
      <c r="O64" s="2"/>
      <c r="P64" s="2"/>
      <c r="Q64" s="2"/>
      <c r="R64" s="2"/>
      <c r="S64" s="2"/>
      <c r="T64" s="2"/>
      <c r="U64" s="2"/>
      <c r="V64" s="2"/>
    </row>
    <row r="65" spans="1:22" s="120" customFormat="1" x14ac:dyDescent="0.2">
      <c r="A65" s="2"/>
      <c r="B65" s="2"/>
      <c r="C65" s="2"/>
      <c r="D65" s="2"/>
      <c r="E65" s="2"/>
      <c r="F65" s="2"/>
      <c r="G65" s="2"/>
      <c r="H65" s="2"/>
      <c r="I65" s="2"/>
      <c r="J65" s="2"/>
      <c r="K65" s="2"/>
      <c r="L65" s="2"/>
      <c r="M65" s="2"/>
      <c r="N65" s="2"/>
      <c r="O65" s="2"/>
      <c r="P65" s="2"/>
      <c r="Q65" s="2"/>
      <c r="R65" s="2"/>
      <c r="S65" s="2"/>
      <c r="T65" s="2"/>
      <c r="U65" s="2"/>
      <c r="V65" s="2"/>
    </row>
    <row r="66" spans="1:22" s="120" customFormat="1" x14ac:dyDescent="0.2">
      <c r="A66" s="2"/>
      <c r="B66" s="2"/>
      <c r="C66" s="2"/>
      <c r="D66" s="2"/>
      <c r="E66" s="2"/>
      <c r="F66" s="2"/>
      <c r="G66" s="2"/>
      <c r="H66" s="2"/>
      <c r="I66" s="2"/>
      <c r="J66" s="2"/>
      <c r="K66" s="2"/>
      <c r="L66" s="2"/>
      <c r="M66" s="2"/>
      <c r="N66" s="2"/>
      <c r="O66" s="2"/>
      <c r="P66" s="2"/>
      <c r="Q66" s="2"/>
      <c r="R66" s="2"/>
      <c r="S66" s="2"/>
      <c r="T66" s="2"/>
      <c r="U66" s="2"/>
      <c r="V66" s="2"/>
    </row>
    <row r="67" spans="1:22" s="120" customFormat="1" x14ac:dyDescent="0.2">
      <c r="A67" s="2"/>
      <c r="B67" s="2"/>
      <c r="C67" s="2"/>
      <c r="D67" s="2"/>
      <c r="E67" s="2"/>
      <c r="F67" s="2"/>
      <c r="G67" s="2"/>
      <c r="H67" s="2"/>
      <c r="I67" s="2"/>
      <c r="J67" s="2"/>
      <c r="K67" s="2"/>
      <c r="L67" s="2"/>
      <c r="M67" s="2"/>
      <c r="N67" s="2"/>
      <c r="O67" s="2"/>
      <c r="P67" s="2"/>
      <c r="Q67" s="2"/>
      <c r="R67" s="2"/>
      <c r="S67" s="2"/>
      <c r="T67" s="2"/>
      <c r="U67" s="2"/>
      <c r="V67" s="2"/>
    </row>
    <row r="68" spans="1:22" s="120" customFormat="1" x14ac:dyDescent="0.2">
      <c r="A68" s="2"/>
      <c r="B68" s="2"/>
      <c r="C68" s="2"/>
      <c r="D68" s="2"/>
      <c r="E68" s="2"/>
      <c r="F68" s="2"/>
      <c r="G68" s="2"/>
      <c r="H68" s="2"/>
      <c r="I68" s="2"/>
      <c r="J68" s="2"/>
      <c r="K68" s="2"/>
      <c r="L68" s="2"/>
      <c r="M68" s="2"/>
      <c r="N68" s="2"/>
      <c r="O68" s="2"/>
      <c r="P68" s="2"/>
      <c r="Q68" s="2"/>
      <c r="R68" s="2"/>
      <c r="S68" s="2"/>
      <c r="T68" s="2"/>
      <c r="U68" s="2"/>
      <c r="V68" s="2"/>
    </row>
    <row r="69" spans="1:22" s="120" customFormat="1" x14ac:dyDescent="0.2">
      <c r="A69" s="2"/>
      <c r="B69" s="2"/>
      <c r="C69" s="2"/>
      <c r="D69" s="2"/>
      <c r="E69" s="2"/>
      <c r="F69" s="2"/>
      <c r="G69" s="2"/>
      <c r="H69" s="2"/>
      <c r="I69" s="2"/>
      <c r="J69" s="2"/>
      <c r="K69" s="2"/>
      <c r="L69" s="2"/>
      <c r="M69" s="2"/>
      <c r="N69" s="2"/>
      <c r="O69" s="2"/>
      <c r="P69" s="2"/>
      <c r="Q69" s="2"/>
      <c r="R69" s="2"/>
      <c r="S69" s="2"/>
      <c r="T69" s="2"/>
      <c r="U69" s="2"/>
      <c r="V69" s="2"/>
    </row>
    <row r="70" spans="1:22" s="120" customFormat="1" x14ac:dyDescent="0.2">
      <c r="A70" s="2"/>
      <c r="B70" s="2"/>
      <c r="C70" s="2"/>
      <c r="D70" s="2"/>
      <c r="E70" s="2"/>
      <c r="F70" s="2"/>
      <c r="G70" s="2"/>
      <c r="H70" s="2"/>
      <c r="I70" s="2"/>
      <c r="J70" s="2"/>
      <c r="K70" s="2"/>
      <c r="L70" s="2"/>
      <c r="M70" s="2"/>
      <c r="N70" s="2"/>
      <c r="O70" s="2"/>
      <c r="P70" s="2"/>
      <c r="Q70" s="2"/>
      <c r="R70" s="2"/>
      <c r="S70" s="2"/>
      <c r="T70" s="2"/>
      <c r="U70" s="2"/>
      <c r="V70" s="2"/>
    </row>
    <row r="71" spans="1:22" s="120" customFormat="1" x14ac:dyDescent="0.2">
      <c r="A71" s="2"/>
      <c r="B71" s="2"/>
      <c r="C71" s="2"/>
      <c r="D71" s="2"/>
      <c r="E71" s="2"/>
      <c r="F71" s="2"/>
      <c r="G71" s="2"/>
      <c r="H71" s="2"/>
      <c r="I71" s="2"/>
      <c r="J71" s="2"/>
      <c r="K71" s="2"/>
      <c r="L71" s="2"/>
      <c r="M71" s="2"/>
      <c r="N71" s="2"/>
      <c r="O71" s="2"/>
      <c r="P71" s="2"/>
      <c r="Q71" s="2"/>
      <c r="R71" s="2"/>
      <c r="S71" s="2"/>
      <c r="T71" s="2"/>
      <c r="U71" s="2"/>
      <c r="V71" s="2"/>
    </row>
    <row r="72" spans="1:22" s="120" customFormat="1" x14ac:dyDescent="0.2">
      <c r="A72" s="2"/>
      <c r="B72" s="2"/>
      <c r="C72" s="2"/>
      <c r="D72" s="2"/>
      <c r="E72" s="2"/>
      <c r="F72" s="2"/>
      <c r="G72" s="2"/>
      <c r="H72" s="2"/>
      <c r="I72" s="2"/>
      <c r="J72" s="2"/>
      <c r="K72" s="2"/>
      <c r="L72" s="2"/>
      <c r="M72" s="2"/>
      <c r="N72" s="2"/>
      <c r="O72" s="2"/>
      <c r="P72" s="2"/>
      <c r="Q72" s="2"/>
      <c r="R72" s="2"/>
      <c r="S72" s="2"/>
      <c r="T72" s="2"/>
      <c r="U72" s="2"/>
      <c r="V72" s="2"/>
    </row>
    <row r="73" spans="1:22" s="120" customFormat="1" x14ac:dyDescent="0.2">
      <c r="A73" s="2"/>
      <c r="B73" s="2"/>
      <c r="C73" s="2"/>
      <c r="D73" s="2"/>
      <c r="E73" s="2"/>
      <c r="F73" s="2"/>
      <c r="G73" s="2"/>
      <c r="H73" s="2"/>
      <c r="I73" s="2"/>
      <c r="J73" s="2"/>
      <c r="K73" s="2"/>
      <c r="L73" s="2"/>
      <c r="M73" s="2"/>
      <c r="N73" s="2"/>
      <c r="O73" s="2"/>
      <c r="P73" s="2"/>
      <c r="Q73" s="2"/>
      <c r="R73" s="2"/>
      <c r="S73" s="2"/>
      <c r="T73" s="2"/>
      <c r="U73" s="2"/>
      <c r="V73" s="2"/>
    </row>
    <row r="74" spans="1:22" s="120" customFormat="1" x14ac:dyDescent="0.2">
      <c r="A74" s="2"/>
      <c r="B74" s="2"/>
      <c r="C74" s="2"/>
      <c r="D74" s="2"/>
      <c r="E74" s="2"/>
      <c r="F74" s="2"/>
      <c r="G74" s="2"/>
      <c r="H74" s="2"/>
      <c r="I74" s="2"/>
      <c r="J74" s="2"/>
      <c r="K74" s="2"/>
      <c r="L74" s="2"/>
      <c r="M74" s="2"/>
      <c r="N74" s="2"/>
      <c r="O74" s="2"/>
      <c r="P74" s="2"/>
      <c r="Q74" s="2"/>
      <c r="R74" s="2"/>
      <c r="S74" s="2"/>
      <c r="T74" s="2"/>
      <c r="U74" s="2"/>
      <c r="V74" s="2"/>
    </row>
    <row r="75" spans="1:22" s="120" customFormat="1" x14ac:dyDescent="0.2">
      <c r="A75" s="2"/>
      <c r="B75" s="2"/>
      <c r="C75" s="2"/>
      <c r="D75" s="2"/>
      <c r="E75" s="2"/>
      <c r="F75" s="2"/>
      <c r="G75" s="2"/>
      <c r="H75" s="2"/>
      <c r="I75" s="2"/>
      <c r="J75" s="2"/>
      <c r="K75" s="2"/>
      <c r="L75" s="2"/>
      <c r="M75" s="2"/>
      <c r="N75" s="2"/>
      <c r="O75" s="2"/>
      <c r="P75" s="2"/>
      <c r="Q75" s="2"/>
      <c r="R75" s="2"/>
      <c r="S75" s="2"/>
      <c r="T75" s="2"/>
      <c r="U75" s="2"/>
      <c r="V75" s="2"/>
    </row>
    <row r="76" spans="1:22" s="120" customFormat="1" x14ac:dyDescent="0.2">
      <c r="A76" s="2"/>
      <c r="B76" s="2"/>
      <c r="C76" s="2"/>
      <c r="D76" s="2"/>
      <c r="E76" s="2"/>
      <c r="F76" s="2"/>
      <c r="G76" s="2"/>
      <c r="H76" s="2"/>
      <c r="I76" s="2"/>
      <c r="J76" s="2"/>
      <c r="K76" s="2"/>
      <c r="L76" s="2"/>
      <c r="M76" s="2"/>
      <c r="N76" s="2"/>
      <c r="O76" s="2"/>
      <c r="P76" s="2"/>
      <c r="Q76" s="2"/>
      <c r="R76" s="2"/>
      <c r="S76" s="2"/>
      <c r="T76" s="2"/>
      <c r="U76" s="2"/>
      <c r="V76" s="2"/>
    </row>
    <row r="77" spans="1:22" s="120" customFormat="1" x14ac:dyDescent="0.2">
      <c r="A77" s="2"/>
      <c r="B77" s="2"/>
      <c r="C77" s="2"/>
      <c r="D77" s="2"/>
      <c r="E77" s="2"/>
      <c r="F77" s="2"/>
      <c r="G77" s="2"/>
      <c r="H77" s="2"/>
      <c r="I77" s="2"/>
      <c r="J77" s="2"/>
      <c r="K77" s="2"/>
      <c r="L77" s="2"/>
      <c r="M77" s="2"/>
      <c r="N77" s="2"/>
      <c r="O77" s="2"/>
      <c r="P77" s="2"/>
      <c r="Q77" s="2"/>
      <c r="R77" s="2"/>
      <c r="S77" s="2"/>
      <c r="T77" s="2"/>
      <c r="U77" s="2"/>
      <c r="V77" s="2"/>
    </row>
    <row r="78" spans="1:22" s="120" customFormat="1" x14ac:dyDescent="0.2">
      <c r="A78" s="2"/>
      <c r="B78" s="2"/>
      <c r="C78" s="2"/>
      <c r="D78" s="2"/>
      <c r="E78" s="2"/>
      <c r="F78" s="2"/>
      <c r="G78" s="2"/>
      <c r="H78" s="2"/>
      <c r="I78" s="2"/>
      <c r="J78" s="2"/>
      <c r="K78" s="2"/>
      <c r="L78" s="2"/>
      <c r="M78" s="2"/>
      <c r="N78" s="2"/>
      <c r="O78" s="2"/>
      <c r="P78" s="2"/>
      <c r="Q78" s="2"/>
      <c r="R78" s="2"/>
      <c r="S78" s="2"/>
      <c r="T78" s="2"/>
      <c r="U78" s="2"/>
      <c r="V78" s="2"/>
    </row>
    <row r="79" spans="1:22" s="120" customFormat="1" x14ac:dyDescent="0.2">
      <c r="A79" s="2"/>
      <c r="B79" s="2"/>
      <c r="C79" s="2"/>
      <c r="D79" s="2"/>
      <c r="E79" s="2"/>
      <c r="F79" s="2"/>
      <c r="G79" s="2"/>
      <c r="H79" s="2"/>
      <c r="I79" s="2"/>
      <c r="J79" s="2"/>
      <c r="K79" s="2"/>
      <c r="L79" s="2"/>
      <c r="M79" s="2"/>
      <c r="N79" s="2"/>
      <c r="O79" s="2"/>
      <c r="P79" s="2"/>
      <c r="Q79" s="2"/>
      <c r="R79" s="2"/>
      <c r="S79" s="2"/>
      <c r="T79" s="2"/>
      <c r="U79" s="2"/>
      <c r="V79" s="2"/>
    </row>
    <row r="80" spans="1:22" s="120" customFormat="1" x14ac:dyDescent="0.2">
      <c r="A80" s="2"/>
      <c r="B80" s="2"/>
      <c r="C80" s="2"/>
      <c r="D80" s="2"/>
      <c r="E80" s="2"/>
      <c r="F80" s="2"/>
      <c r="G80" s="2"/>
      <c r="H80" s="2"/>
      <c r="I80" s="2"/>
      <c r="J80" s="2"/>
      <c r="K80" s="2"/>
      <c r="L80" s="2"/>
      <c r="M80" s="2"/>
      <c r="N80" s="2"/>
      <c r="O80" s="2"/>
      <c r="P80" s="2"/>
      <c r="Q80" s="2"/>
      <c r="R80" s="2"/>
      <c r="S80" s="2"/>
      <c r="T80" s="2"/>
      <c r="U80" s="2"/>
      <c r="V80" s="2"/>
    </row>
    <row r="81" spans="1:22" s="120" customFormat="1" x14ac:dyDescent="0.2">
      <c r="A81" s="2"/>
      <c r="B81" s="2"/>
      <c r="C81" s="2"/>
      <c r="D81" s="2"/>
      <c r="E81" s="2"/>
      <c r="F81" s="2"/>
      <c r="G81" s="2"/>
      <c r="H81" s="2"/>
      <c r="I81" s="2"/>
      <c r="J81" s="2"/>
      <c r="K81" s="2"/>
      <c r="L81" s="2"/>
      <c r="M81" s="2"/>
      <c r="N81" s="2"/>
      <c r="O81" s="2"/>
      <c r="P81" s="2"/>
      <c r="Q81" s="2"/>
      <c r="R81" s="2"/>
      <c r="S81" s="2"/>
      <c r="T81" s="2"/>
      <c r="U81" s="2"/>
      <c r="V81" s="2"/>
    </row>
    <row r="82" spans="1:22" s="120" customFormat="1" x14ac:dyDescent="0.2">
      <c r="A82" s="2"/>
      <c r="B82" s="2"/>
      <c r="C82" s="2"/>
      <c r="D82" s="2"/>
      <c r="E82" s="2"/>
      <c r="F82" s="2"/>
      <c r="G82" s="2"/>
      <c r="H82" s="2"/>
      <c r="I82" s="2"/>
      <c r="J82" s="2"/>
      <c r="K82" s="2"/>
      <c r="L82" s="2"/>
      <c r="M82" s="2"/>
      <c r="N82" s="2"/>
      <c r="O82" s="2"/>
      <c r="P82" s="2"/>
      <c r="Q82" s="2"/>
      <c r="R82" s="2"/>
      <c r="S82" s="2"/>
      <c r="T82" s="2"/>
      <c r="U82" s="2"/>
      <c r="V82" s="2"/>
    </row>
    <row r="83" spans="1:22" s="120" customFormat="1" x14ac:dyDescent="0.2">
      <c r="A83" s="2"/>
      <c r="B83" s="2"/>
      <c r="C83" s="2"/>
      <c r="D83" s="2"/>
      <c r="E83" s="2"/>
      <c r="F83" s="2"/>
      <c r="G83" s="2"/>
      <c r="H83" s="2"/>
      <c r="I83" s="2"/>
      <c r="J83" s="2"/>
      <c r="K83" s="2"/>
      <c r="L83" s="2"/>
      <c r="M83" s="2"/>
      <c r="N83" s="2"/>
      <c r="O83" s="2"/>
      <c r="P83" s="2"/>
      <c r="Q83" s="2"/>
      <c r="R83" s="2"/>
      <c r="S83" s="2"/>
      <c r="T83" s="2"/>
      <c r="U83" s="2"/>
      <c r="V83" s="2"/>
    </row>
    <row r="84" spans="1:22" s="120" customFormat="1" x14ac:dyDescent="0.2">
      <c r="A84" s="2"/>
      <c r="B84" s="2"/>
      <c r="C84" s="2"/>
      <c r="D84" s="2"/>
      <c r="E84" s="2"/>
      <c r="F84" s="2"/>
      <c r="G84" s="2"/>
      <c r="H84" s="2"/>
      <c r="I84" s="2"/>
      <c r="J84" s="2"/>
      <c r="K84" s="2"/>
      <c r="L84" s="2"/>
      <c r="M84" s="2"/>
      <c r="N84" s="2"/>
      <c r="O84" s="2"/>
      <c r="P84" s="2"/>
      <c r="Q84" s="2"/>
      <c r="R84" s="2"/>
      <c r="S84" s="2"/>
      <c r="T84" s="2"/>
      <c r="U84" s="2"/>
      <c r="V84" s="2"/>
    </row>
    <row r="85" spans="1:22" s="120" customFormat="1" x14ac:dyDescent="0.2">
      <c r="A85" s="2"/>
      <c r="B85" s="2"/>
      <c r="C85" s="2"/>
      <c r="D85" s="2"/>
      <c r="E85" s="2"/>
      <c r="F85" s="2"/>
      <c r="G85" s="2"/>
      <c r="H85" s="2"/>
      <c r="I85" s="2"/>
      <c r="J85" s="2"/>
      <c r="K85" s="2"/>
      <c r="L85" s="2"/>
      <c r="M85" s="2"/>
      <c r="N85" s="2"/>
      <c r="O85" s="2"/>
      <c r="P85" s="2"/>
      <c r="Q85" s="2"/>
      <c r="R85" s="2"/>
      <c r="S85" s="2"/>
      <c r="T85" s="2"/>
      <c r="U85" s="2"/>
      <c r="V85" s="2"/>
    </row>
    <row r="86" spans="1:22" s="120" customFormat="1" x14ac:dyDescent="0.2">
      <c r="A86" s="2"/>
      <c r="B86" s="2"/>
      <c r="C86" s="2"/>
      <c r="D86" s="2"/>
      <c r="E86" s="2"/>
      <c r="F86" s="2"/>
      <c r="G86" s="2"/>
      <c r="H86" s="2"/>
      <c r="I86" s="2"/>
      <c r="J86" s="2"/>
      <c r="K86" s="2"/>
      <c r="L86" s="2"/>
      <c r="M86" s="2"/>
      <c r="N86" s="2"/>
      <c r="O86" s="2"/>
      <c r="P86" s="2"/>
      <c r="Q86" s="2"/>
      <c r="R86" s="2"/>
      <c r="S86" s="2"/>
      <c r="T86" s="2"/>
      <c r="U86" s="2"/>
      <c r="V86" s="2"/>
    </row>
    <row r="87" spans="1:22" s="120" customFormat="1" x14ac:dyDescent="0.2">
      <c r="A87" s="2"/>
      <c r="B87" s="2"/>
      <c r="C87" s="2"/>
      <c r="D87" s="2"/>
      <c r="E87" s="2"/>
      <c r="F87" s="2"/>
      <c r="G87" s="2"/>
      <c r="H87" s="2"/>
      <c r="I87" s="2"/>
      <c r="J87" s="2"/>
      <c r="K87" s="2"/>
      <c r="L87" s="2"/>
      <c r="M87" s="2"/>
      <c r="N87" s="2"/>
      <c r="O87" s="2"/>
      <c r="P87" s="2"/>
      <c r="Q87" s="2"/>
      <c r="R87" s="2"/>
      <c r="S87" s="2"/>
      <c r="T87" s="2"/>
      <c r="U87" s="2"/>
      <c r="V87" s="2"/>
    </row>
    <row r="88" spans="1:22" s="120" customFormat="1" x14ac:dyDescent="0.2">
      <c r="A88" s="2"/>
      <c r="B88" s="2"/>
      <c r="C88" s="2"/>
      <c r="D88" s="2"/>
      <c r="E88" s="2"/>
      <c r="F88" s="2"/>
      <c r="G88" s="2"/>
      <c r="H88" s="2"/>
      <c r="I88" s="2"/>
      <c r="J88" s="2"/>
      <c r="K88" s="2"/>
      <c r="L88" s="2"/>
      <c r="M88" s="2"/>
      <c r="N88" s="2"/>
      <c r="O88" s="2"/>
      <c r="P88" s="2"/>
      <c r="Q88" s="2"/>
      <c r="R88" s="2"/>
      <c r="S88" s="2"/>
      <c r="T88" s="2"/>
      <c r="U88" s="2"/>
      <c r="V88" s="2"/>
    </row>
    <row r="89" spans="1:22" s="120" customFormat="1" x14ac:dyDescent="0.2">
      <c r="A89" s="2"/>
      <c r="B89" s="2"/>
      <c r="C89" s="2"/>
      <c r="D89" s="2"/>
      <c r="E89" s="2"/>
      <c r="F89" s="2"/>
      <c r="G89" s="2"/>
      <c r="H89" s="2"/>
      <c r="I89" s="2"/>
      <c r="J89" s="2"/>
      <c r="K89" s="2"/>
      <c r="L89" s="2"/>
      <c r="M89" s="2"/>
      <c r="N89" s="2"/>
      <c r="O89" s="2"/>
      <c r="P89" s="2"/>
      <c r="Q89" s="2"/>
      <c r="R89" s="2"/>
      <c r="S89" s="2"/>
      <c r="T89" s="2"/>
      <c r="U89" s="2"/>
      <c r="V89" s="2"/>
    </row>
    <row r="90" spans="1:22" s="120" customFormat="1" x14ac:dyDescent="0.2">
      <c r="A90" s="2"/>
      <c r="B90" s="2"/>
      <c r="C90" s="2"/>
      <c r="D90" s="2"/>
      <c r="E90" s="2"/>
      <c r="F90" s="2"/>
      <c r="G90" s="2"/>
      <c r="H90" s="2"/>
      <c r="I90" s="2"/>
      <c r="J90" s="2"/>
      <c r="K90" s="2"/>
      <c r="L90" s="2"/>
      <c r="M90" s="2"/>
      <c r="N90" s="2"/>
      <c r="O90" s="2"/>
      <c r="P90" s="2"/>
      <c r="Q90" s="2"/>
      <c r="R90" s="2"/>
      <c r="S90" s="2"/>
      <c r="T90" s="2"/>
      <c r="U90" s="2"/>
      <c r="V90" s="2"/>
    </row>
    <row r="91" spans="1:22" s="120" customFormat="1" x14ac:dyDescent="0.2">
      <c r="A91" s="2"/>
      <c r="B91" s="2"/>
      <c r="C91" s="2"/>
      <c r="D91" s="2"/>
      <c r="E91" s="2"/>
      <c r="F91" s="2"/>
      <c r="G91" s="2"/>
      <c r="H91" s="2"/>
      <c r="I91" s="2"/>
      <c r="J91" s="2"/>
      <c r="K91" s="2"/>
      <c r="L91" s="2"/>
      <c r="M91" s="2"/>
      <c r="N91" s="2"/>
      <c r="O91" s="2"/>
      <c r="P91" s="2"/>
      <c r="Q91" s="2"/>
      <c r="R91" s="2"/>
      <c r="S91" s="2"/>
      <c r="T91" s="2"/>
      <c r="U91" s="2"/>
      <c r="V91" s="2"/>
    </row>
    <row r="92" spans="1:22" s="120" customFormat="1" x14ac:dyDescent="0.2">
      <c r="A92" s="2"/>
      <c r="B92" s="2"/>
      <c r="C92" s="2"/>
      <c r="D92" s="2"/>
      <c r="E92" s="2"/>
      <c r="F92" s="2"/>
      <c r="G92" s="2"/>
      <c r="H92" s="2"/>
      <c r="I92" s="2"/>
      <c r="J92" s="2"/>
      <c r="K92" s="2"/>
      <c r="L92" s="2"/>
      <c r="M92" s="2"/>
      <c r="N92" s="2"/>
      <c r="O92" s="2"/>
      <c r="P92" s="2"/>
      <c r="Q92" s="2"/>
      <c r="R92" s="2"/>
      <c r="S92" s="2"/>
      <c r="T92" s="2"/>
      <c r="U92" s="2"/>
      <c r="V92" s="2"/>
    </row>
    <row r="93" spans="1:22" s="120" customFormat="1" x14ac:dyDescent="0.2">
      <c r="A93" s="2"/>
      <c r="B93" s="2"/>
      <c r="C93" s="2"/>
      <c r="D93" s="2"/>
      <c r="E93" s="2"/>
      <c r="F93" s="2"/>
      <c r="G93" s="2"/>
      <c r="H93" s="2"/>
      <c r="I93" s="2"/>
      <c r="J93" s="2"/>
      <c r="K93" s="2"/>
      <c r="L93" s="2"/>
      <c r="M93" s="2"/>
      <c r="N93" s="2"/>
      <c r="O93" s="2"/>
      <c r="P93" s="2"/>
      <c r="Q93" s="2"/>
      <c r="R93" s="2"/>
      <c r="S93" s="2"/>
      <c r="T93" s="2"/>
      <c r="U93" s="2"/>
      <c r="V93" s="2"/>
    </row>
    <row r="94" spans="1:22" s="120" customFormat="1" x14ac:dyDescent="0.2">
      <c r="A94" s="2"/>
      <c r="B94" s="2"/>
      <c r="C94" s="2"/>
      <c r="D94" s="2"/>
      <c r="E94" s="2"/>
      <c r="F94" s="2"/>
      <c r="G94" s="2"/>
      <c r="H94" s="2"/>
      <c r="I94" s="2"/>
      <c r="J94" s="2"/>
      <c r="K94" s="2"/>
      <c r="L94" s="2"/>
      <c r="M94" s="2"/>
      <c r="N94" s="2"/>
      <c r="O94" s="2"/>
      <c r="P94" s="2"/>
      <c r="Q94" s="2"/>
      <c r="R94" s="2"/>
      <c r="S94" s="2"/>
      <c r="T94" s="2"/>
      <c r="U94" s="2"/>
      <c r="V94" s="2"/>
    </row>
    <row r="95" spans="1:22" s="120" customFormat="1" x14ac:dyDescent="0.2">
      <c r="A95" s="2"/>
      <c r="B95" s="2"/>
      <c r="C95" s="2"/>
      <c r="D95" s="2"/>
      <c r="E95" s="2"/>
      <c r="F95" s="2"/>
      <c r="G95" s="2"/>
      <c r="H95" s="2"/>
      <c r="I95" s="2"/>
      <c r="J95" s="2"/>
      <c r="K95" s="2"/>
      <c r="L95" s="2"/>
      <c r="M95" s="2"/>
      <c r="N95" s="2"/>
      <c r="O95" s="2"/>
      <c r="P95" s="2"/>
      <c r="Q95" s="2"/>
      <c r="R95" s="2"/>
      <c r="S95" s="2"/>
      <c r="T95" s="2"/>
      <c r="U95" s="2"/>
      <c r="V95" s="2"/>
    </row>
    <row r="96" spans="1:22" s="120" customFormat="1" x14ac:dyDescent="0.2">
      <c r="A96" s="2"/>
      <c r="B96" s="2"/>
      <c r="C96" s="2"/>
      <c r="D96" s="2"/>
      <c r="E96" s="2"/>
      <c r="F96" s="2"/>
      <c r="G96" s="2"/>
      <c r="H96" s="2"/>
      <c r="I96" s="2"/>
      <c r="J96" s="2"/>
      <c r="K96" s="2"/>
      <c r="L96" s="2"/>
      <c r="M96" s="2"/>
      <c r="N96" s="2"/>
      <c r="O96" s="2"/>
      <c r="P96" s="2"/>
      <c r="Q96" s="2"/>
      <c r="R96" s="2"/>
      <c r="S96" s="2"/>
      <c r="T96" s="2"/>
      <c r="U96" s="2"/>
      <c r="V96" s="2"/>
    </row>
    <row r="97" spans="1:22" s="120" customFormat="1" x14ac:dyDescent="0.2">
      <c r="A97" s="2"/>
      <c r="B97" s="2"/>
      <c r="C97" s="2"/>
      <c r="D97" s="2"/>
      <c r="E97" s="2"/>
      <c r="F97" s="2"/>
      <c r="G97" s="2"/>
      <c r="H97" s="2"/>
      <c r="I97" s="2"/>
      <c r="J97" s="2"/>
      <c r="K97" s="2"/>
      <c r="L97" s="2"/>
      <c r="M97" s="2"/>
      <c r="N97" s="2"/>
      <c r="O97" s="2"/>
      <c r="P97" s="2"/>
      <c r="Q97" s="2"/>
      <c r="R97" s="2"/>
      <c r="S97" s="2"/>
      <c r="T97" s="2"/>
      <c r="U97" s="2"/>
      <c r="V97" s="2"/>
    </row>
    <row r="98" spans="1:22" s="120" customFormat="1" x14ac:dyDescent="0.2">
      <c r="A98" s="2"/>
      <c r="B98" s="2"/>
      <c r="C98" s="2"/>
      <c r="D98" s="2"/>
      <c r="E98" s="2"/>
      <c r="F98" s="2"/>
      <c r="G98" s="2"/>
      <c r="H98" s="2"/>
      <c r="I98" s="2"/>
      <c r="J98" s="2"/>
      <c r="K98" s="2"/>
      <c r="L98" s="2"/>
      <c r="M98" s="2"/>
      <c r="N98" s="2"/>
      <c r="O98" s="2"/>
      <c r="P98" s="2"/>
      <c r="Q98" s="2"/>
      <c r="R98" s="2"/>
      <c r="S98" s="2"/>
      <c r="T98" s="2"/>
      <c r="U98" s="2"/>
      <c r="V98" s="2"/>
    </row>
    <row r="99" spans="1:22" s="120" customFormat="1" x14ac:dyDescent="0.2">
      <c r="A99" s="2"/>
      <c r="B99" s="2"/>
      <c r="C99" s="2"/>
      <c r="D99" s="2"/>
      <c r="E99" s="2"/>
      <c r="F99" s="2"/>
      <c r="G99" s="2"/>
      <c r="H99" s="2"/>
      <c r="I99" s="2"/>
      <c r="J99" s="2"/>
      <c r="K99" s="2"/>
      <c r="L99" s="2"/>
      <c r="M99" s="2"/>
      <c r="N99" s="2"/>
      <c r="O99" s="2"/>
      <c r="P99" s="2"/>
      <c r="Q99" s="2"/>
      <c r="R99" s="2"/>
      <c r="S99" s="2"/>
      <c r="T99" s="2"/>
      <c r="U99" s="2"/>
      <c r="V99" s="2"/>
    </row>
    <row r="100" spans="1:22" s="120" customFormat="1" x14ac:dyDescent="0.2">
      <c r="A100" s="2"/>
      <c r="B100" s="2"/>
      <c r="C100" s="2"/>
      <c r="D100" s="2"/>
      <c r="E100" s="2"/>
      <c r="F100" s="2"/>
      <c r="G100" s="2"/>
      <c r="H100" s="2"/>
      <c r="I100" s="2"/>
      <c r="J100" s="2"/>
      <c r="K100" s="2"/>
      <c r="L100" s="2"/>
      <c r="M100" s="2"/>
      <c r="N100" s="2"/>
      <c r="O100" s="2"/>
      <c r="P100" s="2"/>
      <c r="Q100" s="2"/>
      <c r="R100" s="2"/>
      <c r="S100" s="2"/>
      <c r="T100" s="2"/>
      <c r="U100" s="2"/>
      <c r="V100" s="2"/>
    </row>
    <row r="101" spans="1:22" s="120" customFormat="1" x14ac:dyDescent="0.2">
      <c r="A101" s="2"/>
      <c r="B101" s="2"/>
      <c r="C101" s="2"/>
      <c r="D101" s="2"/>
      <c r="E101" s="2"/>
      <c r="F101" s="2"/>
      <c r="G101" s="2"/>
      <c r="H101" s="2"/>
      <c r="I101" s="2"/>
      <c r="J101" s="2"/>
      <c r="K101" s="2"/>
      <c r="L101" s="2"/>
      <c r="M101" s="2"/>
      <c r="N101" s="2"/>
      <c r="O101" s="2"/>
      <c r="P101" s="2"/>
      <c r="Q101" s="2"/>
      <c r="R101" s="2"/>
      <c r="S101" s="2"/>
      <c r="T101" s="2"/>
      <c r="U101" s="2"/>
      <c r="V101" s="2"/>
    </row>
    <row r="102" spans="1:22" s="120" customFormat="1" x14ac:dyDescent="0.2">
      <c r="A102" s="2"/>
      <c r="B102" s="2"/>
      <c r="C102" s="2"/>
      <c r="D102" s="2"/>
      <c r="E102" s="2"/>
      <c r="F102" s="2"/>
      <c r="G102" s="2"/>
      <c r="H102" s="2"/>
      <c r="I102" s="2"/>
      <c r="J102" s="2"/>
      <c r="K102" s="2"/>
      <c r="L102" s="2"/>
      <c r="M102" s="2"/>
      <c r="N102" s="2"/>
      <c r="O102" s="2"/>
      <c r="P102" s="2"/>
      <c r="Q102" s="2"/>
      <c r="R102" s="2"/>
      <c r="S102" s="2"/>
      <c r="T102" s="2"/>
      <c r="U102" s="2"/>
      <c r="V102" s="2"/>
    </row>
    <row r="103" spans="1:22" s="120" customFormat="1" x14ac:dyDescent="0.2">
      <c r="A103" s="2"/>
      <c r="B103" s="2"/>
      <c r="C103" s="2"/>
      <c r="D103" s="2"/>
      <c r="E103" s="2"/>
      <c r="F103" s="2"/>
      <c r="G103" s="2"/>
      <c r="H103" s="2"/>
      <c r="I103" s="2"/>
      <c r="J103" s="2"/>
      <c r="K103" s="2"/>
      <c r="L103" s="2"/>
      <c r="M103" s="2"/>
      <c r="N103" s="2"/>
      <c r="O103" s="2"/>
      <c r="P103" s="2"/>
      <c r="Q103" s="2"/>
      <c r="R103" s="2"/>
      <c r="S103" s="2"/>
      <c r="T103" s="2"/>
      <c r="U103" s="2"/>
      <c r="V103" s="2"/>
    </row>
    <row r="104" spans="1:22" s="120" customFormat="1" x14ac:dyDescent="0.2">
      <c r="A104" s="2"/>
      <c r="B104" s="2"/>
      <c r="C104" s="2"/>
      <c r="D104" s="2"/>
      <c r="E104" s="2"/>
      <c r="F104" s="2"/>
      <c r="G104" s="2"/>
      <c r="H104" s="2"/>
      <c r="I104" s="2"/>
      <c r="J104" s="2"/>
      <c r="K104" s="2"/>
      <c r="L104" s="2"/>
      <c r="M104" s="2"/>
      <c r="N104" s="2"/>
      <c r="O104" s="2"/>
      <c r="P104" s="2"/>
      <c r="Q104" s="2"/>
      <c r="R104" s="2"/>
      <c r="S104" s="2"/>
      <c r="T104" s="2"/>
      <c r="U104" s="2"/>
      <c r="V104" s="2"/>
    </row>
    <row r="105" spans="1:22" s="120" customFormat="1" x14ac:dyDescent="0.2">
      <c r="A105" s="2"/>
      <c r="B105" s="2"/>
      <c r="C105" s="2"/>
      <c r="D105" s="2"/>
      <c r="E105" s="2"/>
      <c r="F105" s="2"/>
      <c r="G105" s="2"/>
      <c r="H105" s="2"/>
      <c r="I105" s="2"/>
      <c r="J105" s="2"/>
      <c r="K105" s="2"/>
      <c r="L105" s="2"/>
      <c r="M105" s="2"/>
      <c r="N105" s="2"/>
      <c r="O105" s="2"/>
      <c r="P105" s="2"/>
      <c r="Q105" s="2"/>
      <c r="R105" s="2"/>
      <c r="S105" s="2"/>
      <c r="T105" s="2"/>
      <c r="U105" s="2"/>
      <c r="V105" s="2"/>
    </row>
    <row r="106" spans="1:22" s="120" customFormat="1" x14ac:dyDescent="0.2">
      <c r="A106" s="2"/>
      <c r="B106" s="2"/>
      <c r="C106" s="2"/>
      <c r="D106" s="2"/>
      <c r="E106" s="2"/>
      <c r="F106" s="2"/>
      <c r="G106" s="2"/>
      <c r="H106" s="2"/>
      <c r="I106" s="2"/>
      <c r="J106" s="2"/>
      <c r="K106" s="2"/>
      <c r="L106" s="2"/>
      <c r="M106" s="2"/>
      <c r="N106" s="2"/>
      <c r="O106" s="2"/>
      <c r="P106" s="2"/>
      <c r="Q106" s="2"/>
      <c r="R106" s="2"/>
      <c r="S106" s="2"/>
      <c r="T106" s="2"/>
      <c r="U106" s="2"/>
      <c r="V106" s="2"/>
    </row>
    <row r="107" spans="1:22" s="120" customFormat="1" x14ac:dyDescent="0.2">
      <c r="A107" s="2"/>
      <c r="B107" s="2"/>
      <c r="C107" s="2"/>
      <c r="D107" s="2"/>
      <c r="E107" s="2"/>
      <c r="F107" s="2"/>
      <c r="G107" s="2"/>
      <c r="H107" s="2"/>
      <c r="I107" s="2"/>
      <c r="J107" s="2"/>
      <c r="K107" s="2"/>
      <c r="L107" s="2"/>
      <c r="M107" s="2"/>
      <c r="N107" s="2"/>
      <c r="O107" s="2"/>
      <c r="P107" s="2"/>
      <c r="Q107" s="2"/>
      <c r="R107" s="2"/>
      <c r="S107" s="2"/>
      <c r="T107" s="2"/>
      <c r="U107" s="2"/>
      <c r="V107" s="2"/>
    </row>
    <row r="108" spans="1:22" s="120" customFormat="1" x14ac:dyDescent="0.2">
      <c r="A108" s="2"/>
      <c r="B108" s="2"/>
      <c r="C108" s="2"/>
      <c r="D108" s="2"/>
      <c r="E108" s="2"/>
      <c r="F108" s="2"/>
      <c r="G108" s="2"/>
      <c r="H108" s="2"/>
      <c r="I108" s="2"/>
      <c r="J108" s="2"/>
      <c r="K108" s="2"/>
      <c r="L108" s="2"/>
      <c r="M108" s="2"/>
      <c r="N108" s="2"/>
      <c r="O108" s="2"/>
      <c r="P108" s="2"/>
      <c r="Q108" s="2"/>
      <c r="R108" s="2"/>
      <c r="S108" s="2"/>
      <c r="T108" s="2"/>
      <c r="U108" s="2"/>
      <c r="V108" s="2"/>
    </row>
    <row r="109" spans="1:22" s="120" customFormat="1" x14ac:dyDescent="0.2">
      <c r="A109" s="2"/>
      <c r="B109" s="2"/>
      <c r="C109" s="2"/>
      <c r="D109" s="2"/>
      <c r="E109" s="2"/>
      <c r="F109" s="2"/>
      <c r="G109" s="2"/>
      <c r="H109" s="2"/>
      <c r="I109" s="2"/>
      <c r="J109" s="2"/>
      <c r="K109" s="2"/>
      <c r="L109" s="2"/>
      <c r="M109" s="2"/>
      <c r="N109" s="2"/>
      <c r="O109" s="2"/>
      <c r="P109" s="2"/>
      <c r="Q109" s="2"/>
      <c r="R109" s="2"/>
      <c r="S109" s="2"/>
      <c r="T109" s="2"/>
      <c r="U109" s="2"/>
      <c r="V109" s="2"/>
    </row>
    <row r="110" spans="1:22" s="120" customFormat="1" x14ac:dyDescent="0.2">
      <c r="A110" s="2"/>
      <c r="B110" s="2"/>
      <c r="C110" s="2"/>
      <c r="D110" s="2"/>
      <c r="E110" s="2"/>
      <c r="F110" s="2"/>
      <c r="G110" s="2"/>
      <c r="H110" s="2"/>
      <c r="I110" s="2"/>
      <c r="J110" s="2"/>
      <c r="K110" s="2"/>
      <c r="L110" s="2"/>
      <c r="M110" s="2"/>
      <c r="N110" s="2"/>
      <c r="O110" s="2"/>
      <c r="P110" s="2"/>
      <c r="Q110" s="2"/>
      <c r="R110" s="2"/>
      <c r="S110" s="2"/>
      <c r="T110" s="2"/>
      <c r="U110" s="2"/>
      <c r="V110" s="2"/>
    </row>
    <row r="111" spans="1:22" s="120" customFormat="1" x14ac:dyDescent="0.2">
      <c r="A111" s="2"/>
      <c r="B111" s="2"/>
      <c r="C111" s="2"/>
      <c r="D111" s="2"/>
      <c r="E111" s="2"/>
      <c r="F111" s="2"/>
      <c r="G111" s="2"/>
      <c r="H111" s="2"/>
      <c r="I111" s="2"/>
      <c r="J111" s="2"/>
      <c r="K111" s="2"/>
      <c r="L111" s="2"/>
      <c r="M111" s="2"/>
      <c r="N111" s="2"/>
      <c r="O111" s="2"/>
      <c r="P111" s="2"/>
      <c r="Q111" s="2"/>
      <c r="R111" s="2"/>
      <c r="S111" s="2"/>
      <c r="T111" s="2"/>
      <c r="U111" s="2"/>
      <c r="V111" s="2"/>
    </row>
    <row r="112" spans="1:22" s="120" customFormat="1" x14ac:dyDescent="0.2">
      <c r="A112" s="2"/>
      <c r="B112" s="2"/>
      <c r="C112" s="2"/>
      <c r="D112" s="2"/>
      <c r="E112" s="2"/>
      <c r="F112" s="2"/>
      <c r="G112" s="2"/>
      <c r="H112" s="2"/>
      <c r="I112" s="2"/>
      <c r="J112" s="2"/>
      <c r="K112" s="2"/>
      <c r="L112" s="2"/>
      <c r="M112" s="2"/>
      <c r="N112" s="2"/>
      <c r="O112" s="2"/>
      <c r="P112" s="2"/>
      <c r="Q112" s="2"/>
      <c r="R112" s="2"/>
      <c r="S112" s="2"/>
      <c r="T112" s="2"/>
      <c r="U112" s="2"/>
      <c r="V112" s="2"/>
    </row>
    <row r="113" spans="1:22" s="120" customFormat="1" x14ac:dyDescent="0.2">
      <c r="A113" s="2"/>
      <c r="B113" s="2"/>
      <c r="C113" s="2"/>
      <c r="D113" s="2"/>
      <c r="E113" s="2"/>
      <c r="F113" s="2"/>
      <c r="G113" s="2"/>
      <c r="H113" s="2"/>
      <c r="I113" s="2"/>
      <c r="J113" s="2"/>
      <c r="K113" s="2"/>
      <c r="L113" s="2"/>
      <c r="M113" s="2"/>
      <c r="N113" s="2"/>
      <c r="O113" s="2"/>
      <c r="P113" s="2"/>
      <c r="Q113" s="2"/>
      <c r="R113" s="2"/>
      <c r="S113" s="2"/>
      <c r="T113" s="2"/>
      <c r="U113" s="2"/>
      <c r="V113" s="2"/>
    </row>
    <row r="114" spans="1:22" s="120" customFormat="1" x14ac:dyDescent="0.2">
      <c r="A114" s="2"/>
      <c r="B114" s="2"/>
      <c r="C114" s="2"/>
      <c r="D114" s="2"/>
      <c r="E114" s="2"/>
      <c r="F114" s="2"/>
      <c r="G114" s="2"/>
      <c r="H114" s="2"/>
      <c r="I114" s="2"/>
      <c r="J114" s="2"/>
      <c r="K114" s="2"/>
      <c r="L114" s="2"/>
      <c r="M114" s="2"/>
      <c r="N114" s="2"/>
      <c r="O114" s="2"/>
      <c r="P114" s="2"/>
      <c r="Q114" s="2"/>
      <c r="R114" s="2"/>
      <c r="S114" s="2"/>
      <c r="T114" s="2"/>
      <c r="U114" s="2"/>
      <c r="V114" s="2"/>
    </row>
    <row r="115" spans="1:22" s="120" customFormat="1" x14ac:dyDescent="0.2">
      <c r="A115" s="2"/>
      <c r="B115" s="2"/>
      <c r="C115" s="2"/>
      <c r="D115" s="2"/>
      <c r="E115" s="2"/>
      <c r="F115" s="2"/>
      <c r="G115" s="2"/>
      <c r="H115" s="2"/>
      <c r="I115" s="2"/>
      <c r="J115" s="2"/>
      <c r="K115" s="2"/>
      <c r="L115" s="2"/>
      <c r="M115" s="2"/>
      <c r="N115" s="2"/>
      <c r="O115" s="2"/>
      <c r="P115" s="2"/>
      <c r="Q115" s="2"/>
      <c r="R115" s="2"/>
      <c r="S115" s="2"/>
      <c r="T115" s="2"/>
      <c r="U115" s="2"/>
      <c r="V115" s="2"/>
    </row>
    <row r="116" spans="1:22" s="120" customFormat="1" x14ac:dyDescent="0.2">
      <c r="A116" s="2"/>
      <c r="B116" s="2"/>
      <c r="C116" s="2"/>
      <c r="D116" s="2"/>
      <c r="E116" s="2"/>
      <c r="F116" s="2"/>
      <c r="G116" s="2"/>
      <c r="H116" s="2"/>
      <c r="I116" s="2"/>
      <c r="J116" s="2"/>
      <c r="K116" s="2"/>
      <c r="L116" s="2"/>
      <c r="M116" s="2"/>
      <c r="N116" s="2"/>
      <c r="O116" s="2"/>
      <c r="P116" s="2"/>
      <c r="Q116" s="2"/>
      <c r="R116" s="2"/>
      <c r="S116" s="2"/>
      <c r="T116" s="2"/>
      <c r="U116" s="2"/>
      <c r="V116" s="2"/>
    </row>
    <row r="117" spans="1:22" s="120" customFormat="1" x14ac:dyDescent="0.2">
      <c r="A117" s="2"/>
      <c r="B117" s="2"/>
      <c r="C117" s="2"/>
      <c r="D117" s="2"/>
      <c r="E117" s="2"/>
      <c r="F117" s="2"/>
      <c r="G117" s="2"/>
      <c r="H117" s="2"/>
      <c r="I117" s="2"/>
      <c r="J117" s="2"/>
      <c r="K117" s="2"/>
      <c r="L117" s="2"/>
      <c r="M117" s="2"/>
      <c r="N117" s="2"/>
      <c r="O117" s="2"/>
      <c r="P117" s="2"/>
      <c r="Q117" s="2"/>
      <c r="R117" s="2"/>
      <c r="S117" s="2"/>
      <c r="T117" s="2"/>
      <c r="U117" s="2"/>
      <c r="V117" s="2"/>
    </row>
    <row r="118" spans="1:22" s="120" customFormat="1" x14ac:dyDescent="0.2">
      <c r="A118" s="2"/>
      <c r="B118" s="2"/>
      <c r="C118" s="2"/>
      <c r="D118" s="2"/>
      <c r="E118" s="2"/>
      <c r="F118" s="2"/>
      <c r="G118" s="2"/>
      <c r="H118" s="2"/>
      <c r="I118" s="2"/>
      <c r="J118" s="2"/>
      <c r="K118" s="2"/>
      <c r="L118" s="2"/>
      <c r="M118" s="2"/>
      <c r="N118" s="2"/>
      <c r="O118" s="2"/>
      <c r="P118" s="2"/>
      <c r="Q118" s="2"/>
      <c r="R118" s="2"/>
      <c r="S118" s="2"/>
      <c r="T118" s="2"/>
      <c r="U118" s="2"/>
      <c r="V118" s="2"/>
    </row>
    <row r="119" spans="1:22" s="120" customFormat="1" x14ac:dyDescent="0.2">
      <c r="A119" s="2"/>
      <c r="B119" s="2"/>
      <c r="C119" s="2"/>
      <c r="D119" s="2"/>
      <c r="E119" s="2"/>
      <c r="F119" s="2"/>
      <c r="G119" s="2"/>
      <c r="H119" s="2"/>
      <c r="I119" s="2"/>
      <c r="J119" s="2"/>
      <c r="K119" s="2"/>
      <c r="L119" s="2"/>
      <c r="M119" s="2"/>
      <c r="N119" s="2"/>
      <c r="O119" s="2"/>
      <c r="P119" s="2"/>
      <c r="Q119" s="2"/>
      <c r="R119" s="2"/>
      <c r="S119" s="2"/>
      <c r="T119" s="2"/>
      <c r="U119" s="2"/>
      <c r="V119" s="2"/>
    </row>
    <row r="120" spans="1:22" s="120" customFormat="1" x14ac:dyDescent="0.2">
      <c r="A120" s="2"/>
      <c r="B120" s="2"/>
      <c r="C120" s="2"/>
      <c r="D120" s="2"/>
      <c r="E120" s="2"/>
      <c r="F120" s="2"/>
      <c r="G120" s="2"/>
      <c r="H120" s="2"/>
      <c r="I120" s="2"/>
      <c r="J120" s="2"/>
      <c r="K120" s="2"/>
      <c r="L120" s="2"/>
      <c r="M120" s="2"/>
      <c r="N120" s="2"/>
      <c r="O120" s="2"/>
      <c r="P120" s="2"/>
      <c r="Q120" s="2"/>
      <c r="R120" s="2"/>
      <c r="S120" s="2"/>
      <c r="T120" s="2"/>
      <c r="U120" s="2"/>
      <c r="V120" s="2"/>
    </row>
    <row r="121" spans="1:22" s="120" customFormat="1" x14ac:dyDescent="0.2">
      <c r="A121" s="2"/>
      <c r="B121" s="2"/>
      <c r="C121" s="2"/>
      <c r="D121" s="2"/>
      <c r="E121" s="2"/>
      <c r="F121" s="2"/>
      <c r="G121" s="2"/>
      <c r="H121" s="2"/>
      <c r="I121" s="2"/>
      <c r="J121" s="2"/>
      <c r="K121" s="2"/>
      <c r="L121" s="2"/>
      <c r="M121" s="2"/>
      <c r="N121" s="2"/>
      <c r="O121" s="2"/>
      <c r="P121" s="2"/>
      <c r="Q121" s="2"/>
      <c r="R121" s="2"/>
      <c r="S121" s="2"/>
      <c r="T121" s="2"/>
      <c r="U121" s="2"/>
      <c r="V121" s="2"/>
    </row>
    <row r="122" spans="1:22" s="120" customFormat="1" x14ac:dyDescent="0.2">
      <c r="A122" s="2"/>
      <c r="B122" s="2"/>
      <c r="C122" s="2"/>
      <c r="D122" s="2"/>
      <c r="E122" s="2"/>
      <c r="F122" s="2"/>
      <c r="G122" s="2"/>
      <c r="H122" s="2"/>
      <c r="I122" s="2"/>
      <c r="J122" s="2"/>
      <c r="K122" s="2"/>
      <c r="L122" s="2"/>
      <c r="M122" s="2"/>
      <c r="N122" s="2"/>
      <c r="O122" s="2"/>
      <c r="P122" s="2"/>
      <c r="Q122" s="2"/>
      <c r="R122" s="2"/>
      <c r="S122" s="2"/>
      <c r="T122" s="2"/>
      <c r="U122" s="2"/>
      <c r="V122" s="2"/>
    </row>
    <row r="123" spans="1:22" s="120" customFormat="1" x14ac:dyDescent="0.2">
      <c r="A123" s="2"/>
      <c r="B123" s="2"/>
      <c r="C123" s="2"/>
      <c r="D123" s="2"/>
      <c r="E123" s="2"/>
      <c r="F123" s="2"/>
      <c r="G123" s="2"/>
      <c r="H123" s="2"/>
      <c r="I123" s="2"/>
      <c r="J123" s="2"/>
      <c r="K123" s="2"/>
      <c r="L123" s="2"/>
      <c r="M123" s="2"/>
      <c r="N123" s="2"/>
      <c r="O123" s="2"/>
      <c r="P123" s="2"/>
      <c r="Q123" s="2"/>
      <c r="R123" s="2"/>
      <c r="S123" s="2"/>
      <c r="T123" s="2"/>
      <c r="U123" s="2"/>
      <c r="V123" s="2"/>
    </row>
    <row r="124" spans="1:22" s="120" customFormat="1" x14ac:dyDescent="0.2">
      <c r="A124" s="2"/>
      <c r="B124" s="2"/>
      <c r="C124" s="2"/>
      <c r="D124" s="2"/>
      <c r="E124" s="2"/>
      <c r="F124" s="2"/>
      <c r="G124" s="2"/>
      <c r="H124" s="2"/>
      <c r="I124" s="2"/>
      <c r="J124" s="2"/>
      <c r="K124" s="2"/>
      <c r="L124" s="2"/>
      <c r="M124" s="2"/>
      <c r="N124" s="2"/>
      <c r="O124" s="2"/>
      <c r="P124" s="2"/>
      <c r="Q124" s="2"/>
      <c r="R124" s="2"/>
      <c r="S124" s="2"/>
      <c r="T124" s="2"/>
      <c r="U124" s="2"/>
      <c r="V124" s="2"/>
    </row>
    <row r="125" spans="1:22" s="120" customFormat="1" x14ac:dyDescent="0.2">
      <c r="A125" s="2"/>
      <c r="B125" s="2"/>
      <c r="C125" s="2"/>
      <c r="D125" s="2"/>
      <c r="E125" s="2"/>
      <c r="F125" s="2"/>
      <c r="G125" s="2"/>
      <c r="H125" s="2"/>
      <c r="I125" s="2"/>
      <c r="J125" s="2"/>
      <c r="K125" s="2"/>
      <c r="L125" s="2"/>
      <c r="M125" s="2"/>
      <c r="N125" s="2"/>
      <c r="O125" s="2"/>
      <c r="P125" s="2"/>
      <c r="Q125" s="2"/>
      <c r="R125" s="2"/>
      <c r="S125" s="2"/>
      <c r="T125" s="2"/>
      <c r="U125" s="2"/>
      <c r="V125" s="2"/>
    </row>
    <row r="126" spans="1:22" s="120" customFormat="1" x14ac:dyDescent="0.2">
      <c r="A126" s="2"/>
      <c r="B126" s="2"/>
      <c r="C126" s="2"/>
      <c r="D126" s="2"/>
      <c r="E126" s="2"/>
      <c r="F126" s="2"/>
      <c r="G126" s="2"/>
      <c r="H126" s="2"/>
      <c r="I126" s="2"/>
      <c r="J126" s="2"/>
      <c r="K126" s="2"/>
      <c r="L126" s="2"/>
      <c r="M126" s="2"/>
      <c r="N126" s="2"/>
      <c r="O126" s="2"/>
      <c r="P126" s="2"/>
      <c r="Q126" s="2"/>
      <c r="R126" s="2"/>
      <c r="S126" s="2"/>
      <c r="T126" s="2"/>
      <c r="U126" s="2"/>
      <c r="V126" s="2"/>
    </row>
    <row r="127" spans="1:22" s="120" customFormat="1" x14ac:dyDescent="0.2">
      <c r="A127" s="2"/>
      <c r="B127" s="2"/>
      <c r="C127" s="2"/>
      <c r="D127" s="2"/>
      <c r="E127" s="2"/>
      <c r="F127" s="2"/>
      <c r="G127" s="2"/>
      <c r="H127" s="2"/>
      <c r="I127" s="2"/>
      <c r="J127" s="2"/>
      <c r="K127" s="2"/>
      <c r="L127" s="2"/>
      <c r="M127" s="2"/>
      <c r="N127" s="2"/>
      <c r="O127" s="2"/>
      <c r="P127" s="2"/>
      <c r="Q127" s="2"/>
      <c r="R127" s="2"/>
      <c r="S127" s="2"/>
      <c r="T127" s="2"/>
      <c r="U127" s="2"/>
      <c r="V127" s="2"/>
    </row>
    <row r="128" spans="1:22" s="120" customFormat="1" x14ac:dyDescent="0.2">
      <c r="A128" s="2"/>
      <c r="B128" s="2"/>
      <c r="C128" s="2"/>
      <c r="D128" s="2"/>
      <c r="E128" s="2"/>
      <c r="F128" s="2"/>
      <c r="G128" s="2"/>
      <c r="H128" s="2"/>
      <c r="I128" s="2"/>
      <c r="J128" s="2"/>
      <c r="K128" s="2"/>
      <c r="L128" s="2"/>
      <c r="M128" s="2"/>
      <c r="N128" s="2"/>
      <c r="O128" s="2"/>
      <c r="P128" s="2"/>
      <c r="Q128" s="2"/>
      <c r="R128" s="2"/>
      <c r="S128" s="2"/>
      <c r="T128" s="2"/>
      <c r="U128" s="2"/>
      <c r="V128" s="2"/>
    </row>
    <row r="129" spans="1:22" s="120" customFormat="1" x14ac:dyDescent="0.2">
      <c r="A129" s="2"/>
      <c r="B129" s="2"/>
      <c r="C129" s="2"/>
      <c r="D129" s="2"/>
      <c r="E129" s="2"/>
      <c r="F129" s="2"/>
      <c r="G129" s="2"/>
      <c r="H129" s="2"/>
      <c r="I129" s="2"/>
      <c r="J129" s="2"/>
      <c r="K129" s="2"/>
      <c r="L129" s="2"/>
      <c r="M129" s="2"/>
      <c r="N129" s="2"/>
      <c r="O129" s="2"/>
      <c r="P129" s="2"/>
      <c r="Q129" s="2"/>
      <c r="R129" s="2"/>
      <c r="S129" s="2"/>
      <c r="T129" s="2"/>
      <c r="U129" s="2"/>
      <c r="V129" s="2"/>
    </row>
    <row r="130" spans="1:22" s="120" customFormat="1" x14ac:dyDescent="0.2">
      <c r="A130" s="2"/>
      <c r="B130" s="2"/>
      <c r="C130" s="2"/>
      <c r="D130" s="2"/>
      <c r="E130" s="2"/>
      <c r="F130" s="2"/>
      <c r="G130" s="2"/>
      <c r="H130" s="2"/>
      <c r="I130" s="2"/>
      <c r="J130" s="2"/>
      <c r="K130" s="2"/>
      <c r="L130" s="2"/>
      <c r="M130" s="2"/>
      <c r="N130" s="2"/>
      <c r="O130" s="2"/>
      <c r="P130" s="2"/>
      <c r="Q130" s="2"/>
      <c r="R130" s="2"/>
      <c r="S130" s="2"/>
      <c r="T130" s="2"/>
      <c r="U130" s="2"/>
      <c r="V130" s="2"/>
    </row>
    <row r="131" spans="1:22" s="120" customFormat="1" x14ac:dyDescent="0.2">
      <c r="A131" s="2"/>
      <c r="B131" s="2"/>
      <c r="C131" s="2"/>
      <c r="D131" s="2"/>
      <c r="E131" s="2"/>
      <c r="F131" s="2"/>
      <c r="G131" s="2"/>
      <c r="H131" s="2"/>
      <c r="I131" s="2"/>
      <c r="J131" s="2"/>
      <c r="K131" s="2"/>
      <c r="L131" s="2"/>
      <c r="M131" s="2"/>
      <c r="N131" s="2"/>
      <c r="O131" s="2"/>
      <c r="P131" s="2"/>
      <c r="Q131" s="2"/>
      <c r="R131" s="2"/>
      <c r="S131" s="2"/>
      <c r="T131" s="2"/>
      <c r="U131" s="2"/>
      <c r="V131" s="2"/>
    </row>
    <row r="132" spans="1:22" s="120" customFormat="1" x14ac:dyDescent="0.2">
      <c r="A132" s="2"/>
      <c r="B132" s="2"/>
      <c r="C132" s="2"/>
      <c r="D132" s="2"/>
      <c r="E132" s="2"/>
      <c r="F132" s="2"/>
      <c r="G132" s="2"/>
      <c r="H132" s="2"/>
      <c r="I132" s="2"/>
      <c r="J132" s="2"/>
      <c r="K132" s="2"/>
      <c r="L132" s="2"/>
      <c r="M132" s="2"/>
      <c r="N132" s="2"/>
      <c r="O132" s="2"/>
      <c r="P132" s="2"/>
      <c r="Q132" s="2"/>
      <c r="R132" s="2"/>
      <c r="S132" s="2"/>
      <c r="T132" s="2"/>
      <c r="U132" s="2"/>
      <c r="V132" s="2"/>
    </row>
    <row r="133" spans="1:22" s="120" customFormat="1" x14ac:dyDescent="0.2">
      <c r="A133" s="2"/>
      <c r="B133" s="2"/>
      <c r="C133" s="2"/>
      <c r="D133" s="2"/>
      <c r="E133" s="2"/>
      <c r="F133" s="2"/>
      <c r="G133" s="2"/>
      <c r="H133" s="2"/>
      <c r="I133" s="2"/>
      <c r="J133" s="2"/>
      <c r="K133" s="2"/>
      <c r="L133" s="2"/>
      <c r="M133" s="2"/>
      <c r="N133" s="2"/>
      <c r="O133" s="2"/>
      <c r="P133" s="2"/>
      <c r="Q133" s="2"/>
      <c r="R133" s="2"/>
      <c r="S133" s="2"/>
      <c r="T133" s="2"/>
      <c r="U133" s="2"/>
      <c r="V133" s="2"/>
    </row>
    <row r="134" spans="1:22" s="120" customFormat="1" x14ac:dyDescent="0.2">
      <c r="A134" s="2"/>
      <c r="B134" s="2"/>
      <c r="C134" s="2"/>
      <c r="D134" s="2"/>
      <c r="E134" s="2"/>
      <c r="F134" s="2"/>
      <c r="G134" s="2"/>
      <c r="H134" s="2"/>
      <c r="I134" s="2"/>
      <c r="J134" s="2"/>
      <c r="K134" s="2"/>
      <c r="L134" s="2"/>
      <c r="M134" s="2"/>
      <c r="N134" s="2"/>
      <c r="O134" s="2"/>
      <c r="P134" s="2"/>
      <c r="Q134" s="2"/>
      <c r="R134" s="2"/>
      <c r="S134" s="2"/>
      <c r="T134" s="2"/>
      <c r="U134" s="2"/>
      <c r="V134" s="2"/>
    </row>
    <row r="135" spans="1:22" s="120" customFormat="1" x14ac:dyDescent="0.2">
      <c r="A135" s="2"/>
      <c r="B135" s="2"/>
      <c r="C135" s="2"/>
      <c r="D135" s="2"/>
      <c r="E135" s="2"/>
      <c r="F135" s="2"/>
      <c r="G135" s="2"/>
      <c r="H135" s="2"/>
      <c r="I135" s="2"/>
      <c r="J135" s="2"/>
      <c r="K135" s="2"/>
      <c r="L135" s="2"/>
      <c r="M135" s="2"/>
      <c r="N135" s="2"/>
      <c r="O135" s="2"/>
      <c r="P135" s="2"/>
      <c r="Q135" s="2"/>
      <c r="R135" s="2"/>
      <c r="S135" s="2"/>
      <c r="T135" s="2"/>
      <c r="U135" s="2"/>
      <c r="V135" s="2"/>
    </row>
    <row r="136" spans="1:22" s="120" customFormat="1" x14ac:dyDescent="0.2">
      <c r="A136" s="2"/>
      <c r="B136" s="2"/>
      <c r="C136" s="2"/>
      <c r="D136" s="2"/>
      <c r="E136" s="2"/>
      <c r="F136" s="2"/>
      <c r="G136" s="2"/>
      <c r="H136" s="2"/>
      <c r="I136" s="2"/>
      <c r="J136" s="2"/>
      <c r="K136" s="2"/>
      <c r="L136" s="2"/>
      <c r="M136" s="2"/>
      <c r="N136" s="2"/>
      <c r="O136" s="2"/>
      <c r="P136" s="2"/>
      <c r="Q136" s="2"/>
      <c r="R136" s="2"/>
      <c r="S136" s="2"/>
      <c r="T136" s="2"/>
      <c r="U136" s="2"/>
      <c r="V136" s="2"/>
    </row>
    <row r="137" spans="1:22" s="120" customFormat="1" x14ac:dyDescent="0.2">
      <c r="A137" s="2"/>
      <c r="B137" s="2"/>
      <c r="C137" s="2"/>
      <c r="D137" s="2"/>
      <c r="E137" s="2"/>
      <c r="F137" s="2"/>
      <c r="G137" s="2"/>
      <c r="H137" s="2"/>
      <c r="I137" s="2"/>
      <c r="J137" s="2"/>
      <c r="K137" s="2"/>
      <c r="L137" s="2"/>
      <c r="M137" s="2"/>
      <c r="N137" s="2"/>
      <c r="O137" s="2"/>
      <c r="P137" s="2"/>
      <c r="Q137" s="2"/>
      <c r="R137" s="2"/>
      <c r="S137" s="2"/>
      <c r="T137" s="2"/>
      <c r="U137" s="2"/>
      <c r="V137" s="2"/>
    </row>
    <row r="138" spans="1:22" s="120" customFormat="1" x14ac:dyDescent="0.2">
      <c r="A138" s="2"/>
      <c r="B138" s="2"/>
      <c r="C138" s="2"/>
      <c r="D138" s="2"/>
      <c r="E138" s="2"/>
      <c r="F138" s="2"/>
      <c r="G138" s="2"/>
      <c r="H138" s="2"/>
      <c r="I138" s="2"/>
      <c r="J138" s="2"/>
      <c r="K138" s="2"/>
      <c r="L138" s="2"/>
      <c r="M138" s="2"/>
      <c r="N138" s="2"/>
      <c r="O138" s="2"/>
      <c r="P138" s="2"/>
      <c r="Q138" s="2"/>
      <c r="R138" s="2"/>
      <c r="S138" s="2"/>
      <c r="T138" s="2"/>
      <c r="U138" s="2"/>
      <c r="V138" s="2"/>
    </row>
    <row r="139" spans="1:22" s="120" customFormat="1" x14ac:dyDescent="0.2">
      <c r="A139" s="2"/>
      <c r="B139" s="2"/>
      <c r="C139" s="2"/>
      <c r="D139" s="2"/>
      <c r="E139" s="2"/>
      <c r="F139" s="2"/>
      <c r="G139" s="2"/>
      <c r="H139" s="2"/>
      <c r="I139" s="2"/>
      <c r="J139" s="2"/>
      <c r="K139" s="2"/>
      <c r="L139" s="2"/>
      <c r="M139" s="2"/>
      <c r="N139" s="2"/>
      <c r="O139" s="2"/>
      <c r="P139" s="2"/>
      <c r="Q139" s="2"/>
      <c r="R139" s="2"/>
      <c r="S139" s="2"/>
      <c r="T139" s="2"/>
      <c r="U139" s="2"/>
      <c r="V139" s="2"/>
    </row>
    <row r="140" spans="1:22" s="120" customFormat="1" x14ac:dyDescent="0.2">
      <c r="A140" s="2"/>
      <c r="B140" s="2"/>
      <c r="C140" s="2"/>
      <c r="D140" s="2"/>
      <c r="E140" s="2"/>
      <c r="F140" s="2"/>
      <c r="G140" s="2"/>
      <c r="H140" s="2"/>
      <c r="I140" s="2"/>
      <c r="J140" s="2"/>
      <c r="K140" s="2"/>
      <c r="L140" s="2"/>
      <c r="M140" s="2"/>
      <c r="N140" s="2"/>
      <c r="O140" s="2"/>
      <c r="P140" s="2"/>
      <c r="Q140" s="2"/>
      <c r="R140" s="2"/>
      <c r="S140" s="2"/>
      <c r="T140" s="2"/>
      <c r="U140" s="2"/>
      <c r="V140" s="2"/>
    </row>
    <row r="141" spans="1:22" s="120" customFormat="1" x14ac:dyDescent="0.2">
      <c r="A141" s="2"/>
      <c r="B141" s="2"/>
      <c r="C141" s="2"/>
      <c r="D141" s="2"/>
      <c r="E141" s="2"/>
      <c r="F141" s="2"/>
      <c r="G141" s="2"/>
      <c r="H141" s="2"/>
      <c r="I141" s="2"/>
      <c r="J141" s="2"/>
      <c r="K141" s="2"/>
      <c r="L141" s="2"/>
      <c r="M141" s="2"/>
      <c r="N141" s="2"/>
      <c r="O141" s="2"/>
      <c r="P141" s="2"/>
      <c r="Q141" s="2"/>
      <c r="R141" s="2"/>
      <c r="S141" s="2"/>
      <c r="T141" s="2"/>
      <c r="U141" s="2"/>
      <c r="V141" s="2"/>
    </row>
    <row r="142" spans="1:22" s="120" customFormat="1" x14ac:dyDescent="0.2">
      <c r="A142" s="2"/>
      <c r="B142" s="2"/>
      <c r="C142" s="2"/>
      <c r="D142" s="2"/>
      <c r="E142" s="2"/>
      <c r="F142" s="2"/>
      <c r="G142" s="2"/>
      <c r="H142" s="2"/>
      <c r="I142" s="2"/>
      <c r="J142" s="2"/>
      <c r="K142" s="2"/>
      <c r="L142" s="2"/>
      <c r="M142" s="2"/>
      <c r="N142" s="2"/>
      <c r="O142" s="2"/>
      <c r="P142" s="2"/>
      <c r="Q142" s="2"/>
      <c r="R142" s="2"/>
      <c r="S142" s="2"/>
      <c r="T142" s="2"/>
      <c r="U142" s="2"/>
      <c r="V142" s="2"/>
    </row>
    <row r="143" spans="1:22" s="120" customFormat="1" x14ac:dyDescent="0.2">
      <c r="A143" s="2"/>
      <c r="B143" s="2"/>
      <c r="C143" s="2"/>
      <c r="D143" s="2"/>
      <c r="E143" s="2"/>
      <c r="F143" s="2"/>
      <c r="G143" s="2"/>
      <c r="H143" s="2"/>
      <c r="I143" s="2"/>
      <c r="J143" s="2"/>
      <c r="K143" s="2"/>
      <c r="L143" s="2"/>
      <c r="M143" s="2"/>
      <c r="N143" s="2"/>
      <c r="O143" s="2"/>
      <c r="P143" s="2"/>
      <c r="Q143" s="2"/>
      <c r="R143" s="2"/>
      <c r="S143" s="2"/>
      <c r="T143" s="2"/>
      <c r="U143" s="2"/>
      <c r="V143" s="2"/>
    </row>
    <row r="144" spans="1:22" s="120" customFormat="1" x14ac:dyDescent="0.2">
      <c r="A144" s="2"/>
      <c r="B144" s="2"/>
      <c r="C144" s="2"/>
      <c r="D144" s="2"/>
      <c r="E144" s="2"/>
      <c r="F144" s="2"/>
      <c r="G144" s="2"/>
      <c r="H144" s="2"/>
      <c r="I144" s="2"/>
      <c r="J144" s="2"/>
      <c r="K144" s="2"/>
      <c r="L144" s="2"/>
      <c r="M144" s="2"/>
      <c r="N144" s="2"/>
      <c r="O144" s="2"/>
      <c r="P144" s="2"/>
      <c r="Q144" s="2"/>
      <c r="R144" s="2"/>
      <c r="S144" s="2"/>
      <c r="T144" s="2"/>
      <c r="U144" s="2"/>
      <c r="V144" s="2"/>
    </row>
    <row r="145" spans="1:22" s="120" customFormat="1" x14ac:dyDescent="0.2">
      <c r="A145" s="2"/>
      <c r="B145" s="2"/>
      <c r="C145" s="2"/>
      <c r="D145" s="2"/>
      <c r="E145" s="2"/>
      <c r="F145" s="2"/>
      <c r="G145" s="2"/>
      <c r="H145" s="2"/>
      <c r="I145" s="2"/>
      <c r="J145" s="2"/>
      <c r="K145" s="2"/>
      <c r="L145" s="2"/>
      <c r="M145" s="2"/>
      <c r="N145" s="2"/>
      <c r="O145" s="2"/>
      <c r="P145" s="2"/>
      <c r="Q145" s="2"/>
      <c r="R145" s="2"/>
      <c r="S145" s="2"/>
      <c r="T145" s="2"/>
      <c r="U145" s="2"/>
      <c r="V145" s="2"/>
    </row>
    <row r="146" spans="1:22" s="120" customFormat="1" x14ac:dyDescent="0.2">
      <c r="A146" s="2"/>
      <c r="B146" s="2"/>
      <c r="C146" s="2"/>
      <c r="D146" s="2"/>
      <c r="E146" s="2"/>
      <c r="F146" s="2"/>
      <c r="G146" s="2"/>
      <c r="H146" s="2"/>
      <c r="I146" s="2"/>
      <c r="J146" s="2"/>
      <c r="K146" s="2"/>
      <c r="L146" s="2"/>
      <c r="M146" s="2"/>
      <c r="N146" s="2"/>
      <c r="O146" s="2"/>
      <c r="P146" s="2"/>
      <c r="Q146" s="2"/>
      <c r="R146" s="2"/>
      <c r="S146" s="2"/>
      <c r="T146" s="2"/>
      <c r="U146" s="2"/>
      <c r="V146" s="2"/>
    </row>
    <row r="147" spans="1:22" s="120" customFormat="1" x14ac:dyDescent="0.2">
      <c r="A147" s="2"/>
      <c r="B147" s="2"/>
      <c r="C147" s="2"/>
      <c r="D147" s="2"/>
      <c r="E147" s="2"/>
      <c r="F147" s="2"/>
      <c r="G147" s="2"/>
      <c r="H147" s="2"/>
      <c r="I147" s="2"/>
      <c r="J147" s="2"/>
      <c r="K147" s="2"/>
      <c r="L147" s="2"/>
      <c r="M147" s="2"/>
      <c r="N147" s="2"/>
      <c r="O147" s="2"/>
      <c r="P147" s="2"/>
      <c r="Q147" s="2"/>
      <c r="R147" s="2"/>
      <c r="S147" s="2"/>
      <c r="T147" s="2"/>
      <c r="U147" s="2"/>
      <c r="V147" s="2"/>
    </row>
    <row r="148" spans="1:22" s="120" customFormat="1" x14ac:dyDescent="0.2">
      <c r="A148" s="2"/>
      <c r="B148" s="2"/>
      <c r="C148" s="2"/>
      <c r="D148" s="2"/>
      <c r="E148" s="2"/>
      <c r="F148" s="2"/>
      <c r="G148" s="2"/>
      <c r="H148" s="2"/>
      <c r="I148" s="2"/>
      <c r="J148" s="2"/>
      <c r="K148" s="2"/>
      <c r="L148" s="2"/>
      <c r="M148" s="2"/>
      <c r="N148" s="2"/>
      <c r="O148" s="2"/>
      <c r="P148" s="2"/>
      <c r="Q148" s="2"/>
      <c r="R148" s="2"/>
      <c r="S148" s="2"/>
      <c r="T148" s="2"/>
      <c r="U148" s="2"/>
      <c r="V148" s="2"/>
    </row>
    <row r="149" spans="1:22" s="120" customFormat="1" x14ac:dyDescent="0.2">
      <c r="A149" s="2"/>
      <c r="B149" s="2"/>
      <c r="C149" s="2"/>
      <c r="D149" s="2"/>
      <c r="E149" s="2"/>
      <c r="F149" s="2"/>
      <c r="G149" s="2"/>
      <c r="H149" s="2"/>
      <c r="I149" s="2"/>
      <c r="J149" s="2"/>
      <c r="K149" s="2"/>
      <c r="L149" s="2"/>
      <c r="M149" s="2"/>
      <c r="N149" s="2"/>
      <c r="O149" s="2"/>
      <c r="P149" s="2"/>
      <c r="Q149" s="2"/>
      <c r="R149" s="2"/>
      <c r="S149" s="2"/>
      <c r="T149" s="2"/>
      <c r="U149" s="2"/>
      <c r="V149" s="2"/>
    </row>
    <row r="150" spans="1:22" s="120" customFormat="1" x14ac:dyDescent="0.2">
      <c r="A150" s="2"/>
      <c r="B150" s="2"/>
      <c r="C150" s="2"/>
      <c r="D150" s="2"/>
      <c r="E150" s="2"/>
      <c r="F150" s="2"/>
      <c r="G150" s="2"/>
      <c r="H150" s="2"/>
      <c r="I150" s="2"/>
      <c r="J150" s="2"/>
      <c r="K150" s="2"/>
      <c r="L150" s="2"/>
      <c r="M150" s="2"/>
      <c r="N150" s="2"/>
      <c r="O150" s="2"/>
      <c r="P150" s="2"/>
      <c r="Q150" s="2"/>
      <c r="R150" s="2"/>
      <c r="S150" s="2"/>
      <c r="T150" s="2"/>
      <c r="U150" s="2"/>
      <c r="V150" s="2"/>
    </row>
    <row r="151" spans="1:22" s="120" customFormat="1" x14ac:dyDescent="0.2">
      <c r="A151" s="2"/>
      <c r="B151" s="2"/>
      <c r="C151" s="2"/>
      <c r="D151" s="2"/>
      <c r="E151" s="2"/>
      <c r="F151" s="2"/>
      <c r="G151" s="2"/>
      <c r="H151" s="2"/>
      <c r="I151" s="2"/>
      <c r="J151" s="2"/>
      <c r="K151" s="2"/>
      <c r="L151" s="2"/>
      <c r="M151" s="2"/>
      <c r="N151" s="2"/>
      <c r="O151" s="2"/>
      <c r="P151" s="2"/>
      <c r="Q151" s="2"/>
      <c r="R151" s="2"/>
      <c r="S151" s="2"/>
      <c r="T151" s="2"/>
      <c r="U151" s="2"/>
      <c r="V151" s="2"/>
    </row>
    <row r="152" spans="1:22" s="120" customFormat="1" x14ac:dyDescent="0.2">
      <c r="A152" s="2"/>
      <c r="B152" s="2"/>
      <c r="C152" s="2"/>
      <c r="D152" s="2"/>
      <c r="E152" s="2"/>
      <c r="F152" s="2"/>
      <c r="G152" s="2"/>
      <c r="H152" s="2"/>
      <c r="I152" s="2"/>
      <c r="J152" s="2"/>
      <c r="K152" s="2"/>
      <c r="L152" s="2"/>
      <c r="M152" s="2"/>
      <c r="N152" s="2"/>
      <c r="O152" s="2"/>
      <c r="P152" s="2"/>
      <c r="Q152" s="2"/>
      <c r="R152" s="2"/>
      <c r="S152" s="2"/>
      <c r="T152" s="2"/>
      <c r="U152" s="2"/>
      <c r="V152" s="2"/>
    </row>
    <row r="153" spans="1:22" s="120" customFormat="1" x14ac:dyDescent="0.2">
      <c r="A153" s="2"/>
      <c r="B153" s="2"/>
      <c r="C153" s="2"/>
      <c r="D153" s="2"/>
      <c r="E153" s="2"/>
      <c r="F153" s="2"/>
      <c r="G153" s="2"/>
      <c r="H153" s="2"/>
      <c r="I153" s="2"/>
      <c r="J153" s="2"/>
      <c r="K153" s="2"/>
      <c r="L153" s="2"/>
      <c r="M153" s="2"/>
      <c r="N153" s="2"/>
      <c r="O153" s="2"/>
      <c r="P153" s="2"/>
      <c r="Q153" s="2"/>
      <c r="R153" s="2"/>
      <c r="S153" s="2"/>
      <c r="T153" s="2"/>
      <c r="U153" s="2"/>
      <c r="V153" s="2"/>
    </row>
    <row r="154" spans="1:22" s="120" customFormat="1" x14ac:dyDescent="0.2">
      <c r="A154" s="2"/>
      <c r="B154" s="2"/>
      <c r="C154" s="2"/>
      <c r="D154" s="2"/>
      <c r="E154" s="2"/>
      <c r="F154" s="2"/>
      <c r="G154" s="2"/>
      <c r="H154" s="2"/>
      <c r="I154" s="2"/>
      <c r="J154" s="2"/>
      <c r="K154" s="2"/>
      <c r="L154" s="2"/>
      <c r="M154" s="2"/>
      <c r="N154" s="2"/>
      <c r="O154" s="2"/>
      <c r="P154" s="2"/>
      <c r="Q154" s="2"/>
      <c r="R154" s="2"/>
      <c r="S154" s="2"/>
      <c r="T154" s="2"/>
      <c r="U154" s="2"/>
      <c r="V154" s="2"/>
    </row>
    <row r="155" spans="1:22" s="120" customFormat="1" x14ac:dyDescent="0.2">
      <c r="A155" s="2"/>
      <c r="B155" s="2"/>
      <c r="C155" s="2"/>
      <c r="D155" s="2"/>
      <c r="E155" s="2"/>
      <c r="F155" s="2"/>
      <c r="G155" s="2"/>
      <c r="H155" s="2"/>
      <c r="I155" s="2"/>
      <c r="J155" s="2"/>
      <c r="K155" s="2"/>
      <c r="L155" s="2"/>
      <c r="M155" s="2"/>
      <c r="N155" s="2"/>
      <c r="O155" s="2"/>
      <c r="P155" s="2"/>
      <c r="Q155" s="2"/>
      <c r="R155" s="2"/>
      <c r="S155" s="2"/>
      <c r="T155" s="2"/>
      <c r="U155" s="2"/>
      <c r="V155" s="2"/>
    </row>
    <row r="156" spans="1:22" s="120" customFormat="1" x14ac:dyDescent="0.2">
      <c r="A156" s="2"/>
      <c r="B156" s="2"/>
      <c r="C156" s="2"/>
      <c r="D156" s="2"/>
      <c r="E156" s="2"/>
      <c r="F156" s="2"/>
      <c r="G156" s="2"/>
      <c r="H156" s="2"/>
      <c r="I156" s="2"/>
      <c r="J156" s="2"/>
      <c r="K156" s="2"/>
      <c r="L156" s="2"/>
      <c r="M156" s="2"/>
      <c r="N156" s="2"/>
      <c r="O156" s="2"/>
      <c r="P156" s="2"/>
      <c r="Q156" s="2"/>
      <c r="R156" s="2"/>
      <c r="S156" s="2"/>
      <c r="T156" s="2"/>
      <c r="U156" s="2"/>
      <c r="V156" s="2"/>
    </row>
    <row r="157" spans="1:22" s="120" customFormat="1" x14ac:dyDescent="0.2">
      <c r="A157" s="2"/>
      <c r="B157" s="2"/>
      <c r="C157" s="2"/>
      <c r="D157" s="2"/>
      <c r="E157" s="2"/>
      <c r="F157" s="2"/>
      <c r="G157" s="2"/>
      <c r="H157" s="2"/>
      <c r="I157" s="2"/>
      <c r="J157" s="2"/>
      <c r="K157" s="2"/>
      <c r="L157" s="2"/>
      <c r="M157" s="2"/>
      <c r="N157" s="2"/>
      <c r="O157" s="2"/>
      <c r="P157" s="2"/>
      <c r="Q157" s="2"/>
      <c r="R157" s="2"/>
      <c r="S157" s="2"/>
      <c r="T157" s="2"/>
      <c r="U157" s="2"/>
      <c r="V157" s="2"/>
    </row>
    <row r="158" spans="1:22" s="120" customFormat="1" x14ac:dyDescent="0.2">
      <c r="A158" s="2"/>
      <c r="B158" s="2"/>
      <c r="C158" s="2"/>
      <c r="D158" s="2"/>
      <c r="E158" s="2"/>
      <c r="F158" s="2"/>
      <c r="G158" s="2"/>
      <c r="H158" s="2"/>
      <c r="I158" s="2"/>
      <c r="J158" s="2"/>
      <c r="K158" s="2"/>
      <c r="L158" s="2"/>
      <c r="M158" s="2"/>
      <c r="N158" s="2"/>
      <c r="O158" s="2"/>
      <c r="P158" s="2"/>
      <c r="Q158" s="2"/>
      <c r="R158" s="2"/>
      <c r="S158" s="2"/>
      <c r="T158" s="2"/>
      <c r="U158" s="2"/>
      <c r="V158" s="2"/>
    </row>
    <row r="159" spans="1:22" s="120" customFormat="1" x14ac:dyDescent="0.2">
      <c r="A159" s="2"/>
      <c r="B159" s="2"/>
      <c r="C159" s="2"/>
      <c r="D159" s="2"/>
      <c r="E159" s="2"/>
      <c r="F159" s="2"/>
      <c r="G159" s="2"/>
      <c r="H159" s="2"/>
      <c r="I159" s="2"/>
      <c r="J159" s="2"/>
      <c r="K159" s="2"/>
      <c r="L159" s="2"/>
      <c r="M159" s="2"/>
      <c r="N159" s="2"/>
      <c r="O159" s="2"/>
      <c r="P159" s="2"/>
      <c r="Q159" s="2"/>
      <c r="R159" s="2"/>
      <c r="S159" s="2"/>
      <c r="T159" s="2"/>
      <c r="U159" s="2"/>
      <c r="V159" s="2"/>
    </row>
    <row r="160" spans="1:22" s="120" customFormat="1" x14ac:dyDescent="0.2">
      <c r="A160" s="2"/>
      <c r="B160" s="2"/>
      <c r="C160" s="2"/>
      <c r="D160" s="2"/>
      <c r="E160" s="2"/>
      <c r="F160" s="2"/>
      <c r="G160" s="2"/>
      <c r="H160" s="2"/>
      <c r="I160" s="2"/>
      <c r="J160" s="2"/>
      <c r="K160" s="2"/>
      <c r="L160" s="2"/>
      <c r="M160" s="2"/>
      <c r="N160" s="2"/>
      <c r="O160" s="2"/>
      <c r="P160" s="2"/>
      <c r="Q160" s="2"/>
      <c r="R160" s="2"/>
      <c r="S160" s="2"/>
      <c r="T160" s="2"/>
      <c r="U160" s="2"/>
      <c r="V160" s="2"/>
    </row>
    <row r="161" spans="1:22" s="120" customFormat="1" x14ac:dyDescent="0.2">
      <c r="A161" s="2"/>
      <c r="B161" s="2"/>
      <c r="C161" s="2"/>
      <c r="D161" s="2"/>
      <c r="E161" s="2"/>
      <c r="F161" s="2"/>
      <c r="G161" s="2"/>
      <c r="H161" s="2"/>
      <c r="I161" s="2"/>
      <c r="J161" s="2"/>
      <c r="K161" s="2"/>
      <c r="L161" s="2"/>
      <c r="M161" s="2"/>
      <c r="N161" s="2"/>
      <c r="O161" s="2"/>
      <c r="P161" s="2"/>
      <c r="Q161" s="2"/>
      <c r="R161" s="2"/>
      <c r="S161" s="2"/>
      <c r="T161" s="2"/>
      <c r="U161" s="2"/>
      <c r="V161" s="2"/>
    </row>
    <row r="162" spans="1:22" s="120" customFormat="1" x14ac:dyDescent="0.2">
      <c r="A162" s="2"/>
      <c r="B162" s="2"/>
      <c r="C162" s="2"/>
      <c r="D162" s="2"/>
      <c r="E162" s="2"/>
      <c r="F162" s="2"/>
      <c r="G162" s="2"/>
      <c r="H162" s="2"/>
      <c r="I162" s="2"/>
      <c r="J162" s="2"/>
      <c r="K162" s="2"/>
      <c r="L162" s="2"/>
      <c r="M162" s="2"/>
      <c r="N162" s="2"/>
      <c r="O162" s="2"/>
      <c r="P162" s="2"/>
      <c r="Q162" s="2"/>
      <c r="R162" s="2"/>
      <c r="S162" s="2"/>
      <c r="T162" s="2"/>
      <c r="U162" s="2"/>
      <c r="V162" s="2"/>
    </row>
    <row r="163" spans="1:22" s="120" customFormat="1" x14ac:dyDescent="0.2">
      <c r="A163" s="2"/>
      <c r="B163" s="2"/>
      <c r="C163" s="2"/>
      <c r="D163" s="2"/>
      <c r="E163" s="2"/>
      <c r="F163" s="2"/>
      <c r="G163" s="2"/>
      <c r="H163" s="2"/>
      <c r="I163" s="2"/>
      <c r="J163" s="2"/>
      <c r="K163" s="2"/>
      <c r="L163" s="2"/>
      <c r="M163" s="2"/>
      <c r="N163" s="2"/>
      <c r="O163" s="2"/>
      <c r="P163" s="2"/>
      <c r="Q163" s="2"/>
      <c r="R163" s="2"/>
      <c r="S163" s="2"/>
      <c r="T163" s="2"/>
      <c r="U163" s="2"/>
      <c r="V163" s="2"/>
    </row>
    <row r="164" spans="1:22" s="120" customFormat="1" x14ac:dyDescent="0.2">
      <c r="A164" s="2"/>
      <c r="B164" s="2"/>
      <c r="C164" s="2"/>
      <c r="D164" s="2"/>
      <c r="E164" s="2"/>
      <c r="F164" s="2"/>
      <c r="G164" s="2"/>
      <c r="H164" s="2"/>
      <c r="I164" s="2"/>
      <c r="J164" s="2"/>
      <c r="K164" s="2"/>
      <c r="L164" s="2"/>
      <c r="M164" s="2"/>
      <c r="N164" s="2"/>
      <c r="O164" s="2"/>
      <c r="P164" s="2"/>
      <c r="Q164" s="2"/>
      <c r="R164" s="2"/>
      <c r="S164" s="2"/>
      <c r="T164" s="2"/>
      <c r="U164" s="2"/>
      <c r="V164" s="2"/>
    </row>
    <row r="165" spans="1:22" s="120" customFormat="1" x14ac:dyDescent="0.2">
      <c r="A165" s="2"/>
      <c r="B165" s="2"/>
      <c r="C165" s="2"/>
      <c r="D165" s="2"/>
      <c r="E165" s="2"/>
      <c r="F165" s="2"/>
      <c r="G165" s="2"/>
      <c r="H165" s="2"/>
      <c r="I165" s="2"/>
      <c r="J165" s="2"/>
      <c r="K165" s="2"/>
      <c r="L165" s="2"/>
      <c r="M165" s="2"/>
      <c r="N165" s="2"/>
      <c r="O165" s="2"/>
      <c r="P165" s="2"/>
      <c r="Q165" s="2"/>
      <c r="R165" s="2"/>
      <c r="S165" s="2"/>
      <c r="T165" s="2"/>
      <c r="U165" s="2"/>
      <c r="V165" s="2"/>
    </row>
    <row r="166" spans="1:22" s="120" customFormat="1" x14ac:dyDescent="0.2">
      <c r="A166" s="2"/>
      <c r="B166" s="2"/>
      <c r="C166" s="2"/>
      <c r="D166" s="2"/>
      <c r="E166" s="2"/>
      <c r="F166" s="2"/>
      <c r="G166" s="2"/>
      <c r="H166" s="2"/>
      <c r="I166" s="2"/>
      <c r="J166" s="2"/>
      <c r="K166" s="2"/>
      <c r="L166" s="2"/>
      <c r="M166" s="2"/>
      <c r="N166" s="2"/>
      <c r="O166" s="2"/>
      <c r="P166" s="2"/>
      <c r="Q166" s="2"/>
      <c r="R166" s="2"/>
      <c r="S166" s="2"/>
      <c r="T166" s="2"/>
      <c r="U166" s="2"/>
      <c r="V166" s="2"/>
    </row>
    <row r="167" spans="1:22" s="120" customFormat="1" x14ac:dyDescent="0.2">
      <c r="A167" s="2"/>
      <c r="B167" s="2"/>
      <c r="C167" s="2"/>
      <c r="D167" s="2"/>
      <c r="E167" s="2"/>
      <c r="F167" s="2"/>
      <c r="G167" s="2"/>
      <c r="H167" s="2"/>
      <c r="I167" s="2"/>
      <c r="J167" s="2"/>
      <c r="K167" s="2"/>
      <c r="L167" s="2"/>
      <c r="M167" s="2"/>
      <c r="N167" s="2"/>
      <c r="O167" s="2"/>
      <c r="P167" s="2"/>
      <c r="Q167" s="2"/>
      <c r="R167" s="2"/>
      <c r="S167" s="2"/>
      <c r="T167" s="2"/>
      <c r="U167" s="2"/>
      <c r="V167" s="2"/>
    </row>
    <row r="168" spans="1:22" s="120" customFormat="1" x14ac:dyDescent="0.2">
      <c r="A168" s="2"/>
      <c r="B168" s="2"/>
      <c r="C168" s="2"/>
      <c r="D168" s="2"/>
      <c r="E168" s="2"/>
      <c r="F168" s="2"/>
      <c r="G168" s="2"/>
      <c r="H168" s="2"/>
      <c r="I168" s="2"/>
      <c r="J168" s="2"/>
      <c r="K168" s="2"/>
      <c r="L168" s="2"/>
      <c r="M168" s="2"/>
      <c r="N168" s="2"/>
      <c r="O168" s="2"/>
      <c r="P168" s="2"/>
      <c r="Q168" s="2"/>
      <c r="R168" s="2"/>
      <c r="S168" s="2"/>
      <c r="T168" s="2"/>
      <c r="U168" s="2"/>
      <c r="V168" s="2"/>
    </row>
    <row r="169" spans="1:22" s="120" customFormat="1" x14ac:dyDescent="0.2">
      <c r="A169" s="2"/>
      <c r="B169" s="2"/>
      <c r="C169" s="2"/>
      <c r="D169" s="2"/>
      <c r="E169" s="2"/>
      <c r="F169" s="2"/>
      <c r="G169" s="2"/>
      <c r="H169" s="2"/>
      <c r="I169" s="2"/>
      <c r="J169" s="2"/>
      <c r="K169" s="2"/>
      <c r="L169" s="2"/>
      <c r="M169" s="2"/>
      <c r="N169" s="2"/>
      <c r="O169" s="2"/>
      <c r="P169" s="2"/>
      <c r="Q169" s="2"/>
      <c r="R169" s="2"/>
      <c r="S169" s="2"/>
      <c r="T169" s="2"/>
      <c r="U169" s="2"/>
      <c r="V169" s="2"/>
    </row>
    <row r="170" spans="1:22" s="120" customFormat="1" x14ac:dyDescent="0.2">
      <c r="A170" s="2"/>
      <c r="B170" s="2"/>
      <c r="C170" s="2"/>
      <c r="D170" s="2"/>
      <c r="E170" s="2"/>
      <c r="F170" s="2"/>
      <c r="G170" s="2"/>
      <c r="H170" s="2"/>
      <c r="I170" s="2"/>
      <c r="J170" s="2"/>
      <c r="K170" s="2"/>
      <c r="L170" s="2"/>
      <c r="M170" s="2"/>
      <c r="N170" s="2"/>
      <c r="O170" s="2"/>
      <c r="P170" s="2"/>
      <c r="Q170" s="2"/>
      <c r="R170" s="2"/>
      <c r="S170" s="2"/>
      <c r="T170" s="2"/>
      <c r="U170" s="2"/>
      <c r="V170" s="2"/>
    </row>
    <row r="171" spans="1:22" s="120" customFormat="1" x14ac:dyDescent="0.2">
      <c r="A171" s="2"/>
      <c r="B171" s="2"/>
      <c r="C171" s="2"/>
      <c r="D171" s="2"/>
      <c r="E171" s="2"/>
      <c r="F171" s="2"/>
      <c r="G171" s="2"/>
      <c r="H171" s="2"/>
      <c r="I171" s="2"/>
      <c r="J171" s="2"/>
      <c r="K171" s="2"/>
      <c r="L171" s="2"/>
      <c r="M171" s="2"/>
      <c r="N171" s="2"/>
      <c r="O171" s="2"/>
      <c r="P171" s="2"/>
      <c r="Q171" s="2"/>
      <c r="R171" s="2"/>
      <c r="S171" s="2"/>
      <c r="T171" s="2"/>
      <c r="U171" s="2"/>
      <c r="V171" s="2"/>
    </row>
    <row r="172" spans="1:22" s="120" customFormat="1" x14ac:dyDescent="0.2">
      <c r="A172" s="2"/>
      <c r="B172" s="2"/>
      <c r="C172" s="2"/>
      <c r="D172" s="2"/>
      <c r="E172" s="2"/>
      <c r="F172" s="2"/>
      <c r="G172" s="2"/>
      <c r="H172" s="2"/>
      <c r="I172" s="2"/>
      <c r="J172" s="2"/>
      <c r="K172" s="2"/>
      <c r="L172" s="2"/>
      <c r="M172" s="2"/>
      <c r="N172" s="2"/>
      <c r="O172" s="2"/>
      <c r="P172" s="2"/>
      <c r="Q172" s="2"/>
      <c r="R172" s="2"/>
      <c r="S172" s="2"/>
      <c r="T172" s="2"/>
      <c r="U172" s="2"/>
      <c r="V172" s="2"/>
    </row>
    <row r="173" spans="1:22" s="120" customFormat="1" x14ac:dyDescent="0.2">
      <c r="A173" s="2"/>
      <c r="B173" s="2"/>
      <c r="C173" s="2"/>
      <c r="D173" s="2"/>
      <c r="E173" s="2"/>
      <c r="F173" s="2"/>
      <c r="G173" s="2"/>
      <c r="H173" s="2"/>
      <c r="I173" s="2"/>
      <c r="J173" s="2"/>
      <c r="K173" s="2"/>
      <c r="L173" s="2"/>
      <c r="M173" s="2"/>
      <c r="N173" s="2"/>
      <c r="O173" s="2"/>
      <c r="P173" s="2"/>
      <c r="Q173" s="2"/>
      <c r="R173" s="2"/>
      <c r="S173" s="2"/>
      <c r="T173" s="2"/>
      <c r="U173" s="2"/>
      <c r="V173" s="2"/>
    </row>
    <row r="174" spans="1:22" s="120" customFormat="1" x14ac:dyDescent="0.2">
      <c r="A174" s="2"/>
      <c r="B174" s="2"/>
      <c r="C174" s="2"/>
      <c r="D174" s="2"/>
      <c r="E174" s="2"/>
      <c r="F174" s="2"/>
      <c r="G174" s="2"/>
      <c r="H174" s="2"/>
      <c r="I174" s="2"/>
      <c r="J174" s="2"/>
      <c r="K174" s="2"/>
      <c r="L174" s="2"/>
      <c r="M174" s="2"/>
      <c r="N174" s="2"/>
      <c r="O174" s="2"/>
      <c r="P174" s="2"/>
      <c r="Q174" s="2"/>
      <c r="R174" s="2"/>
      <c r="S174" s="2"/>
      <c r="T174" s="2"/>
      <c r="U174" s="2"/>
      <c r="V174" s="2"/>
    </row>
    <row r="175" spans="1:22" s="120" customFormat="1" x14ac:dyDescent="0.2">
      <c r="A175" s="2"/>
      <c r="B175" s="2"/>
      <c r="C175" s="2"/>
      <c r="D175" s="2"/>
      <c r="E175" s="2"/>
      <c r="F175" s="2"/>
      <c r="G175" s="2"/>
      <c r="H175" s="2"/>
      <c r="I175" s="2"/>
      <c r="J175" s="2"/>
      <c r="K175" s="2"/>
      <c r="L175" s="2"/>
      <c r="M175" s="2"/>
      <c r="N175" s="2"/>
      <c r="O175" s="2"/>
      <c r="P175" s="2"/>
      <c r="Q175" s="2"/>
      <c r="R175" s="2"/>
      <c r="S175" s="2"/>
      <c r="T175" s="2"/>
      <c r="U175" s="2"/>
      <c r="V175" s="2"/>
    </row>
    <row r="176" spans="1:22" s="120" customFormat="1" x14ac:dyDescent="0.2">
      <c r="A176" s="2"/>
      <c r="B176" s="2"/>
      <c r="C176" s="2"/>
      <c r="D176" s="2"/>
      <c r="E176" s="2"/>
      <c r="F176" s="2"/>
      <c r="G176" s="2"/>
      <c r="H176" s="2"/>
      <c r="I176" s="2"/>
      <c r="J176" s="2"/>
      <c r="K176" s="2"/>
      <c r="L176" s="2"/>
      <c r="M176" s="2"/>
      <c r="N176" s="2"/>
      <c r="O176" s="2"/>
      <c r="P176" s="2"/>
      <c r="Q176" s="2"/>
      <c r="R176" s="2"/>
      <c r="S176" s="2"/>
      <c r="T176" s="2"/>
      <c r="U176" s="2"/>
      <c r="V176" s="2"/>
    </row>
    <row r="177" spans="1:22" s="120" customFormat="1" x14ac:dyDescent="0.2">
      <c r="A177" s="2"/>
      <c r="B177" s="2"/>
      <c r="C177" s="2"/>
      <c r="D177" s="2"/>
      <c r="E177" s="2"/>
      <c r="F177" s="2"/>
      <c r="G177" s="2"/>
      <c r="H177" s="2"/>
      <c r="I177" s="2"/>
      <c r="J177" s="2"/>
      <c r="K177" s="2"/>
      <c r="L177" s="2"/>
      <c r="M177" s="2"/>
      <c r="N177" s="2"/>
      <c r="O177" s="2"/>
      <c r="P177" s="2"/>
      <c r="Q177" s="2"/>
      <c r="R177" s="2"/>
      <c r="S177" s="2"/>
      <c r="T177" s="2"/>
      <c r="U177" s="2"/>
      <c r="V177" s="2"/>
    </row>
    <row r="178" spans="1:22" s="120" customFormat="1" x14ac:dyDescent="0.2">
      <c r="A178" s="2"/>
      <c r="B178" s="2"/>
      <c r="C178" s="2"/>
      <c r="D178" s="2"/>
      <c r="E178" s="2"/>
      <c r="F178" s="2"/>
      <c r="G178" s="2"/>
      <c r="H178" s="2"/>
      <c r="I178" s="2"/>
      <c r="J178" s="2"/>
      <c r="K178" s="2"/>
      <c r="L178" s="2"/>
      <c r="M178" s="2"/>
      <c r="N178" s="2"/>
      <c r="O178" s="2"/>
      <c r="P178" s="2"/>
      <c r="Q178" s="2"/>
      <c r="R178" s="2"/>
      <c r="S178" s="2"/>
      <c r="T178" s="2"/>
      <c r="U178" s="2"/>
      <c r="V178" s="2"/>
    </row>
    <row r="179" spans="1:22" s="120" customFormat="1" x14ac:dyDescent="0.2">
      <c r="A179" s="2"/>
      <c r="B179" s="2"/>
      <c r="C179" s="2"/>
      <c r="D179" s="2"/>
      <c r="E179" s="2"/>
      <c r="F179" s="2"/>
      <c r="G179" s="2"/>
      <c r="H179" s="2"/>
      <c r="I179" s="2"/>
      <c r="J179" s="2"/>
      <c r="K179" s="2"/>
      <c r="L179" s="2"/>
      <c r="M179" s="2"/>
      <c r="N179" s="2"/>
      <c r="O179" s="2"/>
      <c r="P179" s="2"/>
      <c r="Q179" s="2"/>
      <c r="R179" s="2"/>
      <c r="S179" s="2"/>
      <c r="T179" s="2"/>
      <c r="U179" s="2"/>
      <c r="V179" s="2"/>
    </row>
    <row r="180" spans="1:22" s="120" customFormat="1" x14ac:dyDescent="0.2">
      <c r="A180" s="2"/>
      <c r="B180" s="2"/>
      <c r="C180" s="2"/>
      <c r="D180" s="2"/>
      <c r="E180" s="2"/>
      <c r="F180" s="2"/>
      <c r="G180" s="2"/>
      <c r="H180" s="2"/>
      <c r="I180" s="2"/>
      <c r="J180" s="2"/>
      <c r="K180" s="2"/>
      <c r="L180" s="2"/>
      <c r="M180" s="2"/>
      <c r="N180" s="2"/>
      <c r="O180" s="2"/>
      <c r="P180" s="2"/>
      <c r="Q180" s="2"/>
      <c r="R180" s="2"/>
      <c r="S180" s="2"/>
      <c r="T180" s="2"/>
      <c r="U180" s="2"/>
      <c r="V180" s="2"/>
    </row>
    <row r="181" spans="1:22" s="120" customFormat="1" x14ac:dyDescent="0.2">
      <c r="A181" s="2"/>
      <c r="B181" s="2"/>
      <c r="C181" s="2"/>
      <c r="D181" s="2"/>
      <c r="E181" s="2"/>
      <c r="F181" s="2"/>
      <c r="G181" s="2"/>
      <c r="H181" s="2"/>
      <c r="I181" s="2"/>
      <c r="J181" s="2"/>
      <c r="K181" s="2"/>
      <c r="L181" s="2"/>
      <c r="M181" s="2"/>
      <c r="N181" s="2"/>
      <c r="O181" s="2"/>
      <c r="P181" s="2"/>
      <c r="Q181" s="2"/>
      <c r="R181" s="2"/>
      <c r="S181" s="2"/>
      <c r="T181" s="2"/>
      <c r="U181" s="2"/>
      <c r="V181" s="2"/>
    </row>
    <row r="182" spans="1:22" s="120" customFormat="1" x14ac:dyDescent="0.2">
      <c r="A182" s="2"/>
      <c r="B182" s="2"/>
      <c r="C182" s="2"/>
      <c r="D182" s="2"/>
      <c r="E182" s="2"/>
      <c r="F182" s="2"/>
      <c r="G182" s="2"/>
      <c r="H182" s="2"/>
      <c r="I182" s="2"/>
      <c r="J182" s="2"/>
      <c r="K182" s="2"/>
      <c r="L182" s="2"/>
      <c r="M182" s="2"/>
      <c r="N182" s="2"/>
      <c r="O182" s="2"/>
      <c r="P182" s="2"/>
      <c r="Q182" s="2"/>
      <c r="R182" s="2"/>
      <c r="S182" s="2"/>
      <c r="T182" s="2"/>
      <c r="U182" s="2"/>
      <c r="V182" s="2"/>
    </row>
    <row r="183" spans="1:22" s="120" customFormat="1" x14ac:dyDescent="0.2">
      <c r="A183" s="2"/>
      <c r="B183" s="2"/>
      <c r="C183" s="2"/>
      <c r="D183" s="2"/>
      <c r="E183" s="2"/>
      <c r="F183" s="2"/>
      <c r="G183" s="2"/>
      <c r="H183" s="2"/>
      <c r="I183" s="2"/>
      <c r="J183" s="2"/>
      <c r="K183" s="2"/>
      <c r="L183" s="2"/>
      <c r="M183" s="2"/>
      <c r="N183" s="2"/>
      <c r="O183" s="2"/>
      <c r="P183" s="2"/>
      <c r="Q183" s="2"/>
      <c r="R183" s="2"/>
      <c r="S183" s="2"/>
      <c r="T183" s="2"/>
      <c r="U183" s="2"/>
      <c r="V183" s="2"/>
    </row>
    <row r="184" spans="1:22" s="120" customFormat="1" x14ac:dyDescent="0.2">
      <c r="A184" s="2"/>
      <c r="B184" s="2"/>
      <c r="C184" s="2"/>
      <c r="D184" s="2"/>
      <c r="E184" s="2"/>
      <c r="F184" s="2"/>
      <c r="G184" s="2"/>
      <c r="H184" s="2"/>
      <c r="I184" s="2"/>
      <c r="J184" s="2"/>
      <c r="K184" s="2"/>
      <c r="L184" s="2"/>
      <c r="M184" s="2"/>
      <c r="N184" s="2"/>
      <c r="O184" s="2"/>
      <c r="P184" s="2"/>
      <c r="Q184" s="2"/>
      <c r="R184" s="2"/>
      <c r="S184" s="2"/>
      <c r="T184" s="2"/>
      <c r="U184" s="2"/>
      <c r="V184" s="2"/>
    </row>
    <row r="185" spans="1:22" s="120" customFormat="1" x14ac:dyDescent="0.2">
      <c r="A185" s="2"/>
      <c r="B185" s="2"/>
      <c r="C185" s="2"/>
      <c r="D185" s="2"/>
      <c r="E185" s="2"/>
      <c r="F185" s="2"/>
      <c r="G185" s="2"/>
      <c r="H185" s="2"/>
      <c r="I185" s="2"/>
      <c r="J185" s="2"/>
      <c r="K185" s="2"/>
      <c r="L185" s="2"/>
      <c r="M185" s="2"/>
      <c r="N185" s="2"/>
      <c r="O185" s="2"/>
      <c r="P185" s="2"/>
      <c r="Q185" s="2"/>
      <c r="R185" s="2"/>
      <c r="S185" s="2"/>
      <c r="T185" s="2"/>
      <c r="U185" s="2"/>
      <c r="V185" s="2"/>
    </row>
    <row r="186" spans="1:22" s="120" customFormat="1" x14ac:dyDescent="0.2">
      <c r="A186" s="2"/>
      <c r="B186" s="2"/>
      <c r="C186" s="2"/>
      <c r="D186" s="2"/>
      <c r="E186" s="2"/>
      <c r="F186" s="2"/>
      <c r="G186" s="2"/>
      <c r="H186" s="2"/>
      <c r="I186" s="2"/>
      <c r="J186" s="2"/>
      <c r="K186" s="2"/>
      <c r="L186" s="2"/>
      <c r="M186" s="2"/>
      <c r="N186" s="2"/>
      <c r="O186" s="2"/>
      <c r="P186" s="2"/>
      <c r="Q186" s="2"/>
      <c r="R186" s="2"/>
      <c r="S186" s="2"/>
      <c r="T186" s="2"/>
      <c r="U186" s="2"/>
      <c r="V186" s="2"/>
    </row>
    <row r="187" spans="1:22" s="120" customFormat="1" x14ac:dyDescent="0.2">
      <c r="A187" s="2"/>
      <c r="B187" s="2"/>
      <c r="C187" s="2"/>
      <c r="D187" s="2"/>
      <c r="E187" s="2"/>
      <c r="F187" s="2"/>
      <c r="G187" s="2"/>
      <c r="H187" s="2"/>
      <c r="I187" s="2"/>
      <c r="J187" s="2"/>
      <c r="K187" s="2"/>
      <c r="L187" s="2"/>
      <c r="M187" s="2"/>
      <c r="N187" s="2"/>
      <c r="O187" s="2"/>
      <c r="P187" s="2"/>
      <c r="Q187" s="2"/>
      <c r="R187" s="2"/>
      <c r="S187" s="2"/>
      <c r="T187" s="2"/>
      <c r="U187" s="2"/>
      <c r="V187" s="2"/>
    </row>
    <row r="188" spans="1:22" s="120" customFormat="1" x14ac:dyDescent="0.2">
      <c r="A188" s="2"/>
      <c r="B188" s="2"/>
      <c r="C188" s="2"/>
      <c r="D188" s="2"/>
      <c r="E188" s="2"/>
      <c r="F188" s="2"/>
      <c r="G188" s="2"/>
      <c r="H188" s="2"/>
      <c r="I188" s="2"/>
      <c r="J188" s="2"/>
      <c r="K188" s="2"/>
      <c r="L188" s="2"/>
      <c r="M188" s="2"/>
      <c r="N188" s="2"/>
      <c r="O188" s="2"/>
      <c r="P188" s="2"/>
      <c r="Q188" s="2"/>
      <c r="R188" s="2"/>
      <c r="S188" s="2"/>
      <c r="T188" s="2"/>
      <c r="U188" s="2"/>
      <c r="V188" s="2"/>
    </row>
    <row r="189" spans="1:22" s="120" customFormat="1" x14ac:dyDescent="0.2">
      <c r="A189" s="2"/>
      <c r="B189" s="2"/>
      <c r="C189" s="2"/>
      <c r="D189" s="2"/>
      <c r="E189" s="2"/>
      <c r="F189" s="2"/>
      <c r="G189" s="2"/>
      <c r="H189" s="2"/>
      <c r="I189" s="2"/>
      <c r="J189" s="2"/>
      <c r="K189" s="2"/>
      <c r="L189" s="2"/>
      <c r="M189" s="2"/>
      <c r="N189" s="2"/>
      <c r="O189" s="2"/>
      <c r="P189" s="2"/>
      <c r="Q189" s="2"/>
      <c r="R189" s="2"/>
      <c r="S189" s="2"/>
      <c r="T189" s="2"/>
      <c r="U189" s="2"/>
      <c r="V189" s="2"/>
    </row>
    <row r="190" spans="1:22" s="120" customFormat="1" x14ac:dyDescent="0.2">
      <c r="A190" s="2"/>
      <c r="B190" s="2"/>
      <c r="C190" s="2"/>
      <c r="D190" s="2"/>
      <c r="E190" s="2"/>
      <c r="F190" s="2"/>
      <c r="G190" s="2"/>
      <c r="H190" s="2"/>
      <c r="I190" s="2"/>
      <c r="J190" s="2"/>
      <c r="K190" s="2"/>
      <c r="L190" s="2"/>
      <c r="M190" s="2"/>
      <c r="N190" s="2"/>
      <c r="O190" s="2"/>
      <c r="P190" s="2"/>
      <c r="Q190" s="2"/>
      <c r="R190" s="2"/>
      <c r="S190" s="2"/>
      <c r="T190" s="2"/>
      <c r="U190" s="2"/>
      <c r="V190" s="2"/>
    </row>
    <row r="191" spans="1:22" s="120" customFormat="1" x14ac:dyDescent="0.2">
      <c r="A191" s="2"/>
      <c r="B191" s="2"/>
      <c r="C191" s="2"/>
      <c r="D191" s="2"/>
      <c r="E191" s="2"/>
      <c r="F191" s="2"/>
      <c r="G191" s="2"/>
      <c r="H191" s="2"/>
      <c r="I191" s="2"/>
      <c r="J191" s="2"/>
      <c r="K191" s="2"/>
      <c r="L191" s="2"/>
      <c r="M191" s="2"/>
      <c r="N191" s="2"/>
      <c r="O191" s="2"/>
      <c r="P191" s="2"/>
      <c r="Q191" s="2"/>
      <c r="R191" s="2"/>
      <c r="S191" s="2"/>
      <c r="T191" s="2"/>
      <c r="U191" s="2"/>
      <c r="V191" s="2"/>
    </row>
    <row r="192" spans="1:22" s="120" customFormat="1" x14ac:dyDescent="0.2">
      <c r="A192" s="2"/>
      <c r="B192" s="2"/>
      <c r="C192" s="2"/>
      <c r="D192" s="2"/>
      <c r="E192" s="2"/>
      <c r="F192" s="2"/>
      <c r="G192" s="2"/>
      <c r="H192" s="2"/>
      <c r="I192" s="2"/>
      <c r="J192" s="2"/>
      <c r="K192" s="2"/>
      <c r="L192" s="2"/>
      <c r="M192" s="2"/>
      <c r="N192" s="2"/>
      <c r="O192" s="2"/>
      <c r="P192" s="2"/>
      <c r="Q192" s="2"/>
      <c r="R192" s="2"/>
      <c r="S192" s="2"/>
      <c r="T192" s="2"/>
      <c r="U192" s="2"/>
      <c r="V192" s="2"/>
    </row>
    <row r="193" spans="1:22" s="120" customFormat="1" x14ac:dyDescent="0.2">
      <c r="A193" s="2"/>
      <c r="B193" s="2"/>
      <c r="C193" s="2"/>
      <c r="D193" s="2"/>
      <c r="E193" s="2"/>
      <c r="F193" s="2"/>
      <c r="G193" s="2"/>
      <c r="H193" s="2"/>
      <c r="I193" s="2"/>
      <c r="J193" s="2"/>
      <c r="K193" s="2"/>
      <c r="L193" s="2"/>
      <c r="M193" s="2"/>
      <c r="N193" s="2"/>
      <c r="O193" s="2"/>
      <c r="P193" s="2"/>
      <c r="Q193" s="2"/>
      <c r="R193" s="2"/>
      <c r="S193" s="2"/>
      <c r="T193" s="2"/>
      <c r="U193" s="2"/>
      <c r="V193" s="2"/>
    </row>
    <row r="194" spans="1:22" s="120" customFormat="1" x14ac:dyDescent="0.2">
      <c r="A194" s="2"/>
      <c r="B194" s="2"/>
      <c r="C194" s="2"/>
      <c r="D194" s="2"/>
      <c r="E194" s="2"/>
      <c r="F194" s="2"/>
      <c r="G194" s="2"/>
      <c r="H194" s="2"/>
      <c r="I194" s="2"/>
      <c r="J194" s="2"/>
      <c r="K194" s="2"/>
      <c r="L194" s="2"/>
      <c r="M194" s="2"/>
      <c r="N194" s="2"/>
      <c r="O194" s="2"/>
      <c r="P194" s="2"/>
      <c r="Q194" s="2"/>
      <c r="R194" s="2"/>
      <c r="S194" s="2"/>
      <c r="T194" s="2"/>
      <c r="U194" s="2"/>
      <c r="V194" s="2"/>
    </row>
    <row r="195" spans="1:22" s="120" customFormat="1" x14ac:dyDescent="0.2">
      <c r="A195" s="2"/>
      <c r="B195" s="2"/>
      <c r="C195" s="2"/>
      <c r="D195" s="2"/>
      <c r="E195" s="2"/>
      <c r="F195" s="2"/>
      <c r="G195" s="2"/>
      <c r="H195" s="2"/>
      <c r="I195" s="2"/>
      <c r="J195" s="2"/>
      <c r="K195" s="2"/>
      <c r="L195" s="2"/>
      <c r="M195" s="2"/>
      <c r="N195" s="2"/>
      <c r="O195" s="2"/>
      <c r="P195" s="2"/>
      <c r="Q195" s="2"/>
      <c r="R195" s="2"/>
      <c r="S195" s="2"/>
      <c r="T195" s="2"/>
      <c r="U195" s="2"/>
      <c r="V195" s="2"/>
    </row>
    <row r="196" spans="1:22" s="120" customFormat="1" x14ac:dyDescent="0.2">
      <c r="A196" s="2"/>
      <c r="B196" s="2"/>
      <c r="C196" s="2"/>
      <c r="D196" s="2"/>
      <c r="E196" s="2"/>
      <c r="F196" s="2"/>
      <c r="G196" s="2"/>
      <c r="H196" s="2"/>
      <c r="I196" s="2"/>
      <c r="J196" s="2"/>
      <c r="K196" s="2"/>
      <c r="L196" s="2"/>
      <c r="M196" s="2"/>
      <c r="N196" s="2"/>
      <c r="O196" s="2"/>
      <c r="P196" s="2"/>
      <c r="Q196" s="2"/>
      <c r="R196" s="2"/>
      <c r="S196" s="2"/>
      <c r="T196" s="2"/>
      <c r="U196" s="2"/>
      <c r="V196" s="2"/>
    </row>
    <row r="197" spans="1:22" s="120" customFormat="1" x14ac:dyDescent="0.2">
      <c r="A197" s="2"/>
      <c r="B197" s="2"/>
      <c r="C197" s="2"/>
      <c r="D197" s="2"/>
      <c r="E197" s="2"/>
      <c r="F197" s="2"/>
      <c r="G197" s="2"/>
      <c r="H197" s="2"/>
      <c r="I197" s="2"/>
      <c r="J197" s="2"/>
      <c r="K197" s="2"/>
      <c r="L197" s="2"/>
      <c r="M197" s="2"/>
      <c r="N197" s="2"/>
      <c r="O197" s="2"/>
      <c r="P197" s="2"/>
      <c r="Q197" s="2"/>
      <c r="R197" s="2"/>
      <c r="S197" s="2"/>
      <c r="T197" s="2"/>
      <c r="U197" s="2"/>
      <c r="V197" s="2"/>
    </row>
    <row r="198" spans="1:22" s="120" customFormat="1" x14ac:dyDescent="0.2">
      <c r="A198" s="2"/>
      <c r="B198" s="2"/>
      <c r="C198" s="2"/>
      <c r="D198" s="2"/>
      <c r="E198" s="2"/>
      <c r="F198" s="2"/>
      <c r="G198" s="2"/>
      <c r="H198" s="2"/>
      <c r="I198" s="2"/>
      <c r="J198" s="2"/>
      <c r="K198" s="2"/>
      <c r="L198" s="2"/>
      <c r="M198" s="2"/>
      <c r="N198" s="2"/>
      <c r="O198" s="2"/>
      <c r="P198" s="2"/>
      <c r="Q198" s="2"/>
      <c r="R198" s="2"/>
      <c r="S198" s="2"/>
      <c r="T198" s="2"/>
      <c r="U198" s="2"/>
      <c r="V198" s="2"/>
    </row>
    <row r="199" spans="1:22" s="120" customFormat="1" x14ac:dyDescent="0.2">
      <c r="A199" s="2"/>
      <c r="B199" s="2"/>
      <c r="C199" s="2"/>
      <c r="D199" s="2"/>
      <c r="E199" s="2"/>
      <c r="F199" s="2"/>
      <c r="G199" s="2"/>
      <c r="H199" s="2"/>
      <c r="I199" s="2"/>
      <c r="J199" s="2"/>
      <c r="K199" s="2"/>
      <c r="L199" s="2"/>
      <c r="M199" s="2"/>
      <c r="N199" s="2"/>
      <c r="O199" s="2"/>
      <c r="P199" s="2"/>
      <c r="Q199" s="2"/>
      <c r="R199" s="2"/>
      <c r="S199" s="2"/>
      <c r="T199" s="2"/>
      <c r="U199" s="2"/>
      <c r="V199" s="2"/>
    </row>
    <row r="200" spans="1:22" s="120" customFormat="1" x14ac:dyDescent="0.2">
      <c r="A200" s="2"/>
      <c r="B200" s="2"/>
      <c r="C200" s="2"/>
      <c r="D200" s="2"/>
      <c r="E200" s="2"/>
      <c r="F200" s="2"/>
      <c r="G200" s="2"/>
      <c r="H200" s="2"/>
      <c r="I200" s="2"/>
      <c r="J200" s="2"/>
      <c r="K200" s="2"/>
      <c r="L200" s="2"/>
      <c r="M200" s="2"/>
      <c r="N200" s="2"/>
      <c r="O200" s="2"/>
      <c r="P200" s="2"/>
      <c r="Q200" s="2"/>
      <c r="R200" s="2"/>
      <c r="S200" s="2"/>
      <c r="T200" s="2"/>
      <c r="U200" s="2"/>
      <c r="V200" s="2"/>
    </row>
    <row r="201" spans="1:22" s="120" customFormat="1" x14ac:dyDescent="0.2">
      <c r="A201" s="2"/>
      <c r="B201" s="2"/>
      <c r="C201" s="2"/>
      <c r="D201" s="2"/>
      <c r="E201" s="2"/>
      <c r="F201" s="2"/>
      <c r="G201" s="2"/>
      <c r="H201" s="2"/>
      <c r="I201" s="2"/>
      <c r="J201" s="2"/>
      <c r="K201" s="2"/>
      <c r="L201" s="2"/>
      <c r="M201" s="2"/>
      <c r="N201" s="2"/>
      <c r="O201" s="2"/>
      <c r="P201" s="2"/>
      <c r="Q201" s="2"/>
      <c r="R201" s="2"/>
      <c r="S201" s="2"/>
      <c r="T201" s="2"/>
      <c r="U201" s="2"/>
      <c r="V201" s="2"/>
    </row>
    <row r="202" spans="1:22" s="120" customFormat="1" x14ac:dyDescent="0.2">
      <c r="A202" s="2"/>
      <c r="B202" s="2"/>
      <c r="C202" s="2"/>
      <c r="D202" s="2"/>
      <c r="E202" s="2"/>
      <c r="F202" s="2"/>
      <c r="G202" s="2"/>
      <c r="H202" s="2"/>
      <c r="I202" s="2"/>
      <c r="J202" s="2"/>
      <c r="K202" s="2"/>
      <c r="L202" s="2"/>
      <c r="M202" s="2"/>
      <c r="N202" s="2"/>
      <c r="O202" s="2"/>
      <c r="P202" s="2"/>
      <c r="Q202" s="2"/>
      <c r="R202" s="2"/>
      <c r="S202" s="2"/>
      <c r="T202" s="2"/>
      <c r="U202" s="2"/>
      <c r="V202" s="2"/>
    </row>
    <row r="203" spans="1:22" s="120" customFormat="1" x14ac:dyDescent="0.2">
      <c r="A203" s="2"/>
      <c r="B203" s="2"/>
      <c r="C203" s="2"/>
      <c r="D203" s="2"/>
      <c r="E203" s="2"/>
      <c r="F203" s="2"/>
      <c r="G203" s="2"/>
      <c r="H203" s="2"/>
      <c r="I203" s="2"/>
      <c r="J203" s="2"/>
      <c r="K203" s="2"/>
      <c r="L203" s="2"/>
      <c r="M203" s="2"/>
      <c r="N203" s="2"/>
      <c r="O203" s="2"/>
      <c r="P203" s="2"/>
      <c r="Q203" s="2"/>
      <c r="R203" s="2"/>
      <c r="S203" s="2"/>
      <c r="T203" s="2"/>
      <c r="U203" s="2"/>
      <c r="V203" s="2"/>
    </row>
    <row r="204" spans="1:22" s="120" customFormat="1" x14ac:dyDescent="0.2">
      <c r="A204" s="2"/>
      <c r="B204" s="2"/>
      <c r="C204" s="2"/>
      <c r="D204" s="2"/>
      <c r="E204" s="2"/>
      <c r="F204" s="2"/>
      <c r="G204" s="2"/>
      <c r="H204" s="2"/>
      <c r="I204" s="2"/>
      <c r="J204" s="2"/>
      <c r="K204" s="2"/>
      <c r="L204" s="2"/>
      <c r="M204" s="2"/>
      <c r="N204" s="2"/>
      <c r="O204" s="2"/>
      <c r="P204" s="2"/>
      <c r="Q204" s="2"/>
      <c r="R204" s="2"/>
      <c r="S204" s="2"/>
      <c r="T204" s="2"/>
      <c r="U204" s="2"/>
      <c r="V204" s="2"/>
    </row>
    <row r="205" spans="1:22" s="120" customFormat="1" x14ac:dyDescent="0.2">
      <c r="A205" s="2"/>
      <c r="B205" s="2"/>
      <c r="C205" s="2"/>
      <c r="D205" s="2"/>
      <c r="E205" s="2"/>
      <c r="F205" s="2"/>
      <c r="G205" s="2"/>
      <c r="H205" s="2"/>
      <c r="I205" s="2"/>
      <c r="J205" s="2"/>
      <c r="K205" s="2"/>
      <c r="L205" s="2"/>
      <c r="M205" s="2"/>
      <c r="N205" s="2"/>
      <c r="O205" s="2"/>
      <c r="P205" s="2"/>
      <c r="Q205" s="2"/>
      <c r="R205" s="2"/>
      <c r="S205" s="2"/>
      <c r="T205" s="2"/>
      <c r="U205" s="2"/>
      <c r="V205" s="2"/>
    </row>
    <row r="206" spans="1:22" s="120" customFormat="1" x14ac:dyDescent="0.2">
      <c r="A206" s="2"/>
      <c r="B206" s="2"/>
      <c r="C206" s="2"/>
      <c r="D206" s="2"/>
      <c r="E206" s="2"/>
      <c r="F206" s="2"/>
      <c r="G206" s="2"/>
      <c r="H206" s="2"/>
      <c r="I206" s="2"/>
      <c r="J206" s="2"/>
      <c r="K206" s="2"/>
      <c r="L206" s="2"/>
      <c r="M206" s="2"/>
      <c r="N206" s="2"/>
      <c r="O206" s="2"/>
      <c r="P206" s="2"/>
      <c r="Q206" s="2"/>
      <c r="R206" s="2"/>
      <c r="S206" s="2"/>
      <c r="T206" s="2"/>
      <c r="U206" s="2"/>
      <c r="V206" s="2"/>
    </row>
    <row r="207" spans="1:22" s="120" customFormat="1" x14ac:dyDescent="0.2">
      <c r="A207" s="2"/>
      <c r="B207" s="2"/>
      <c r="C207" s="2"/>
      <c r="D207" s="2"/>
      <c r="E207" s="2"/>
      <c r="F207" s="2"/>
      <c r="G207" s="2"/>
      <c r="H207" s="2"/>
      <c r="I207" s="2"/>
      <c r="J207" s="2"/>
      <c r="K207" s="2"/>
      <c r="L207" s="2"/>
      <c r="M207" s="2"/>
      <c r="N207" s="2"/>
      <c r="O207" s="2"/>
      <c r="P207" s="2"/>
      <c r="Q207" s="2"/>
      <c r="R207" s="2"/>
      <c r="S207" s="2"/>
      <c r="T207" s="2"/>
      <c r="U207" s="2"/>
      <c r="V207" s="2"/>
    </row>
    <row r="208" spans="1:22" s="120" customFormat="1" x14ac:dyDescent="0.2">
      <c r="A208" s="2"/>
      <c r="B208" s="2"/>
      <c r="C208" s="2"/>
      <c r="D208" s="2"/>
      <c r="E208" s="2"/>
      <c r="F208" s="2"/>
      <c r="G208" s="2"/>
      <c r="H208" s="2"/>
      <c r="I208" s="2"/>
      <c r="J208" s="2"/>
      <c r="K208" s="2"/>
      <c r="L208" s="2"/>
      <c r="M208" s="2"/>
      <c r="N208" s="2"/>
      <c r="O208" s="2"/>
      <c r="P208" s="2"/>
      <c r="Q208" s="2"/>
      <c r="R208" s="2"/>
      <c r="S208" s="2"/>
      <c r="T208" s="2"/>
      <c r="U208" s="2"/>
      <c r="V208" s="2"/>
    </row>
    <row r="209" spans="1:22" s="120" customFormat="1" x14ac:dyDescent="0.2">
      <c r="A209" s="2"/>
      <c r="B209" s="2"/>
      <c r="C209" s="2"/>
      <c r="D209" s="2"/>
      <c r="E209" s="2"/>
      <c r="F209" s="2"/>
      <c r="G209" s="2"/>
      <c r="H209" s="2"/>
      <c r="I209" s="2"/>
      <c r="J209" s="2"/>
      <c r="K209" s="2"/>
      <c r="L209" s="2"/>
      <c r="M209" s="2"/>
      <c r="N209" s="2"/>
      <c r="O209" s="2"/>
      <c r="P209" s="2"/>
      <c r="Q209" s="2"/>
      <c r="R209" s="2"/>
      <c r="S209" s="2"/>
      <c r="T209" s="2"/>
      <c r="U209" s="2"/>
      <c r="V209" s="2"/>
    </row>
    <row r="210" spans="1:22" s="120" customFormat="1" x14ac:dyDescent="0.2">
      <c r="A210" s="2"/>
      <c r="B210" s="2"/>
      <c r="C210" s="2"/>
      <c r="D210" s="2"/>
      <c r="E210" s="2"/>
      <c r="F210" s="2"/>
      <c r="G210" s="2"/>
      <c r="H210" s="2"/>
      <c r="I210" s="2"/>
      <c r="J210" s="2"/>
      <c r="K210" s="2"/>
      <c r="L210" s="2"/>
      <c r="M210" s="2"/>
      <c r="N210" s="2"/>
      <c r="O210" s="2"/>
      <c r="P210" s="2"/>
      <c r="Q210" s="2"/>
      <c r="R210" s="2"/>
      <c r="S210" s="2"/>
      <c r="T210" s="2"/>
      <c r="U210" s="2"/>
      <c r="V210" s="2"/>
    </row>
    <row r="211" spans="1:22" s="120" customFormat="1" x14ac:dyDescent="0.2">
      <c r="A211" s="2"/>
      <c r="B211" s="2"/>
      <c r="C211" s="2"/>
      <c r="D211" s="2"/>
      <c r="E211" s="2"/>
      <c r="F211" s="2"/>
      <c r="G211" s="2"/>
      <c r="H211" s="2"/>
      <c r="I211" s="2"/>
      <c r="J211" s="2"/>
      <c r="K211" s="2"/>
      <c r="L211" s="2"/>
      <c r="M211" s="2"/>
      <c r="N211" s="2"/>
      <c r="O211" s="2"/>
      <c r="P211" s="2"/>
      <c r="Q211" s="2"/>
      <c r="R211" s="2"/>
      <c r="S211" s="2"/>
      <c r="T211" s="2"/>
      <c r="U211" s="2"/>
      <c r="V211" s="2"/>
    </row>
    <row r="212" spans="1:22" s="120" customFormat="1" x14ac:dyDescent="0.2">
      <c r="A212" s="2"/>
      <c r="B212" s="2"/>
      <c r="C212" s="2"/>
      <c r="D212" s="2"/>
      <c r="E212" s="2"/>
      <c r="F212" s="2"/>
      <c r="G212" s="2"/>
      <c r="H212" s="2"/>
      <c r="I212" s="2"/>
      <c r="J212" s="2"/>
      <c r="K212" s="2"/>
      <c r="L212" s="2"/>
      <c r="M212" s="2"/>
      <c r="N212" s="2"/>
      <c r="O212" s="2"/>
      <c r="P212" s="2"/>
      <c r="Q212" s="2"/>
      <c r="R212" s="2"/>
      <c r="S212" s="2"/>
      <c r="T212" s="2"/>
      <c r="U212" s="2"/>
      <c r="V212" s="2"/>
    </row>
    <row r="213" spans="1:22" s="120" customFormat="1" x14ac:dyDescent="0.2">
      <c r="A213" s="2"/>
      <c r="B213" s="2"/>
      <c r="C213" s="2"/>
      <c r="D213" s="2"/>
      <c r="E213" s="2"/>
      <c r="F213" s="2"/>
      <c r="G213" s="2"/>
      <c r="H213" s="2"/>
      <c r="I213" s="2"/>
      <c r="J213" s="2"/>
      <c r="K213" s="2"/>
      <c r="L213" s="2"/>
      <c r="M213" s="2"/>
      <c r="N213" s="2"/>
      <c r="O213" s="2"/>
      <c r="P213" s="2"/>
      <c r="Q213" s="2"/>
      <c r="R213" s="2"/>
      <c r="S213" s="2"/>
      <c r="T213" s="2"/>
      <c r="U213" s="2"/>
      <c r="V213" s="2"/>
    </row>
    <row r="214" spans="1:22" s="120" customFormat="1" x14ac:dyDescent="0.2">
      <c r="A214" s="2"/>
      <c r="B214" s="2"/>
      <c r="C214" s="2"/>
      <c r="D214" s="2"/>
      <c r="E214" s="2"/>
      <c r="F214" s="2"/>
      <c r="G214" s="2"/>
      <c r="H214" s="2"/>
      <c r="I214" s="2"/>
      <c r="J214" s="2"/>
      <c r="K214" s="2"/>
      <c r="L214" s="2"/>
      <c r="M214" s="2"/>
      <c r="N214" s="2"/>
      <c r="O214" s="2"/>
      <c r="P214" s="2"/>
      <c r="Q214" s="2"/>
      <c r="R214" s="2"/>
      <c r="S214" s="2"/>
      <c r="T214" s="2"/>
      <c r="U214" s="2"/>
      <c r="V214" s="2"/>
    </row>
    <row r="215" spans="1:22" s="120" customFormat="1" x14ac:dyDescent="0.2">
      <c r="A215" s="2"/>
      <c r="B215" s="2"/>
      <c r="C215" s="2"/>
      <c r="D215" s="2"/>
      <c r="E215" s="2"/>
      <c r="F215" s="2"/>
      <c r="G215" s="2"/>
      <c r="H215" s="2"/>
      <c r="I215" s="2"/>
      <c r="J215" s="2"/>
      <c r="K215" s="2"/>
      <c r="L215" s="2"/>
      <c r="M215" s="2"/>
      <c r="N215" s="2"/>
      <c r="O215" s="2"/>
      <c r="P215" s="2"/>
      <c r="Q215" s="2"/>
      <c r="R215" s="2"/>
      <c r="S215" s="2"/>
      <c r="T215" s="2"/>
      <c r="U215" s="2"/>
      <c r="V215" s="2"/>
    </row>
    <row r="216" spans="1:22" s="120" customFormat="1" x14ac:dyDescent="0.2">
      <c r="A216" s="2"/>
      <c r="B216" s="2"/>
      <c r="C216" s="2"/>
      <c r="D216" s="2"/>
      <c r="E216" s="2"/>
      <c r="F216" s="2"/>
      <c r="G216" s="2"/>
      <c r="H216" s="2"/>
      <c r="I216" s="2"/>
      <c r="J216" s="2"/>
      <c r="K216" s="2"/>
      <c r="L216" s="2"/>
      <c r="M216" s="2"/>
      <c r="N216" s="2"/>
      <c r="O216" s="2"/>
      <c r="P216" s="2"/>
      <c r="Q216" s="2"/>
      <c r="R216" s="2"/>
      <c r="S216" s="2"/>
      <c r="T216" s="2"/>
      <c r="U216" s="2"/>
      <c r="V216" s="2"/>
    </row>
    <row r="217" spans="1:22" s="120" customFormat="1" x14ac:dyDescent="0.2">
      <c r="A217" s="2"/>
      <c r="B217" s="2"/>
      <c r="C217" s="2"/>
      <c r="D217" s="2"/>
      <c r="E217" s="2"/>
      <c r="F217" s="2"/>
      <c r="G217" s="2"/>
      <c r="H217" s="2"/>
      <c r="I217" s="2"/>
      <c r="J217" s="2"/>
      <c r="K217" s="2"/>
      <c r="L217" s="2"/>
      <c r="M217" s="2"/>
      <c r="N217" s="2"/>
      <c r="O217" s="2"/>
      <c r="P217" s="2"/>
      <c r="Q217" s="2"/>
      <c r="R217" s="2"/>
      <c r="S217" s="2"/>
      <c r="T217" s="2"/>
      <c r="U217" s="2"/>
      <c r="V217" s="2"/>
    </row>
    <row r="218" spans="1:22" s="120" customFormat="1" x14ac:dyDescent="0.2">
      <c r="A218" s="2"/>
      <c r="B218" s="2"/>
      <c r="C218" s="2"/>
      <c r="D218" s="2"/>
      <c r="E218" s="2"/>
      <c r="F218" s="2"/>
      <c r="G218" s="2"/>
      <c r="H218" s="2"/>
      <c r="I218" s="2"/>
      <c r="J218" s="2"/>
      <c r="K218" s="2"/>
      <c r="L218" s="2"/>
      <c r="M218" s="2"/>
      <c r="N218" s="2"/>
      <c r="O218" s="2"/>
      <c r="P218" s="2"/>
      <c r="Q218" s="2"/>
      <c r="R218" s="2"/>
      <c r="S218" s="2"/>
      <c r="T218" s="2"/>
      <c r="U218" s="2"/>
      <c r="V218" s="2"/>
    </row>
    <row r="219" spans="1:22" s="120" customFormat="1" x14ac:dyDescent="0.2">
      <c r="A219" s="2"/>
      <c r="B219" s="2"/>
      <c r="C219" s="2"/>
      <c r="D219" s="2"/>
      <c r="E219" s="2"/>
      <c r="F219" s="2"/>
      <c r="G219" s="2"/>
      <c r="H219" s="2"/>
      <c r="I219" s="2"/>
      <c r="J219" s="2"/>
      <c r="K219" s="2"/>
      <c r="L219" s="2"/>
      <c r="M219" s="2"/>
      <c r="N219" s="2"/>
      <c r="O219" s="2"/>
      <c r="P219" s="2"/>
      <c r="Q219" s="2"/>
      <c r="R219" s="2"/>
      <c r="S219" s="2"/>
      <c r="T219" s="2"/>
      <c r="U219" s="2"/>
      <c r="V219" s="2"/>
    </row>
    <row r="220" spans="1:22" s="120" customFormat="1" x14ac:dyDescent="0.2">
      <c r="A220" s="2"/>
      <c r="B220" s="2"/>
      <c r="C220" s="2"/>
      <c r="D220" s="2"/>
      <c r="E220" s="2"/>
      <c r="F220" s="2"/>
      <c r="G220" s="2"/>
      <c r="H220" s="2"/>
      <c r="I220" s="2"/>
      <c r="J220" s="2"/>
      <c r="K220" s="2"/>
      <c r="L220" s="2"/>
      <c r="M220" s="2"/>
      <c r="N220" s="2"/>
      <c r="O220" s="2"/>
      <c r="P220" s="2"/>
      <c r="Q220" s="2"/>
      <c r="R220" s="2"/>
      <c r="S220" s="2"/>
      <c r="T220" s="2"/>
      <c r="U220" s="2"/>
      <c r="V220" s="2"/>
    </row>
    <row r="221" spans="1:22" s="120" customFormat="1" x14ac:dyDescent="0.2">
      <c r="A221" s="2"/>
      <c r="B221" s="2"/>
      <c r="C221" s="2"/>
      <c r="D221" s="2"/>
      <c r="E221" s="2"/>
      <c r="F221" s="2"/>
      <c r="G221" s="2"/>
      <c r="H221" s="2"/>
      <c r="I221" s="2"/>
      <c r="J221" s="2"/>
      <c r="K221" s="2"/>
      <c r="L221" s="2"/>
      <c r="M221" s="2"/>
      <c r="N221" s="2"/>
      <c r="O221" s="2"/>
      <c r="P221" s="2"/>
      <c r="Q221" s="2"/>
      <c r="R221" s="2"/>
      <c r="S221" s="2"/>
      <c r="T221" s="2"/>
      <c r="U221" s="2"/>
      <c r="V221" s="2"/>
    </row>
    <row r="222" spans="1:22" s="120" customFormat="1" x14ac:dyDescent="0.2">
      <c r="A222" s="2"/>
      <c r="B222" s="2"/>
      <c r="C222" s="2"/>
      <c r="D222" s="2"/>
      <c r="E222" s="2"/>
      <c r="F222" s="2"/>
      <c r="G222" s="2"/>
      <c r="H222" s="2"/>
      <c r="I222" s="2"/>
      <c r="J222" s="2"/>
      <c r="K222" s="2"/>
      <c r="L222" s="2"/>
      <c r="M222" s="2"/>
      <c r="N222" s="2"/>
      <c r="O222" s="2"/>
      <c r="P222" s="2"/>
      <c r="Q222" s="2"/>
      <c r="R222" s="2"/>
      <c r="S222" s="2"/>
      <c r="T222" s="2"/>
      <c r="U222" s="2"/>
      <c r="V222" s="2"/>
    </row>
    <row r="223" spans="1:22" s="120" customFormat="1" x14ac:dyDescent="0.2">
      <c r="A223" s="2"/>
      <c r="B223" s="2"/>
      <c r="C223" s="2"/>
      <c r="D223" s="2"/>
      <c r="E223" s="2"/>
      <c r="F223" s="2"/>
      <c r="G223" s="2"/>
      <c r="H223" s="2"/>
      <c r="I223" s="2"/>
      <c r="J223" s="2"/>
      <c r="K223" s="2"/>
      <c r="L223" s="2"/>
      <c r="M223" s="2"/>
      <c r="N223" s="2"/>
      <c r="O223" s="2"/>
      <c r="P223" s="2"/>
      <c r="Q223" s="2"/>
      <c r="R223" s="2"/>
      <c r="S223" s="2"/>
      <c r="T223" s="2"/>
      <c r="U223" s="2"/>
      <c r="V223" s="2"/>
    </row>
    <row r="224" spans="1:22" s="120" customFormat="1" x14ac:dyDescent="0.2">
      <c r="A224" s="2"/>
      <c r="B224" s="2"/>
      <c r="C224" s="2"/>
      <c r="D224" s="2"/>
      <c r="E224" s="2"/>
      <c r="F224" s="2"/>
      <c r="G224" s="2"/>
      <c r="H224" s="2"/>
      <c r="I224" s="2"/>
      <c r="J224" s="2"/>
      <c r="K224" s="2"/>
      <c r="L224" s="2"/>
      <c r="M224" s="2"/>
      <c r="N224" s="2"/>
      <c r="O224" s="2"/>
      <c r="P224" s="2"/>
      <c r="Q224" s="2"/>
      <c r="R224" s="2"/>
      <c r="S224" s="2"/>
      <c r="T224" s="2"/>
      <c r="U224" s="2"/>
      <c r="V224" s="2"/>
    </row>
    <row r="225" spans="1:22" s="120" customFormat="1" x14ac:dyDescent="0.2">
      <c r="A225" s="2"/>
      <c r="B225" s="2"/>
      <c r="C225" s="2"/>
      <c r="D225" s="2"/>
      <c r="E225" s="2"/>
      <c r="F225" s="2"/>
      <c r="G225" s="2"/>
      <c r="H225" s="2"/>
      <c r="I225" s="2"/>
      <c r="J225" s="2"/>
      <c r="K225" s="2"/>
      <c r="L225" s="2"/>
      <c r="M225" s="2"/>
      <c r="N225" s="2"/>
      <c r="O225" s="2"/>
      <c r="P225" s="2"/>
      <c r="Q225" s="2"/>
      <c r="R225" s="2"/>
      <c r="S225" s="2"/>
      <c r="T225" s="2"/>
      <c r="U225" s="2"/>
      <c r="V225" s="2"/>
    </row>
    <row r="226" spans="1:22" s="120" customFormat="1" x14ac:dyDescent="0.2">
      <c r="A226" s="2"/>
      <c r="B226" s="2"/>
      <c r="C226" s="2"/>
      <c r="D226" s="2"/>
      <c r="E226" s="2"/>
      <c r="F226" s="2"/>
      <c r="G226" s="2"/>
      <c r="H226" s="2"/>
      <c r="I226" s="2"/>
      <c r="J226" s="2"/>
      <c r="K226" s="2"/>
      <c r="L226" s="2"/>
      <c r="M226" s="2"/>
      <c r="N226" s="2"/>
      <c r="O226" s="2"/>
      <c r="P226" s="2"/>
      <c r="Q226" s="2"/>
      <c r="R226" s="2"/>
      <c r="S226" s="2"/>
      <c r="T226" s="2"/>
      <c r="U226" s="2"/>
      <c r="V226" s="2"/>
    </row>
    <row r="227" spans="1:22" s="120" customFormat="1" x14ac:dyDescent="0.2">
      <c r="A227" s="2"/>
      <c r="B227" s="2"/>
      <c r="C227" s="2"/>
      <c r="D227" s="2"/>
      <c r="E227" s="2"/>
      <c r="F227" s="2"/>
      <c r="G227" s="2"/>
      <c r="H227" s="2"/>
      <c r="I227" s="2"/>
      <c r="J227" s="2"/>
      <c r="K227" s="2"/>
      <c r="L227" s="2"/>
      <c r="M227" s="2"/>
      <c r="N227" s="2"/>
      <c r="O227" s="2"/>
      <c r="P227" s="2"/>
      <c r="Q227" s="2"/>
      <c r="R227" s="2"/>
      <c r="S227" s="2"/>
      <c r="T227" s="2"/>
      <c r="U227" s="2"/>
      <c r="V227" s="2"/>
    </row>
    <row r="228" spans="1:22" s="120" customFormat="1" x14ac:dyDescent="0.2">
      <c r="A228" s="2"/>
      <c r="B228" s="2"/>
      <c r="C228" s="2"/>
      <c r="D228" s="2"/>
      <c r="E228" s="2"/>
      <c r="F228" s="2"/>
      <c r="G228" s="2"/>
      <c r="H228" s="2"/>
      <c r="I228" s="2"/>
      <c r="J228" s="2"/>
      <c r="K228" s="2"/>
      <c r="L228" s="2"/>
      <c r="M228" s="2"/>
      <c r="N228" s="2"/>
      <c r="O228" s="2"/>
      <c r="P228" s="2"/>
      <c r="Q228" s="2"/>
      <c r="R228" s="2"/>
      <c r="S228" s="2"/>
      <c r="T228" s="2"/>
      <c r="U228" s="2"/>
      <c r="V228" s="2"/>
    </row>
    <row r="229" spans="1:22" s="120" customFormat="1" x14ac:dyDescent="0.2">
      <c r="A229" s="2"/>
      <c r="B229" s="2"/>
      <c r="C229" s="2"/>
      <c r="D229" s="2"/>
      <c r="E229" s="2"/>
      <c r="F229" s="2"/>
      <c r="G229" s="2"/>
      <c r="H229" s="2"/>
      <c r="I229" s="2"/>
      <c r="J229" s="2"/>
      <c r="K229" s="2"/>
      <c r="L229" s="2"/>
      <c r="M229" s="2"/>
      <c r="N229" s="2"/>
      <c r="O229" s="2"/>
      <c r="P229" s="2"/>
      <c r="Q229" s="2"/>
      <c r="R229" s="2"/>
      <c r="S229" s="2"/>
      <c r="T229" s="2"/>
      <c r="U229" s="2"/>
      <c r="V229" s="2"/>
    </row>
    <row r="230" spans="1:22" s="120" customFormat="1" x14ac:dyDescent="0.2">
      <c r="A230" s="2"/>
      <c r="B230" s="2"/>
      <c r="C230" s="2"/>
      <c r="D230" s="2"/>
      <c r="E230" s="2"/>
      <c r="F230" s="2"/>
      <c r="G230" s="2"/>
      <c r="H230" s="2"/>
      <c r="I230" s="2"/>
      <c r="J230" s="2"/>
      <c r="K230" s="2"/>
      <c r="L230" s="2"/>
      <c r="M230" s="2"/>
      <c r="N230" s="2"/>
      <c r="O230" s="2"/>
      <c r="P230" s="2"/>
      <c r="Q230" s="2"/>
      <c r="R230" s="2"/>
      <c r="S230" s="2"/>
      <c r="T230" s="2"/>
      <c r="U230" s="2"/>
      <c r="V230" s="2"/>
    </row>
    <row r="231" spans="1:22" s="120" customFormat="1" x14ac:dyDescent="0.2">
      <c r="A231" s="2"/>
      <c r="B231" s="2"/>
      <c r="C231" s="2"/>
      <c r="D231" s="2"/>
      <c r="E231" s="2"/>
      <c r="F231" s="2"/>
      <c r="G231" s="2"/>
      <c r="H231" s="2"/>
      <c r="I231" s="2"/>
      <c r="J231" s="2"/>
      <c r="K231" s="2"/>
      <c r="L231" s="2"/>
      <c r="M231" s="2"/>
      <c r="N231" s="2"/>
      <c r="O231" s="2"/>
      <c r="P231" s="2"/>
      <c r="Q231" s="2"/>
      <c r="R231" s="2"/>
      <c r="S231" s="2"/>
      <c r="T231" s="2"/>
      <c r="U231" s="2"/>
      <c r="V231" s="2"/>
    </row>
    <row r="232" spans="1:22" s="120" customFormat="1" x14ac:dyDescent="0.2">
      <c r="A232" s="2"/>
      <c r="B232" s="2"/>
      <c r="C232" s="2"/>
      <c r="D232" s="2"/>
      <c r="E232" s="2"/>
      <c r="F232" s="2"/>
      <c r="G232" s="2"/>
      <c r="H232" s="2"/>
      <c r="I232" s="2"/>
      <c r="J232" s="2"/>
      <c r="K232" s="2"/>
      <c r="L232" s="2"/>
      <c r="M232" s="2"/>
      <c r="N232" s="2"/>
      <c r="O232" s="2"/>
      <c r="P232" s="2"/>
      <c r="Q232" s="2"/>
      <c r="R232" s="2"/>
      <c r="S232" s="2"/>
      <c r="T232" s="2"/>
      <c r="U232" s="2"/>
      <c r="V232" s="2"/>
    </row>
    <row r="233" spans="1:22" s="120" customFormat="1" x14ac:dyDescent="0.2">
      <c r="A233" s="2"/>
      <c r="B233" s="2"/>
      <c r="C233" s="2"/>
      <c r="D233" s="2"/>
      <c r="E233" s="2"/>
      <c r="F233" s="2"/>
      <c r="G233" s="2"/>
      <c r="H233" s="2"/>
      <c r="I233" s="2"/>
      <c r="J233" s="2"/>
      <c r="K233" s="2"/>
      <c r="L233" s="2"/>
      <c r="M233" s="2"/>
      <c r="N233" s="2"/>
      <c r="O233" s="2"/>
      <c r="P233" s="2"/>
      <c r="Q233" s="2"/>
      <c r="R233" s="2"/>
      <c r="S233" s="2"/>
      <c r="T233" s="2"/>
      <c r="U233" s="2"/>
      <c r="V233" s="2"/>
    </row>
    <row r="234" spans="1:22" s="120" customFormat="1" x14ac:dyDescent="0.2">
      <c r="A234" s="2"/>
      <c r="B234" s="2"/>
      <c r="C234" s="2"/>
      <c r="D234" s="2"/>
      <c r="E234" s="2"/>
      <c r="F234" s="2"/>
      <c r="G234" s="2"/>
      <c r="H234" s="2"/>
      <c r="I234" s="2"/>
      <c r="J234" s="2"/>
      <c r="K234" s="2"/>
      <c r="L234" s="2"/>
      <c r="M234" s="2"/>
      <c r="N234" s="2"/>
      <c r="O234" s="2"/>
      <c r="P234" s="2"/>
      <c r="Q234" s="2"/>
      <c r="R234" s="2"/>
      <c r="S234" s="2"/>
      <c r="T234" s="2"/>
      <c r="U234" s="2"/>
      <c r="V234" s="2"/>
    </row>
    <row r="235" spans="1:22" s="120" customFormat="1" x14ac:dyDescent="0.2">
      <c r="A235" s="2"/>
      <c r="B235" s="2"/>
      <c r="C235" s="2"/>
      <c r="D235" s="2"/>
      <c r="E235" s="2"/>
      <c r="F235" s="2"/>
      <c r="G235" s="2"/>
      <c r="H235" s="2"/>
      <c r="I235" s="2"/>
      <c r="J235" s="2"/>
      <c r="K235" s="2"/>
      <c r="L235" s="2"/>
      <c r="M235" s="2"/>
      <c r="N235" s="2"/>
      <c r="O235" s="2"/>
      <c r="P235" s="2"/>
      <c r="Q235" s="2"/>
      <c r="R235" s="2"/>
      <c r="S235" s="2"/>
      <c r="T235" s="2"/>
      <c r="U235" s="2"/>
      <c r="V235" s="2"/>
    </row>
    <row r="236" spans="1:22" s="120" customFormat="1" x14ac:dyDescent="0.2">
      <c r="A236" s="2"/>
      <c r="B236" s="2"/>
      <c r="C236" s="2"/>
      <c r="D236" s="2"/>
      <c r="E236" s="2"/>
      <c r="F236" s="2"/>
      <c r="G236" s="2"/>
      <c r="H236" s="2"/>
      <c r="I236" s="2"/>
      <c r="J236" s="2"/>
      <c r="K236" s="2"/>
      <c r="L236" s="2"/>
      <c r="M236" s="2"/>
      <c r="N236" s="2"/>
      <c r="O236" s="2"/>
      <c r="P236" s="2"/>
      <c r="Q236" s="2"/>
      <c r="R236" s="2"/>
      <c r="S236" s="2"/>
      <c r="T236" s="2"/>
      <c r="U236" s="2"/>
      <c r="V236" s="2"/>
    </row>
    <row r="237" spans="1:22" s="120" customFormat="1" x14ac:dyDescent="0.2">
      <c r="A237" s="2"/>
      <c r="B237" s="2"/>
      <c r="C237" s="2"/>
      <c r="D237" s="2"/>
      <c r="E237" s="2"/>
      <c r="F237" s="2"/>
      <c r="G237" s="2"/>
      <c r="H237" s="2"/>
      <c r="I237" s="2"/>
      <c r="J237" s="2"/>
      <c r="K237" s="2"/>
      <c r="L237" s="2"/>
      <c r="M237" s="2"/>
      <c r="N237" s="2"/>
      <c r="O237" s="2"/>
      <c r="P237" s="2"/>
      <c r="Q237" s="2"/>
      <c r="R237" s="2"/>
      <c r="S237" s="2"/>
      <c r="T237" s="2"/>
      <c r="U237" s="2"/>
      <c r="V237" s="2"/>
    </row>
    <row r="238" spans="1:22" s="120" customFormat="1" x14ac:dyDescent="0.2">
      <c r="A238" s="2"/>
      <c r="B238" s="2"/>
      <c r="C238" s="2"/>
      <c r="D238" s="2"/>
      <c r="E238" s="2"/>
      <c r="F238" s="2"/>
      <c r="G238" s="2"/>
      <c r="H238" s="2"/>
      <c r="I238" s="2"/>
      <c r="J238" s="2"/>
      <c r="K238" s="2"/>
      <c r="L238" s="2"/>
      <c r="M238" s="2"/>
      <c r="N238" s="2"/>
      <c r="O238" s="2"/>
      <c r="P238" s="2"/>
      <c r="Q238" s="2"/>
      <c r="R238" s="2"/>
      <c r="S238" s="2"/>
      <c r="T238" s="2"/>
      <c r="U238" s="2"/>
      <c r="V238" s="2"/>
    </row>
    <row r="239" spans="1:22" s="120" customFormat="1" x14ac:dyDescent="0.2">
      <c r="A239" s="2"/>
      <c r="B239" s="2"/>
      <c r="C239" s="2"/>
      <c r="D239" s="2"/>
      <c r="E239" s="2"/>
      <c r="F239" s="2"/>
      <c r="G239" s="2"/>
      <c r="H239" s="2"/>
      <c r="I239" s="2"/>
      <c r="J239" s="2"/>
      <c r="K239" s="2"/>
      <c r="L239" s="2"/>
      <c r="M239" s="2"/>
      <c r="N239" s="2"/>
      <c r="O239" s="2"/>
      <c r="P239" s="2"/>
      <c r="Q239" s="2"/>
      <c r="R239" s="2"/>
      <c r="S239" s="2"/>
      <c r="T239" s="2"/>
      <c r="U239" s="2"/>
      <c r="V239" s="2"/>
    </row>
    <row r="240" spans="1:22" s="120" customFormat="1" x14ac:dyDescent="0.2">
      <c r="A240" s="2"/>
      <c r="B240" s="2"/>
      <c r="C240" s="2"/>
      <c r="D240" s="2"/>
      <c r="E240" s="2"/>
      <c r="F240" s="2"/>
      <c r="G240" s="2"/>
      <c r="H240" s="2"/>
      <c r="I240" s="2"/>
      <c r="J240" s="2"/>
      <c r="K240" s="2"/>
      <c r="L240" s="2"/>
      <c r="M240" s="2"/>
      <c r="N240" s="2"/>
      <c r="O240" s="2"/>
      <c r="P240" s="2"/>
      <c r="Q240" s="2"/>
      <c r="R240" s="2"/>
      <c r="S240" s="2"/>
      <c r="T240" s="2"/>
      <c r="U240" s="2"/>
      <c r="V240" s="2"/>
    </row>
    <row r="241" spans="1:22" s="120" customFormat="1" x14ac:dyDescent="0.2">
      <c r="A241" s="2"/>
      <c r="B241" s="2"/>
      <c r="C241" s="2"/>
      <c r="D241" s="2"/>
      <c r="E241" s="2"/>
      <c r="F241" s="2"/>
      <c r="G241" s="2"/>
      <c r="H241" s="2"/>
      <c r="I241" s="2"/>
      <c r="J241" s="2"/>
      <c r="K241" s="2"/>
      <c r="L241" s="2"/>
      <c r="M241" s="2"/>
      <c r="N241" s="2"/>
      <c r="O241" s="2"/>
      <c r="P241" s="2"/>
      <c r="Q241" s="2"/>
      <c r="R241" s="2"/>
      <c r="S241" s="2"/>
      <c r="T241" s="2"/>
      <c r="U241" s="2"/>
      <c r="V241" s="2"/>
    </row>
    <row r="242" spans="1:22" s="120" customFormat="1" x14ac:dyDescent="0.2">
      <c r="A242" s="2"/>
      <c r="B242" s="2"/>
      <c r="C242" s="2"/>
      <c r="D242" s="2"/>
      <c r="E242" s="2"/>
      <c r="F242" s="2"/>
      <c r="G242" s="2"/>
      <c r="H242" s="2"/>
      <c r="I242" s="2"/>
      <c r="J242" s="2"/>
      <c r="K242" s="2"/>
      <c r="L242" s="2"/>
      <c r="M242" s="2"/>
      <c r="N242" s="2"/>
      <c r="O242" s="2"/>
      <c r="P242" s="2"/>
      <c r="Q242" s="2"/>
      <c r="R242" s="2"/>
      <c r="S242" s="2"/>
      <c r="T242" s="2"/>
      <c r="U242" s="2"/>
      <c r="V242" s="2"/>
    </row>
    <row r="243" spans="1:22" s="120" customFormat="1" x14ac:dyDescent="0.2">
      <c r="A243" s="2"/>
      <c r="B243" s="2"/>
      <c r="C243" s="2"/>
      <c r="D243" s="2"/>
      <c r="E243" s="2"/>
      <c r="F243" s="2"/>
      <c r="G243" s="2"/>
      <c r="H243" s="2"/>
      <c r="I243" s="2"/>
      <c r="J243" s="2"/>
      <c r="K243" s="2"/>
      <c r="L243" s="2"/>
      <c r="M243" s="2"/>
      <c r="N243" s="2"/>
      <c r="O243" s="2"/>
      <c r="P243" s="2"/>
      <c r="Q243" s="2"/>
      <c r="R243" s="2"/>
      <c r="S243" s="2"/>
      <c r="T243" s="2"/>
      <c r="U243" s="2"/>
      <c r="V243" s="2"/>
    </row>
    <row r="244" spans="1:22" s="120" customFormat="1" x14ac:dyDescent="0.2">
      <c r="A244" s="2"/>
      <c r="B244" s="2"/>
      <c r="C244" s="2"/>
      <c r="D244" s="2"/>
      <c r="E244" s="2"/>
      <c r="F244" s="2"/>
      <c r="G244" s="2"/>
      <c r="H244" s="2"/>
      <c r="I244" s="2"/>
      <c r="J244" s="2"/>
      <c r="K244" s="2"/>
      <c r="L244" s="2"/>
      <c r="M244" s="2"/>
      <c r="N244" s="2"/>
      <c r="O244" s="2"/>
      <c r="P244" s="2"/>
      <c r="Q244" s="2"/>
      <c r="R244" s="2"/>
      <c r="S244" s="2"/>
      <c r="T244" s="2"/>
      <c r="U244" s="2"/>
      <c r="V244" s="2"/>
    </row>
    <row r="245" spans="1:22" s="120" customFormat="1" x14ac:dyDescent="0.2">
      <c r="A245" s="2"/>
      <c r="B245" s="2"/>
      <c r="C245" s="2"/>
      <c r="D245" s="2"/>
      <c r="E245" s="2"/>
      <c r="F245" s="2"/>
      <c r="G245" s="2"/>
      <c r="H245" s="2"/>
      <c r="I245" s="2"/>
      <c r="J245" s="2"/>
      <c r="K245" s="2"/>
      <c r="L245" s="2"/>
      <c r="M245" s="2"/>
      <c r="N245" s="2"/>
      <c r="O245" s="2"/>
      <c r="P245" s="2"/>
      <c r="Q245" s="2"/>
      <c r="R245" s="2"/>
      <c r="S245" s="2"/>
      <c r="T245" s="2"/>
      <c r="U245" s="2"/>
      <c r="V245" s="2"/>
    </row>
    <row r="246" spans="1:22" s="120" customFormat="1" x14ac:dyDescent="0.2">
      <c r="A246" s="2"/>
      <c r="B246" s="2"/>
      <c r="C246" s="2"/>
      <c r="D246" s="2"/>
      <c r="E246" s="2"/>
      <c r="F246" s="2"/>
      <c r="G246" s="2"/>
      <c r="H246" s="2"/>
      <c r="I246" s="2"/>
      <c r="J246" s="2"/>
      <c r="K246" s="2"/>
      <c r="L246" s="2"/>
      <c r="M246" s="2"/>
      <c r="N246" s="2"/>
      <c r="O246" s="2"/>
      <c r="P246" s="2"/>
      <c r="Q246" s="2"/>
      <c r="R246" s="2"/>
      <c r="S246" s="2"/>
      <c r="T246" s="2"/>
      <c r="U246" s="2"/>
      <c r="V246" s="2"/>
    </row>
    <row r="247" spans="1:22" s="120" customFormat="1" x14ac:dyDescent="0.2">
      <c r="A247" s="2"/>
      <c r="B247" s="2"/>
      <c r="C247" s="2"/>
      <c r="D247" s="2"/>
      <c r="E247" s="2"/>
      <c r="F247" s="2"/>
      <c r="G247" s="2"/>
      <c r="H247" s="2"/>
      <c r="I247" s="2"/>
      <c r="J247" s="2"/>
      <c r="K247" s="2"/>
      <c r="L247" s="2"/>
      <c r="M247" s="2"/>
      <c r="N247" s="2"/>
      <c r="O247" s="2"/>
      <c r="P247" s="2"/>
      <c r="Q247" s="2"/>
      <c r="R247" s="2"/>
      <c r="S247" s="2"/>
      <c r="T247" s="2"/>
      <c r="U247" s="2"/>
      <c r="V247" s="2"/>
    </row>
    <row r="248" spans="1:22" s="120" customFormat="1" x14ac:dyDescent="0.2">
      <c r="A248" s="2"/>
      <c r="B248" s="2"/>
      <c r="C248" s="2"/>
      <c r="D248" s="2"/>
      <c r="E248" s="2"/>
      <c r="F248" s="2"/>
      <c r="G248" s="2"/>
      <c r="H248" s="2"/>
      <c r="I248" s="2"/>
      <c r="J248" s="2"/>
      <c r="K248" s="2"/>
      <c r="L248" s="2"/>
      <c r="M248" s="2"/>
      <c r="N248" s="2"/>
      <c r="O248" s="2"/>
      <c r="P248" s="2"/>
      <c r="Q248" s="2"/>
      <c r="R248" s="2"/>
      <c r="S248" s="2"/>
      <c r="T248" s="2"/>
      <c r="U248" s="2"/>
      <c r="V248" s="2"/>
    </row>
    <row r="249" spans="1:22" s="120" customFormat="1" x14ac:dyDescent="0.2">
      <c r="A249" s="2"/>
      <c r="B249" s="2"/>
      <c r="C249" s="2"/>
      <c r="D249" s="2"/>
      <c r="E249" s="2"/>
      <c r="F249" s="2"/>
      <c r="G249" s="2"/>
      <c r="H249" s="2"/>
      <c r="I249" s="2"/>
      <c r="J249" s="2"/>
      <c r="K249" s="2"/>
      <c r="L249" s="2"/>
      <c r="M249" s="2"/>
      <c r="N249" s="2"/>
      <c r="O249" s="2"/>
      <c r="P249" s="2"/>
      <c r="Q249" s="2"/>
      <c r="R249" s="2"/>
      <c r="S249" s="2"/>
      <c r="T249" s="2"/>
      <c r="U249" s="2"/>
      <c r="V249" s="2"/>
    </row>
    <row r="250" spans="1:22" s="120" customFormat="1" x14ac:dyDescent="0.2">
      <c r="A250" s="2"/>
      <c r="B250" s="2"/>
      <c r="C250" s="2"/>
      <c r="D250" s="2"/>
      <c r="E250" s="2"/>
      <c r="F250" s="2"/>
      <c r="G250" s="2"/>
      <c r="H250" s="2"/>
      <c r="I250" s="2"/>
      <c r="J250" s="2"/>
      <c r="K250" s="2"/>
      <c r="L250" s="2"/>
      <c r="M250" s="2"/>
      <c r="N250" s="2"/>
      <c r="O250" s="2"/>
      <c r="P250" s="2"/>
      <c r="Q250" s="2"/>
      <c r="R250" s="2"/>
      <c r="S250" s="2"/>
      <c r="T250" s="2"/>
      <c r="U250" s="2"/>
      <c r="V250" s="2"/>
    </row>
    <row r="251" spans="1:22" s="120" customFormat="1" x14ac:dyDescent="0.2">
      <c r="A251" s="2"/>
      <c r="B251" s="2"/>
      <c r="C251" s="2"/>
      <c r="D251" s="2"/>
      <c r="E251" s="2"/>
      <c r="F251" s="2"/>
      <c r="G251" s="2"/>
      <c r="H251" s="2"/>
      <c r="I251" s="2"/>
      <c r="J251" s="2"/>
      <c r="K251" s="2"/>
      <c r="L251" s="2"/>
      <c r="M251" s="2"/>
      <c r="N251" s="2"/>
      <c r="O251" s="2"/>
      <c r="P251" s="2"/>
      <c r="Q251" s="2"/>
      <c r="R251" s="2"/>
      <c r="S251" s="2"/>
      <c r="T251" s="2"/>
      <c r="U251" s="2"/>
      <c r="V251" s="2"/>
    </row>
    <row r="252" spans="1:22" s="120" customFormat="1" x14ac:dyDescent="0.2">
      <c r="A252" s="2"/>
      <c r="B252" s="2"/>
      <c r="C252" s="2"/>
      <c r="D252" s="2"/>
      <c r="E252" s="2"/>
      <c r="F252" s="2"/>
      <c r="G252" s="2"/>
      <c r="H252" s="2"/>
      <c r="I252" s="2"/>
      <c r="J252" s="2"/>
      <c r="K252" s="2"/>
      <c r="L252" s="2"/>
      <c r="M252" s="2"/>
      <c r="N252" s="2"/>
      <c r="O252" s="2"/>
      <c r="P252" s="2"/>
      <c r="Q252" s="2"/>
      <c r="R252" s="2"/>
      <c r="S252" s="2"/>
      <c r="T252" s="2"/>
      <c r="U252" s="2"/>
      <c r="V252" s="2"/>
    </row>
    <row r="253" spans="1:22" s="120" customFormat="1" x14ac:dyDescent="0.2">
      <c r="A253" s="2"/>
      <c r="B253" s="2"/>
      <c r="C253" s="2"/>
      <c r="D253" s="2"/>
      <c r="E253" s="2"/>
      <c r="F253" s="2"/>
      <c r="G253" s="2"/>
      <c r="H253" s="2"/>
      <c r="I253" s="2"/>
      <c r="J253" s="2"/>
      <c r="K253" s="2"/>
      <c r="L253" s="2"/>
      <c r="M253" s="2"/>
      <c r="N253" s="2"/>
      <c r="O253" s="2"/>
      <c r="P253" s="2"/>
      <c r="Q253" s="2"/>
      <c r="R253" s="2"/>
      <c r="S253" s="2"/>
      <c r="T253" s="2"/>
      <c r="U253" s="2"/>
      <c r="V253" s="2"/>
    </row>
    <row r="254" spans="1:22" s="120" customFormat="1" x14ac:dyDescent="0.2">
      <c r="A254" s="2"/>
      <c r="B254" s="2"/>
      <c r="C254" s="2"/>
      <c r="D254" s="2"/>
      <c r="E254" s="2"/>
      <c r="F254" s="2"/>
      <c r="G254" s="2"/>
      <c r="H254" s="2"/>
      <c r="I254" s="2"/>
      <c r="J254" s="2"/>
      <c r="K254" s="2"/>
      <c r="L254" s="2"/>
      <c r="M254" s="2"/>
      <c r="N254" s="2"/>
      <c r="O254" s="2"/>
      <c r="P254" s="2"/>
      <c r="Q254" s="2"/>
      <c r="R254" s="2"/>
      <c r="S254" s="2"/>
      <c r="T254" s="2"/>
      <c r="U254" s="2"/>
      <c r="V254" s="2"/>
    </row>
    <row r="255" spans="1:22" s="120" customFormat="1" x14ac:dyDescent="0.2">
      <c r="A255" s="2"/>
      <c r="B255" s="2"/>
      <c r="C255" s="2"/>
      <c r="D255" s="2"/>
      <c r="E255" s="2"/>
      <c r="F255" s="2"/>
      <c r="G255" s="2"/>
      <c r="H255" s="2"/>
      <c r="I255" s="2"/>
      <c r="J255" s="2"/>
      <c r="K255" s="2"/>
      <c r="L255" s="2"/>
      <c r="M255" s="2"/>
      <c r="N255" s="2"/>
      <c r="O255" s="2"/>
      <c r="P255" s="2"/>
      <c r="Q255" s="2"/>
      <c r="R255" s="2"/>
      <c r="S255" s="2"/>
      <c r="T255" s="2"/>
      <c r="U255" s="2"/>
      <c r="V255" s="2"/>
    </row>
    <row r="256" spans="1:22" s="120" customFormat="1" x14ac:dyDescent="0.2">
      <c r="A256" s="2"/>
      <c r="B256" s="2"/>
      <c r="C256" s="2"/>
      <c r="D256" s="2"/>
      <c r="E256" s="2"/>
      <c r="F256" s="2"/>
      <c r="G256" s="2"/>
      <c r="H256" s="2"/>
      <c r="I256" s="2"/>
      <c r="J256" s="2"/>
      <c r="K256" s="2"/>
      <c r="L256" s="2"/>
      <c r="M256" s="2"/>
      <c r="N256" s="2"/>
      <c r="O256" s="2"/>
      <c r="P256" s="2"/>
      <c r="Q256" s="2"/>
      <c r="R256" s="2"/>
      <c r="S256" s="2"/>
      <c r="T256" s="2"/>
      <c r="U256" s="2"/>
      <c r="V256" s="2"/>
    </row>
    <row r="257" spans="1:22" s="120" customFormat="1" x14ac:dyDescent="0.2">
      <c r="A257" s="2"/>
      <c r="B257" s="2"/>
      <c r="C257" s="2"/>
      <c r="D257" s="2"/>
      <c r="E257" s="2"/>
      <c r="F257" s="2"/>
      <c r="G257" s="2"/>
      <c r="H257" s="2"/>
      <c r="I257" s="2"/>
      <c r="J257" s="2"/>
      <c r="K257" s="2"/>
      <c r="L257" s="2"/>
      <c r="M257" s="2"/>
      <c r="N257" s="2"/>
      <c r="O257" s="2"/>
      <c r="P257" s="2"/>
      <c r="Q257" s="2"/>
      <c r="R257" s="2"/>
      <c r="S257" s="2"/>
      <c r="T257" s="2"/>
      <c r="U257" s="2"/>
      <c r="V257" s="2"/>
    </row>
    <row r="258" spans="1:22" s="120" customFormat="1" x14ac:dyDescent="0.2">
      <c r="A258" s="2"/>
      <c r="B258" s="2"/>
      <c r="C258" s="2"/>
      <c r="D258" s="2"/>
      <c r="E258" s="2"/>
      <c r="F258" s="2"/>
      <c r="G258" s="2"/>
      <c r="H258" s="2"/>
      <c r="I258" s="2"/>
      <c r="J258" s="2"/>
      <c r="K258" s="2"/>
      <c r="L258" s="2"/>
      <c r="M258" s="2"/>
      <c r="N258" s="2"/>
      <c r="O258" s="2"/>
      <c r="P258" s="2"/>
      <c r="Q258" s="2"/>
      <c r="R258" s="2"/>
      <c r="S258" s="2"/>
      <c r="T258" s="2"/>
      <c r="U258" s="2"/>
      <c r="V258" s="2"/>
    </row>
    <row r="259" spans="1:22" s="120" customFormat="1" x14ac:dyDescent="0.2">
      <c r="A259" s="2"/>
      <c r="B259" s="2"/>
      <c r="C259" s="2"/>
      <c r="D259" s="2"/>
      <c r="E259" s="2"/>
      <c r="F259" s="2"/>
      <c r="G259" s="2"/>
      <c r="H259" s="2"/>
      <c r="I259" s="2"/>
      <c r="J259" s="2"/>
      <c r="K259" s="2"/>
      <c r="L259" s="2"/>
      <c r="M259" s="2"/>
      <c r="N259" s="2"/>
      <c r="O259" s="2"/>
      <c r="P259" s="2"/>
      <c r="Q259" s="2"/>
      <c r="R259" s="2"/>
      <c r="S259" s="2"/>
      <c r="T259" s="2"/>
      <c r="U259" s="2"/>
      <c r="V259" s="2"/>
    </row>
    <row r="260" spans="1:22" s="120" customFormat="1" x14ac:dyDescent="0.2">
      <c r="A260" s="2"/>
      <c r="B260" s="2"/>
      <c r="C260" s="2"/>
      <c r="D260" s="2"/>
      <c r="E260" s="2"/>
      <c r="F260" s="2"/>
      <c r="G260" s="2"/>
      <c r="H260" s="2"/>
      <c r="I260" s="2"/>
      <c r="J260" s="2"/>
      <c r="K260" s="2"/>
      <c r="L260" s="2"/>
      <c r="M260" s="2"/>
      <c r="N260" s="2"/>
      <c r="O260" s="2"/>
      <c r="P260" s="2"/>
      <c r="Q260" s="2"/>
      <c r="R260" s="2"/>
      <c r="S260" s="2"/>
      <c r="T260" s="2"/>
      <c r="U260" s="2"/>
      <c r="V260" s="2"/>
    </row>
    <row r="261" spans="1:22" s="120" customFormat="1" x14ac:dyDescent="0.2">
      <c r="A261" s="2"/>
      <c r="B261" s="2"/>
      <c r="C261" s="2"/>
      <c r="D261" s="2"/>
      <c r="E261" s="2"/>
      <c r="F261" s="2"/>
      <c r="G261" s="2"/>
      <c r="H261" s="2"/>
      <c r="I261" s="2"/>
      <c r="J261" s="2"/>
      <c r="K261" s="2"/>
      <c r="L261" s="2"/>
      <c r="M261" s="2"/>
      <c r="N261" s="2"/>
      <c r="O261" s="2"/>
      <c r="P261" s="2"/>
      <c r="Q261" s="2"/>
      <c r="R261" s="2"/>
      <c r="S261" s="2"/>
      <c r="T261" s="2"/>
      <c r="U261" s="2"/>
      <c r="V261" s="2"/>
    </row>
    <row r="262" spans="1:22" s="120" customFormat="1" x14ac:dyDescent="0.2">
      <c r="A262" s="2"/>
      <c r="B262" s="2"/>
      <c r="C262" s="2"/>
      <c r="D262" s="2"/>
      <c r="E262" s="2"/>
      <c r="F262" s="2"/>
      <c r="G262" s="2"/>
      <c r="H262" s="2"/>
      <c r="I262" s="2"/>
      <c r="J262" s="2"/>
      <c r="K262" s="2"/>
      <c r="L262" s="2"/>
      <c r="M262" s="2"/>
      <c r="N262" s="2"/>
      <c r="O262" s="2"/>
      <c r="P262" s="2"/>
      <c r="Q262" s="2"/>
      <c r="R262" s="2"/>
      <c r="S262" s="2"/>
      <c r="T262" s="2"/>
      <c r="U262" s="2"/>
      <c r="V262" s="2"/>
    </row>
    <row r="263" spans="1:22" s="120" customFormat="1" x14ac:dyDescent="0.2">
      <c r="A263" s="2"/>
      <c r="B263" s="2"/>
      <c r="C263" s="2"/>
      <c r="D263" s="2"/>
      <c r="E263" s="2"/>
      <c r="F263" s="2"/>
      <c r="G263" s="2"/>
      <c r="H263" s="2"/>
      <c r="I263" s="2"/>
      <c r="J263" s="2"/>
      <c r="K263" s="2"/>
      <c r="L263" s="2"/>
      <c r="M263" s="2"/>
      <c r="N263" s="2"/>
      <c r="O263" s="2"/>
      <c r="P263" s="2"/>
      <c r="Q263" s="2"/>
      <c r="R263" s="2"/>
      <c r="S263" s="2"/>
      <c r="T263" s="2"/>
      <c r="U263" s="2"/>
      <c r="V263" s="2"/>
    </row>
    <row r="264" spans="1:22" s="120" customFormat="1" x14ac:dyDescent="0.2">
      <c r="A264" s="2"/>
      <c r="B264" s="2"/>
      <c r="C264" s="2"/>
      <c r="D264" s="2"/>
      <c r="E264" s="2"/>
      <c r="F264" s="2"/>
      <c r="G264" s="2"/>
      <c r="H264" s="2"/>
      <c r="I264" s="2"/>
      <c r="J264" s="2"/>
      <c r="K264" s="2"/>
      <c r="L264" s="2"/>
      <c r="M264" s="2"/>
      <c r="N264" s="2"/>
      <c r="O264" s="2"/>
      <c r="P264" s="2"/>
      <c r="Q264" s="2"/>
      <c r="R264" s="2"/>
      <c r="S264" s="2"/>
      <c r="T264" s="2"/>
      <c r="U264" s="2"/>
      <c r="V264" s="2"/>
    </row>
    <row r="265" spans="1:22" s="120" customFormat="1" x14ac:dyDescent="0.2">
      <c r="A265" s="2"/>
      <c r="B265" s="2"/>
      <c r="C265" s="2"/>
      <c r="D265" s="2"/>
      <c r="E265" s="2"/>
      <c r="F265" s="2"/>
      <c r="G265" s="2"/>
      <c r="H265" s="2"/>
      <c r="I265" s="2"/>
      <c r="J265" s="2"/>
      <c r="K265" s="2"/>
      <c r="L265" s="2"/>
      <c r="M265" s="2"/>
      <c r="N265" s="2"/>
      <c r="O265" s="2"/>
      <c r="P265" s="2"/>
      <c r="Q265" s="2"/>
      <c r="R265" s="2"/>
      <c r="S265" s="2"/>
      <c r="T265" s="2"/>
      <c r="U265" s="2"/>
      <c r="V265" s="2"/>
    </row>
    <row r="266" spans="1:22" s="120" customFormat="1" x14ac:dyDescent="0.2">
      <c r="A266" s="2"/>
      <c r="B266" s="2"/>
      <c r="C266" s="2"/>
      <c r="D266" s="2"/>
      <c r="E266" s="2"/>
      <c r="F266" s="2"/>
      <c r="G266" s="2"/>
      <c r="H266" s="2"/>
      <c r="I266" s="2"/>
      <c r="J266" s="2"/>
      <c r="K266" s="2"/>
      <c r="L266" s="2"/>
      <c r="M266" s="2"/>
      <c r="N266" s="2"/>
      <c r="O266" s="2"/>
      <c r="P266" s="2"/>
      <c r="Q266" s="2"/>
      <c r="R266" s="2"/>
      <c r="S266" s="2"/>
      <c r="T266" s="2"/>
      <c r="U266" s="2"/>
      <c r="V266" s="2"/>
    </row>
    <row r="267" spans="1:22" s="120" customFormat="1" x14ac:dyDescent="0.2">
      <c r="A267" s="2"/>
      <c r="B267" s="2"/>
      <c r="C267" s="2"/>
      <c r="D267" s="2"/>
      <c r="E267" s="2"/>
      <c r="F267" s="2"/>
      <c r="G267" s="2"/>
      <c r="H267" s="2"/>
      <c r="I267" s="2"/>
      <c r="J267" s="2"/>
      <c r="K267" s="2"/>
      <c r="L267" s="2"/>
      <c r="M267" s="2"/>
      <c r="N267" s="2"/>
      <c r="O267" s="2"/>
      <c r="P267" s="2"/>
      <c r="Q267" s="2"/>
      <c r="R267" s="2"/>
      <c r="S267" s="2"/>
      <c r="T267" s="2"/>
      <c r="U267" s="2"/>
      <c r="V267" s="2"/>
    </row>
    <row r="268" spans="1:22" s="120" customFormat="1" x14ac:dyDescent="0.2">
      <c r="A268" s="2"/>
      <c r="B268" s="2"/>
      <c r="C268" s="2"/>
      <c r="D268" s="2"/>
      <c r="E268" s="2"/>
      <c r="F268" s="2"/>
      <c r="G268" s="2"/>
      <c r="H268" s="2"/>
      <c r="I268" s="2"/>
      <c r="J268" s="2"/>
      <c r="K268" s="2"/>
      <c r="L268" s="2"/>
      <c r="M268" s="2"/>
      <c r="N268" s="2"/>
      <c r="O268" s="2"/>
      <c r="P268" s="2"/>
      <c r="Q268" s="2"/>
      <c r="R268" s="2"/>
      <c r="S268" s="2"/>
      <c r="T268" s="2"/>
      <c r="U268" s="2"/>
      <c r="V268" s="2"/>
    </row>
    <row r="269" spans="1:22" s="120" customFormat="1" x14ac:dyDescent="0.2">
      <c r="A269" s="2"/>
      <c r="B269" s="2"/>
      <c r="C269" s="2"/>
      <c r="D269" s="2"/>
      <c r="E269" s="2"/>
      <c r="F269" s="2"/>
      <c r="G269" s="2"/>
      <c r="H269" s="2"/>
      <c r="I269" s="2"/>
      <c r="J269" s="2"/>
      <c r="K269" s="2"/>
      <c r="L269" s="2"/>
      <c r="M269" s="2"/>
      <c r="N269" s="2"/>
      <c r="O269" s="2"/>
      <c r="P269" s="2"/>
      <c r="Q269" s="2"/>
      <c r="R269" s="2"/>
      <c r="S269" s="2"/>
      <c r="T269" s="2"/>
      <c r="U269" s="2"/>
      <c r="V269" s="2"/>
    </row>
    <row r="270" spans="1:22" s="120" customFormat="1" x14ac:dyDescent="0.2">
      <c r="A270" s="2"/>
      <c r="B270" s="2"/>
      <c r="C270" s="2"/>
      <c r="D270" s="2"/>
      <c r="E270" s="2"/>
      <c r="F270" s="2"/>
      <c r="G270" s="2"/>
      <c r="H270" s="2"/>
      <c r="I270" s="2"/>
      <c r="J270" s="2"/>
      <c r="K270" s="2"/>
      <c r="L270" s="2"/>
      <c r="M270" s="2"/>
      <c r="N270" s="2"/>
      <c r="O270" s="2"/>
      <c r="P270" s="2"/>
      <c r="Q270" s="2"/>
      <c r="R270" s="2"/>
      <c r="S270" s="2"/>
      <c r="T270" s="2"/>
      <c r="U270" s="2"/>
      <c r="V270" s="2"/>
    </row>
    <row r="271" spans="1:22" s="120" customFormat="1" x14ac:dyDescent="0.2">
      <c r="A271" s="2"/>
      <c r="B271" s="2"/>
      <c r="C271" s="2"/>
      <c r="D271" s="2"/>
      <c r="E271" s="2"/>
      <c r="F271" s="2"/>
      <c r="G271" s="2"/>
      <c r="H271" s="2"/>
      <c r="I271" s="2"/>
      <c r="J271" s="2"/>
      <c r="K271" s="2"/>
      <c r="L271" s="2"/>
      <c r="M271" s="2"/>
      <c r="N271" s="2"/>
      <c r="O271" s="2"/>
      <c r="P271" s="2"/>
      <c r="Q271" s="2"/>
      <c r="R271" s="2"/>
      <c r="S271" s="2"/>
      <c r="T271" s="2"/>
      <c r="U271" s="2"/>
      <c r="V271" s="2"/>
    </row>
    <row r="272" spans="1:22" s="120" customFormat="1" x14ac:dyDescent="0.2">
      <c r="A272" s="2"/>
      <c r="B272" s="2"/>
      <c r="C272" s="2"/>
      <c r="D272" s="2"/>
      <c r="E272" s="2"/>
      <c r="F272" s="2"/>
      <c r="G272" s="2"/>
      <c r="H272" s="2"/>
      <c r="I272" s="2"/>
      <c r="J272" s="2"/>
      <c r="K272" s="2"/>
      <c r="L272" s="2"/>
      <c r="M272" s="2"/>
      <c r="N272" s="2"/>
      <c r="O272" s="2"/>
      <c r="P272" s="2"/>
      <c r="Q272" s="2"/>
      <c r="R272" s="2"/>
      <c r="S272" s="2"/>
      <c r="T272" s="2"/>
      <c r="U272" s="2"/>
      <c r="V272" s="2"/>
    </row>
    <row r="273" spans="1:22" s="120" customFormat="1" x14ac:dyDescent="0.2">
      <c r="A273" s="2"/>
      <c r="B273" s="2"/>
      <c r="C273" s="2"/>
      <c r="D273" s="2"/>
      <c r="E273" s="2"/>
      <c r="F273" s="2"/>
      <c r="G273" s="2"/>
      <c r="H273" s="2"/>
      <c r="I273" s="2"/>
      <c r="J273" s="2"/>
      <c r="K273" s="2"/>
      <c r="L273" s="2"/>
      <c r="M273" s="2"/>
      <c r="N273" s="2"/>
      <c r="O273" s="2"/>
      <c r="P273" s="2"/>
      <c r="Q273" s="2"/>
      <c r="R273" s="2"/>
      <c r="S273" s="2"/>
      <c r="T273" s="2"/>
      <c r="U273" s="2"/>
      <c r="V273" s="2"/>
    </row>
    <row r="274" spans="1:22" s="120" customFormat="1" x14ac:dyDescent="0.2">
      <c r="A274" s="2"/>
      <c r="B274" s="2"/>
      <c r="C274" s="2"/>
      <c r="D274" s="2"/>
      <c r="E274" s="2"/>
      <c r="F274" s="2"/>
      <c r="G274" s="2"/>
      <c r="H274" s="2"/>
      <c r="I274" s="2"/>
      <c r="J274" s="2"/>
      <c r="K274" s="2"/>
      <c r="L274" s="2"/>
      <c r="M274" s="2"/>
      <c r="N274" s="2"/>
      <c r="O274" s="2"/>
      <c r="P274" s="2"/>
      <c r="Q274" s="2"/>
      <c r="R274" s="2"/>
      <c r="S274" s="2"/>
      <c r="T274" s="2"/>
      <c r="U274" s="2"/>
      <c r="V274" s="2"/>
    </row>
    <row r="275" spans="1:22" s="120" customFormat="1" x14ac:dyDescent="0.2">
      <c r="A275" s="2"/>
      <c r="B275" s="2"/>
      <c r="C275" s="2"/>
      <c r="D275" s="2"/>
      <c r="E275" s="2"/>
      <c r="F275" s="2"/>
      <c r="G275" s="2"/>
      <c r="H275" s="2"/>
      <c r="I275" s="2"/>
      <c r="J275" s="2"/>
      <c r="K275" s="2"/>
      <c r="L275" s="2"/>
      <c r="M275" s="2"/>
      <c r="N275" s="2"/>
      <c r="O275" s="2"/>
      <c r="P275" s="2"/>
      <c r="Q275" s="2"/>
      <c r="R275" s="2"/>
      <c r="S275" s="2"/>
      <c r="T275" s="2"/>
      <c r="U275" s="2"/>
      <c r="V275" s="2"/>
    </row>
    <row r="276" spans="1:22" s="120" customFormat="1" x14ac:dyDescent="0.2">
      <c r="A276" s="2"/>
      <c r="B276" s="2"/>
      <c r="C276" s="2"/>
      <c r="D276" s="2"/>
      <c r="E276" s="2"/>
      <c r="F276" s="2"/>
      <c r="G276" s="2"/>
      <c r="H276" s="2"/>
      <c r="I276" s="2"/>
      <c r="J276" s="2"/>
      <c r="K276" s="2"/>
      <c r="L276" s="2"/>
      <c r="M276" s="2"/>
      <c r="N276" s="2"/>
      <c r="O276" s="2"/>
      <c r="P276" s="2"/>
      <c r="Q276" s="2"/>
      <c r="R276" s="2"/>
      <c r="S276" s="2"/>
      <c r="T276" s="2"/>
      <c r="U276" s="2"/>
      <c r="V276" s="2"/>
    </row>
    <row r="277" spans="1:22" s="120" customFormat="1" x14ac:dyDescent="0.2">
      <c r="A277" s="2"/>
      <c r="B277" s="2"/>
      <c r="C277" s="2"/>
      <c r="D277" s="2"/>
      <c r="E277" s="2"/>
      <c r="F277" s="2"/>
      <c r="G277" s="2"/>
      <c r="H277" s="2"/>
      <c r="I277" s="2"/>
      <c r="J277" s="2"/>
      <c r="K277" s="2"/>
      <c r="L277" s="2"/>
      <c r="M277" s="2"/>
      <c r="N277" s="2"/>
      <c r="O277" s="2"/>
      <c r="P277" s="2"/>
      <c r="Q277" s="2"/>
      <c r="R277" s="2"/>
      <c r="S277" s="2"/>
      <c r="T277" s="2"/>
      <c r="U277" s="2"/>
      <c r="V277" s="2"/>
    </row>
    <row r="278" spans="1:22" s="120" customFormat="1" x14ac:dyDescent="0.2">
      <c r="A278" s="2"/>
      <c r="B278" s="2"/>
      <c r="C278" s="2"/>
      <c r="D278" s="2"/>
      <c r="E278" s="2"/>
      <c r="F278" s="2"/>
      <c r="G278" s="2"/>
      <c r="H278" s="2"/>
      <c r="I278" s="2"/>
      <c r="J278" s="2"/>
      <c r="K278" s="2"/>
      <c r="L278" s="2"/>
      <c r="M278" s="2"/>
      <c r="N278" s="2"/>
      <c r="O278" s="2"/>
      <c r="P278" s="2"/>
      <c r="Q278" s="2"/>
      <c r="R278" s="2"/>
      <c r="S278" s="2"/>
      <c r="T278" s="2"/>
      <c r="U278" s="2"/>
      <c r="V278" s="2"/>
    </row>
    <row r="279" spans="1:22" s="120" customFormat="1" x14ac:dyDescent="0.2">
      <c r="A279" s="2"/>
      <c r="B279" s="2"/>
      <c r="C279" s="2"/>
      <c r="D279" s="2"/>
      <c r="E279" s="2"/>
      <c r="F279" s="2"/>
      <c r="G279" s="2"/>
      <c r="H279" s="2"/>
      <c r="I279" s="2"/>
      <c r="J279" s="2"/>
      <c r="K279" s="2"/>
      <c r="L279" s="2"/>
      <c r="M279" s="2"/>
      <c r="N279" s="2"/>
      <c r="O279" s="2"/>
      <c r="P279" s="2"/>
      <c r="Q279" s="2"/>
      <c r="R279" s="2"/>
      <c r="S279" s="2"/>
      <c r="T279" s="2"/>
      <c r="U279" s="2"/>
      <c r="V279" s="2"/>
    </row>
    <row r="280" spans="1:22" s="120" customFormat="1" x14ac:dyDescent="0.2">
      <c r="A280" s="2"/>
      <c r="B280" s="2"/>
      <c r="C280" s="2"/>
      <c r="D280" s="2"/>
      <c r="E280" s="2"/>
      <c r="F280" s="2"/>
      <c r="G280" s="2"/>
      <c r="H280" s="2"/>
      <c r="I280" s="2"/>
      <c r="J280" s="2"/>
      <c r="K280" s="2"/>
      <c r="L280" s="2"/>
      <c r="M280" s="2"/>
      <c r="N280" s="2"/>
      <c r="O280" s="2"/>
      <c r="P280" s="2"/>
      <c r="Q280" s="2"/>
      <c r="R280" s="2"/>
      <c r="S280" s="2"/>
      <c r="T280" s="2"/>
      <c r="U280" s="2"/>
      <c r="V280" s="2"/>
    </row>
    <row r="281" spans="1:22" s="120" customFormat="1" x14ac:dyDescent="0.2">
      <c r="A281" s="2"/>
      <c r="B281" s="2"/>
      <c r="C281" s="2"/>
      <c r="D281" s="2"/>
      <c r="E281" s="2"/>
      <c r="F281" s="2"/>
      <c r="G281" s="2"/>
      <c r="H281" s="2"/>
      <c r="I281" s="2"/>
      <c r="J281" s="2"/>
      <c r="K281" s="2"/>
      <c r="L281" s="2"/>
      <c r="M281" s="2"/>
      <c r="N281" s="2"/>
      <c r="O281" s="2"/>
      <c r="P281" s="2"/>
      <c r="Q281" s="2"/>
      <c r="R281" s="2"/>
      <c r="S281" s="2"/>
      <c r="T281" s="2"/>
      <c r="U281" s="2"/>
      <c r="V281" s="2"/>
    </row>
    <row r="282" spans="1:22" s="120" customFormat="1" x14ac:dyDescent="0.2">
      <c r="A282" s="2"/>
      <c r="B282" s="2"/>
      <c r="C282" s="2"/>
      <c r="D282" s="2"/>
      <c r="E282" s="2"/>
      <c r="F282" s="2"/>
      <c r="G282" s="2"/>
      <c r="H282" s="2"/>
      <c r="I282" s="2"/>
      <c r="J282" s="2"/>
      <c r="K282" s="2"/>
      <c r="L282" s="2"/>
      <c r="M282" s="2"/>
      <c r="N282" s="2"/>
      <c r="O282" s="2"/>
      <c r="P282" s="2"/>
      <c r="Q282" s="2"/>
      <c r="R282" s="2"/>
      <c r="S282" s="2"/>
      <c r="T282" s="2"/>
      <c r="U282" s="2"/>
      <c r="V282" s="2"/>
    </row>
    <row r="283" spans="1:22" s="120" customFormat="1" x14ac:dyDescent="0.2">
      <c r="A283" s="2"/>
      <c r="B283" s="2"/>
      <c r="C283" s="2"/>
      <c r="D283" s="2"/>
      <c r="E283" s="2"/>
      <c r="F283" s="2"/>
      <c r="G283" s="2"/>
      <c r="H283" s="2"/>
      <c r="I283" s="2"/>
      <c r="J283" s="2"/>
      <c r="K283" s="2"/>
      <c r="L283" s="2"/>
      <c r="M283" s="2"/>
      <c r="N283" s="2"/>
      <c r="O283" s="2"/>
      <c r="P283" s="2"/>
      <c r="Q283" s="2"/>
      <c r="R283" s="2"/>
      <c r="S283" s="2"/>
      <c r="T283" s="2"/>
      <c r="U283" s="2"/>
      <c r="V283" s="2"/>
    </row>
    <row r="284" spans="1:22" s="120" customFormat="1" x14ac:dyDescent="0.2">
      <c r="A284" s="2"/>
      <c r="B284" s="2"/>
      <c r="C284" s="2"/>
      <c r="D284" s="2"/>
      <c r="E284" s="2"/>
      <c r="F284" s="2"/>
      <c r="G284" s="2"/>
      <c r="H284" s="2"/>
      <c r="I284" s="2"/>
      <c r="J284" s="2"/>
      <c r="K284" s="2"/>
      <c r="L284" s="2"/>
      <c r="M284" s="2"/>
      <c r="N284" s="2"/>
      <c r="O284" s="2"/>
      <c r="P284" s="2"/>
      <c r="Q284" s="2"/>
      <c r="R284" s="2"/>
      <c r="S284" s="2"/>
      <c r="T284" s="2"/>
      <c r="U284" s="2"/>
      <c r="V284" s="2"/>
    </row>
    <row r="285" spans="1:22" s="120" customFormat="1" x14ac:dyDescent="0.2">
      <c r="A285" s="2"/>
      <c r="B285" s="2"/>
      <c r="C285" s="2"/>
      <c r="D285" s="2"/>
      <c r="E285" s="2"/>
      <c r="F285" s="2"/>
      <c r="G285" s="2"/>
      <c r="H285" s="2"/>
      <c r="I285" s="2"/>
      <c r="J285" s="2"/>
      <c r="K285" s="2"/>
      <c r="L285" s="2"/>
      <c r="M285" s="2"/>
      <c r="N285" s="2"/>
      <c r="O285" s="2"/>
      <c r="P285" s="2"/>
      <c r="Q285" s="2"/>
      <c r="R285" s="2"/>
      <c r="S285" s="2"/>
      <c r="T285" s="2"/>
      <c r="U285" s="2"/>
      <c r="V285" s="2"/>
    </row>
    <row r="286" spans="1:22" s="120" customFormat="1" x14ac:dyDescent="0.2">
      <c r="A286" s="2"/>
      <c r="B286" s="2"/>
      <c r="C286" s="2"/>
      <c r="D286" s="2"/>
      <c r="E286" s="2"/>
      <c r="F286" s="2"/>
      <c r="G286" s="2"/>
      <c r="H286" s="2"/>
      <c r="I286" s="2"/>
      <c r="J286" s="2"/>
      <c r="K286" s="2"/>
      <c r="L286" s="2"/>
      <c r="M286" s="2"/>
      <c r="N286" s="2"/>
      <c r="O286" s="2"/>
      <c r="P286" s="2"/>
      <c r="Q286" s="2"/>
      <c r="R286" s="2"/>
      <c r="S286" s="2"/>
      <c r="T286" s="2"/>
      <c r="U286" s="2"/>
      <c r="V286" s="2"/>
    </row>
    <row r="287" spans="1:22" s="120" customFormat="1" x14ac:dyDescent="0.2">
      <c r="A287" s="2"/>
      <c r="B287" s="2"/>
      <c r="C287" s="2"/>
      <c r="D287" s="2"/>
      <c r="E287" s="2"/>
      <c r="F287" s="2"/>
      <c r="G287" s="2"/>
      <c r="H287" s="2"/>
      <c r="I287" s="2"/>
      <c r="J287" s="2"/>
      <c r="K287" s="2"/>
      <c r="L287" s="2"/>
      <c r="M287" s="2"/>
      <c r="N287" s="2"/>
      <c r="O287" s="2"/>
      <c r="P287" s="2"/>
      <c r="Q287" s="2"/>
      <c r="R287" s="2"/>
      <c r="S287" s="2"/>
      <c r="T287" s="2"/>
      <c r="U287" s="2"/>
      <c r="V287" s="2"/>
    </row>
    <row r="288" spans="1:22" s="120" customFormat="1" x14ac:dyDescent="0.2">
      <c r="A288" s="2"/>
      <c r="B288" s="2"/>
      <c r="C288" s="2"/>
      <c r="D288" s="2"/>
      <c r="E288" s="2"/>
      <c r="F288" s="2"/>
      <c r="G288" s="2"/>
      <c r="H288" s="2"/>
      <c r="I288" s="2"/>
      <c r="J288" s="2"/>
      <c r="K288" s="2"/>
      <c r="L288" s="2"/>
      <c r="M288" s="2"/>
      <c r="N288" s="2"/>
      <c r="O288" s="2"/>
      <c r="P288" s="2"/>
      <c r="Q288" s="2"/>
      <c r="R288" s="2"/>
      <c r="S288" s="2"/>
      <c r="T288" s="2"/>
      <c r="U288" s="2"/>
      <c r="V288" s="2"/>
    </row>
    <row r="289" spans="1:22" s="120" customFormat="1" x14ac:dyDescent="0.2">
      <c r="A289" s="2"/>
      <c r="B289" s="2"/>
      <c r="C289" s="2"/>
      <c r="D289" s="2"/>
      <c r="E289" s="2"/>
      <c r="F289" s="2"/>
      <c r="G289" s="2"/>
      <c r="H289" s="2"/>
      <c r="I289" s="2"/>
      <c r="J289" s="2"/>
      <c r="K289" s="2"/>
      <c r="L289" s="2"/>
      <c r="M289" s="2"/>
      <c r="N289" s="2"/>
      <c r="O289" s="2"/>
      <c r="P289" s="2"/>
      <c r="Q289" s="2"/>
      <c r="R289" s="2"/>
      <c r="S289" s="2"/>
      <c r="T289" s="2"/>
      <c r="U289" s="2"/>
      <c r="V289" s="2"/>
    </row>
    <row r="290" spans="1:22" s="120" customFormat="1" x14ac:dyDescent="0.2">
      <c r="A290" s="2"/>
      <c r="B290" s="2"/>
      <c r="C290" s="2"/>
      <c r="D290" s="2"/>
      <c r="E290" s="2"/>
      <c r="F290" s="2"/>
      <c r="G290" s="2"/>
      <c r="H290" s="2"/>
      <c r="I290" s="2"/>
      <c r="J290" s="2"/>
      <c r="K290" s="2"/>
      <c r="L290" s="2"/>
      <c r="M290" s="2"/>
      <c r="N290" s="2"/>
      <c r="O290" s="2"/>
      <c r="P290" s="2"/>
      <c r="Q290" s="2"/>
      <c r="R290" s="2"/>
      <c r="S290" s="2"/>
      <c r="T290" s="2"/>
      <c r="U290" s="2"/>
      <c r="V290" s="2"/>
    </row>
    <row r="291" spans="1:22" s="120" customFormat="1" x14ac:dyDescent="0.2">
      <c r="A291" s="2"/>
      <c r="B291" s="2"/>
      <c r="C291" s="2"/>
      <c r="D291" s="2"/>
      <c r="E291" s="2"/>
      <c r="F291" s="2"/>
      <c r="G291" s="2"/>
      <c r="H291" s="2"/>
      <c r="I291" s="2"/>
      <c r="J291" s="2"/>
      <c r="K291" s="2"/>
      <c r="L291" s="2"/>
      <c r="M291" s="2"/>
      <c r="N291" s="2"/>
      <c r="O291" s="2"/>
      <c r="P291" s="2"/>
      <c r="Q291" s="2"/>
      <c r="R291" s="2"/>
      <c r="S291" s="2"/>
      <c r="T291" s="2"/>
      <c r="U291" s="2"/>
      <c r="V291" s="2"/>
    </row>
    <row r="292" spans="1:22" s="120" customFormat="1" x14ac:dyDescent="0.2">
      <c r="A292" s="2"/>
      <c r="B292" s="2"/>
      <c r="C292" s="2"/>
      <c r="D292" s="2"/>
      <c r="E292" s="2"/>
      <c r="F292" s="2"/>
      <c r="G292" s="2"/>
      <c r="H292" s="2"/>
      <c r="I292" s="2"/>
      <c r="J292" s="2"/>
      <c r="K292" s="2"/>
      <c r="L292" s="2"/>
      <c r="M292" s="2"/>
      <c r="N292" s="2"/>
      <c r="O292" s="2"/>
      <c r="P292" s="2"/>
      <c r="Q292" s="2"/>
      <c r="R292" s="2"/>
      <c r="S292" s="2"/>
      <c r="T292" s="2"/>
      <c r="U292" s="2"/>
      <c r="V292" s="2"/>
    </row>
    <row r="293" spans="1:22" s="120" customFormat="1" x14ac:dyDescent="0.2">
      <c r="A293" s="2"/>
      <c r="B293" s="2"/>
      <c r="C293" s="2"/>
      <c r="D293" s="2"/>
      <c r="E293" s="2"/>
      <c r="F293" s="2"/>
      <c r="G293" s="2"/>
      <c r="H293" s="2"/>
      <c r="I293" s="2"/>
      <c r="J293" s="2"/>
      <c r="K293" s="2"/>
      <c r="L293" s="2"/>
      <c r="M293" s="2"/>
      <c r="N293" s="2"/>
      <c r="O293" s="2"/>
      <c r="P293" s="2"/>
      <c r="Q293" s="2"/>
      <c r="R293" s="2"/>
      <c r="S293" s="2"/>
      <c r="T293" s="2"/>
      <c r="U293" s="2"/>
      <c r="V293" s="2"/>
    </row>
    <row r="294" spans="1:22" s="120" customFormat="1" x14ac:dyDescent="0.2">
      <c r="A294" s="2"/>
      <c r="B294" s="2"/>
      <c r="C294" s="2"/>
      <c r="D294" s="2"/>
      <c r="E294" s="2"/>
      <c r="F294" s="2"/>
      <c r="G294" s="2"/>
      <c r="H294" s="2"/>
      <c r="I294" s="2"/>
      <c r="J294" s="2"/>
      <c r="K294" s="2"/>
      <c r="L294" s="2"/>
      <c r="M294" s="2"/>
      <c r="N294" s="2"/>
      <c r="O294" s="2"/>
      <c r="P294" s="2"/>
      <c r="Q294" s="2"/>
      <c r="R294" s="2"/>
      <c r="S294" s="2"/>
      <c r="T294" s="2"/>
      <c r="U294" s="2"/>
      <c r="V294" s="2"/>
    </row>
    <row r="295" spans="1:22" s="120" customFormat="1" x14ac:dyDescent="0.2">
      <c r="A295" s="2"/>
      <c r="B295" s="2"/>
      <c r="C295" s="2"/>
      <c r="D295" s="2"/>
      <c r="E295" s="2"/>
      <c r="F295" s="2"/>
      <c r="G295" s="2"/>
      <c r="H295" s="2"/>
      <c r="I295" s="2"/>
      <c r="J295" s="2"/>
      <c r="K295" s="2"/>
      <c r="L295" s="2"/>
      <c r="M295" s="2"/>
      <c r="N295" s="2"/>
      <c r="O295" s="2"/>
      <c r="P295" s="2"/>
      <c r="Q295" s="2"/>
      <c r="R295" s="2"/>
      <c r="S295" s="2"/>
      <c r="T295" s="2"/>
      <c r="U295" s="2"/>
      <c r="V295" s="2"/>
    </row>
    <row r="296" spans="1:22" s="120" customFormat="1" x14ac:dyDescent="0.2">
      <c r="A296" s="2"/>
      <c r="B296" s="2"/>
      <c r="C296" s="2"/>
      <c r="D296" s="2"/>
      <c r="E296" s="2"/>
      <c r="F296" s="2"/>
      <c r="G296" s="2"/>
      <c r="H296" s="2"/>
      <c r="I296" s="2"/>
      <c r="J296" s="2"/>
      <c r="K296" s="2"/>
      <c r="L296" s="2"/>
      <c r="M296" s="2"/>
      <c r="N296" s="2"/>
      <c r="O296" s="2"/>
      <c r="P296" s="2"/>
      <c r="Q296" s="2"/>
      <c r="R296" s="2"/>
      <c r="S296" s="2"/>
      <c r="T296" s="2"/>
      <c r="U296" s="2"/>
      <c r="V296" s="2"/>
    </row>
    <row r="297" spans="1:22" s="120" customFormat="1" x14ac:dyDescent="0.2">
      <c r="A297" s="2"/>
      <c r="B297" s="2"/>
      <c r="C297" s="2"/>
      <c r="D297" s="2"/>
      <c r="E297" s="2"/>
      <c r="F297" s="2"/>
      <c r="G297" s="2"/>
      <c r="H297" s="2"/>
      <c r="I297" s="2"/>
      <c r="J297" s="2"/>
      <c r="K297" s="2"/>
      <c r="L297" s="2"/>
      <c r="M297" s="2"/>
      <c r="N297" s="2"/>
      <c r="O297" s="2"/>
      <c r="P297" s="2"/>
      <c r="Q297" s="2"/>
      <c r="R297" s="2"/>
      <c r="S297" s="2"/>
      <c r="T297" s="2"/>
      <c r="U297" s="2"/>
      <c r="V297" s="2"/>
    </row>
    <row r="298" spans="1:22" s="120" customFormat="1" x14ac:dyDescent="0.2">
      <c r="A298" s="2"/>
      <c r="B298" s="2"/>
      <c r="C298" s="2"/>
      <c r="D298" s="2"/>
      <c r="E298" s="2"/>
      <c r="F298" s="2"/>
      <c r="G298" s="2"/>
      <c r="H298" s="2"/>
      <c r="I298" s="2"/>
      <c r="J298" s="2"/>
      <c r="K298" s="2"/>
      <c r="L298" s="2"/>
      <c r="M298" s="2"/>
      <c r="N298" s="2"/>
      <c r="O298" s="2"/>
      <c r="P298" s="2"/>
      <c r="Q298" s="2"/>
      <c r="R298" s="2"/>
      <c r="S298" s="2"/>
      <c r="T298" s="2"/>
      <c r="U298" s="2"/>
      <c r="V298" s="2"/>
    </row>
    <row r="299" spans="1:22" s="120" customFormat="1" x14ac:dyDescent="0.2">
      <c r="A299" s="2"/>
      <c r="B299" s="2"/>
      <c r="C299" s="2"/>
      <c r="D299" s="2"/>
      <c r="E299" s="2"/>
      <c r="F299" s="2"/>
      <c r="G299" s="2"/>
      <c r="H299" s="2"/>
      <c r="I299" s="2"/>
      <c r="J299" s="2"/>
      <c r="K299" s="2"/>
      <c r="L299" s="2"/>
      <c r="M299" s="2"/>
      <c r="N299" s="2"/>
      <c r="O299" s="2"/>
      <c r="P299" s="2"/>
      <c r="Q299" s="2"/>
      <c r="R299" s="2"/>
      <c r="S299" s="2"/>
      <c r="T299" s="2"/>
      <c r="U299" s="2"/>
      <c r="V299" s="2"/>
    </row>
    <row r="300" spans="1:22" s="120" customFormat="1" x14ac:dyDescent="0.2">
      <c r="A300" s="2"/>
      <c r="B300" s="2"/>
      <c r="C300" s="2"/>
      <c r="D300" s="2"/>
      <c r="E300" s="2"/>
      <c r="F300" s="2"/>
      <c r="G300" s="2"/>
      <c r="H300" s="2"/>
      <c r="I300" s="2"/>
      <c r="J300" s="2"/>
      <c r="K300" s="2"/>
      <c r="L300" s="2"/>
      <c r="M300" s="2"/>
      <c r="N300" s="2"/>
      <c r="O300" s="2"/>
      <c r="P300" s="2"/>
      <c r="Q300" s="2"/>
      <c r="R300" s="2"/>
      <c r="S300" s="2"/>
      <c r="T300" s="2"/>
      <c r="U300" s="2"/>
      <c r="V300" s="2"/>
    </row>
    <row r="301" spans="1:22" s="120" customFormat="1" x14ac:dyDescent="0.2">
      <c r="A301" s="2"/>
      <c r="B301" s="2"/>
      <c r="C301" s="2"/>
      <c r="D301" s="2"/>
      <c r="E301" s="2"/>
      <c r="F301" s="2"/>
      <c r="G301" s="2"/>
      <c r="H301" s="2"/>
      <c r="I301" s="2"/>
      <c r="J301" s="2"/>
      <c r="K301" s="2"/>
      <c r="L301" s="2"/>
      <c r="M301" s="2"/>
      <c r="N301" s="2"/>
      <c r="O301" s="2"/>
      <c r="P301" s="2"/>
      <c r="Q301" s="2"/>
      <c r="R301" s="2"/>
      <c r="S301" s="2"/>
      <c r="T301" s="2"/>
      <c r="U301" s="2"/>
      <c r="V301" s="2"/>
    </row>
    <row r="302" spans="1:22" s="120" customFormat="1" x14ac:dyDescent="0.2">
      <c r="A302" s="2"/>
      <c r="B302" s="2"/>
      <c r="C302" s="2"/>
      <c r="D302" s="2"/>
      <c r="E302" s="2"/>
      <c r="F302" s="2"/>
      <c r="G302" s="2"/>
      <c r="H302" s="2"/>
      <c r="I302" s="2"/>
      <c r="J302" s="2"/>
      <c r="K302" s="2"/>
      <c r="L302" s="2"/>
      <c r="M302" s="2"/>
      <c r="N302" s="2"/>
      <c r="O302" s="2"/>
      <c r="P302" s="2"/>
      <c r="Q302" s="2"/>
      <c r="R302" s="2"/>
      <c r="S302" s="2"/>
      <c r="T302" s="2"/>
      <c r="U302" s="2"/>
      <c r="V302" s="2"/>
    </row>
    <row r="303" spans="1:22" s="120" customFormat="1" x14ac:dyDescent="0.2">
      <c r="A303" s="2"/>
      <c r="B303" s="2"/>
      <c r="C303" s="2"/>
      <c r="D303" s="2"/>
      <c r="E303" s="2"/>
      <c r="F303" s="2"/>
      <c r="G303" s="2"/>
      <c r="H303" s="2"/>
      <c r="I303" s="2"/>
      <c r="J303" s="2"/>
      <c r="K303" s="2"/>
      <c r="L303" s="2"/>
      <c r="M303" s="2"/>
      <c r="N303" s="2"/>
      <c r="O303" s="2"/>
      <c r="P303" s="2"/>
      <c r="Q303" s="2"/>
      <c r="R303" s="2"/>
      <c r="S303" s="2"/>
      <c r="T303" s="2"/>
      <c r="U303" s="2"/>
      <c r="V303" s="2"/>
    </row>
    <row r="304" spans="1:22" s="120" customFormat="1" x14ac:dyDescent="0.2">
      <c r="A304" s="2"/>
      <c r="B304" s="2"/>
      <c r="C304" s="2"/>
      <c r="D304" s="2"/>
      <c r="E304" s="2"/>
      <c r="F304" s="2"/>
      <c r="G304" s="2"/>
      <c r="H304" s="2"/>
      <c r="I304" s="2"/>
      <c r="J304" s="2"/>
      <c r="K304" s="2"/>
      <c r="L304" s="2"/>
      <c r="M304" s="2"/>
      <c r="N304" s="2"/>
      <c r="O304" s="2"/>
      <c r="P304" s="2"/>
      <c r="Q304" s="2"/>
      <c r="R304" s="2"/>
      <c r="S304" s="2"/>
      <c r="T304" s="2"/>
      <c r="U304" s="2"/>
      <c r="V304" s="2"/>
    </row>
    <row r="305" spans="1:22" s="120" customFormat="1" x14ac:dyDescent="0.2">
      <c r="A305" s="2"/>
      <c r="B305" s="2"/>
      <c r="C305" s="2"/>
      <c r="D305" s="2"/>
      <c r="E305" s="2"/>
      <c r="F305" s="2"/>
      <c r="G305" s="2"/>
      <c r="H305" s="2"/>
      <c r="I305" s="2"/>
      <c r="J305" s="2"/>
      <c r="K305" s="2"/>
      <c r="L305" s="2"/>
      <c r="M305" s="2"/>
      <c r="N305" s="2"/>
      <c r="O305" s="2"/>
      <c r="P305" s="2"/>
      <c r="Q305" s="2"/>
      <c r="R305" s="2"/>
      <c r="S305" s="2"/>
      <c r="T305" s="2"/>
      <c r="U305" s="2"/>
      <c r="V305" s="2"/>
    </row>
    <row r="306" spans="1:22" s="120" customFormat="1" x14ac:dyDescent="0.2">
      <c r="A306" s="2"/>
      <c r="B306" s="2"/>
      <c r="C306" s="2"/>
      <c r="D306" s="2"/>
      <c r="E306" s="2"/>
      <c r="F306" s="2"/>
      <c r="G306" s="2"/>
      <c r="H306" s="2"/>
      <c r="I306" s="2"/>
      <c r="J306" s="2"/>
      <c r="K306" s="2"/>
      <c r="L306" s="2"/>
      <c r="M306" s="2"/>
      <c r="N306" s="2"/>
      <c r="O306" s="2"/>
      <c r="P306" s="2"/>
      <c r="Q306" s="2"/>
      <c r="R306" s="2"/>
      <c r="S306" s="2"/>
      <c r="T306" s="2"/>
      <c r="U306" s="2"/>
      <c r="V306" s="2"/>
    </row>
    <row r="307" spans="1:22" s="120" customFormat="1" x14ac:dyDescent="0.2">
      <c r="A307" s="2"/>
      <c r="B307" s="2"/>
      <c r="C307" s="2"/>
      <c r="D307" s="2"/>
      <c r="E307" s="2"/>
      <c r="F307" s="2"/>
      <c r="G307" s="2"/>
      <c r="H307" s="2"/>
      <c r="I307" s="2"/>
      <c r="J307" s="2"/>
      <c r="K307" s="2"/>
      <c r="L307" s="2"/>
      <c r="M307" s="2"/>
      <c r="N307" s="2"/>
      <c r="O307" s="2"/>
      <c r="P307" s="2"/>
      <c r="Q307" s="2"/>
      <c r="R307" s="2"/>
      <c r="S307" s="2"/>
      <c r="T307" s="2"/>
      <c r="U307" s="2"/>
      <c r="V307" s="2"/>
    </row>
    <row r="308" spans="1:22" s="120" customFormat="1" x14ac:dyDescent="0.2">
      <c r="A308" s="2"/>
      <c r="B308" s="2"/>
      <c r="C308" s="2"/>
      <c r="D308" s="2"/>
      <c r="E308" s="2"/>
      <c r="F308" s="2"/>
      <c r="G308" s="2"/>
      <c r="H308" s="2"/>
      <c r="I308" s="2"/>
      <c r="J308" s="2"/>
      <c r="K308" s="2"/>
      <c r="L308" s="2"/>
      <c r="M308" s="2"/>
      <c r="N308" s="2"/>
      <c r="O308" s="2"/>
      <c r="P308" s="2"/>
      <c r="Q308" s="2"/>
      <c r="R308" s="2"/>
      <c r="S308" s="2"/>
      <c r="T308" s="2"/>
      <c r="U308" s="2"/>
      <c r="V308" s="2"/>
    </row>
    <row r="309" spans="1:22" s="120" customFormat="1" x14ac:dyDescent="0.2">
      <c r="A309" s="2"/>
      <c r="B309" s="2"/>
      <c r="C309" s="2"/>
      <c r="D309" s="2"/>
      <c r="E309" s="2"/>
      <c r="F309" s="2"/>
      <c r="G309" s="2"/>
      <c r="H309" s="2"/>
      <c r="I309" s="2"/>
      <c r="J309" s="2"/>
      <c r="K309" s="2"/>
      <c r="L309" s="2"/>
      <c r="M309" s="2"/>
      <c r="N309" s="2"/>
      <c r="O309" s="2"/>
      <c r="P309" s="2"/>
      <c r="Q309" s="2"/>
      <c r="R309" s="2"/>
      <c r="S309" s="2"/>
      <c r="T309" s="2"/>
      <c r="U309" s="2"/>
      <c r="V309" s="2"/>
    </row>
    <row r="310" spans="1:22" s="120" customFormat="1" x14ac:dyDescent="0.2">
      <c r="A310" s="2"/>
      <c r="B310" s="2"/>
      <c r="C310" s="2"/>
      <c r="D310" s="2"/>
      <c r="E310" s="2"/>
      <c r="F310" s="2"/>
      <c r="G310" s="2"/>
      <c r="H310" s="2"/>
      <c r="I310" s="2"/>
      <c r="J310" s="2"/>
      <c r="K310" s="2"/>
      <c r="L310" s="2"/>
      <c r="M310" s="2"/>
      <c r="N310" s="2"/>
      <c r="O310" s="2"/>
      <c r="P310" s="2"/>
      <c r="Q310" s="2"/>
      <c r="R310" s="2"/>
      <c r="S310" s="2"/>
      <c r="T310" s="2"/>
      <c r="U310" s="2"/>
      <c r="V310" s="2"/>
    </row>
    <row r="311" spans="1:22" s="120" customFormat="1" x14ac:dyDescent="0.2">
      <c r="A311" s="2"/>
      <c r="B311" s="2"/>
      <c r="C311" s="2"/>
      <c r="D311" s="2"/>
      <c r="E311" s="2"/>
      <c r="F311" s="2"/>
      <c r="G311" s="2"/>
      <c r="H311" s="2"/>
      <c r="I311" s="2"/>
      <c r="J311" s="2"/>
      <c r="K311" s="2"/>
      <c r="L311" s="2"/>
      <c r="M311" s="2"/>
      <c r="N311" s="2"/>
      <c r="O311" s="2"/>
      <c r="P311" s="2"/>
      <c r="Q311" s="2"/>
      <c r="R311" s="2"/>
      <c r="S311" s="2"/>
      <c r="T311" s="2"/>
      <c r="U311" s="2"/>
      <c r="V311" s="2"/>
    </row>
    <row r="312" spans="1:22" s="120" customFormat="1" x14ac:dyDescent="0.2">
      <c r="A312" s="2"/>
      <c r="B312" s="2"/>
      <c r="C312" s="2"/>
      <c r="D312" s="2"/>
      <c r="E312" s="2"/>
      <c r="F312" s="2"/>
      <c r="G312" s="2"/>
      <c r="H312" s="2"/>
      <c r="I312" s="2"/>
      <c r="J312" s="2"/>
      <c r="K312" s="2"/>
      <c r="L312" s="2"/>
      <c r="M312" s="2"/>
      <c r="N312" s="2"/>
      <c r="O312" s="2"/>
      <c r="P312" s="2"/>
      <c r="Q312" s="2"/>
      <c r="R312" s="2"/>
      <c r="S312" s="2"/>
      <c r="T312" s="2"/>
      <c r="U312" s="2"/>
      <c r="V312" s="2"/>
    </row>
    <row r="313" spans="1:22" s="120" customFormat="1" x14ac:dyDescent="0.2">
      <c r="A313" s="2"/>
      <c r="B313" s="2"/>
      <c r="C313" s="2"/>
      <c r="D313" s="2"/>
      <c r="E313" s="2"/>
      <c r="F313" s="2"/>
      <c r="G313" s="2"/>
      <c r="H313" s="2"/>
      <c r="I313" s="2"/>
      <c r="J313" s="2"/>
      <c r="K313" s="2"/>
      <c r="L313" s="2"/>
      <c r="M313" s="2"/>
      <c r="N313" s="2"/>
      <c r="O313" s="2"/>
      <c r="P313" s="2"/>
      <c r="Q313" s="2"/>
      <c r="R313" s="2"/>
      <c r="S313" s="2"/>
      <c r="T313" s="2"/>
      <c r="U313" s="2"/>
      <c r="V313" s="2"/>
    </row>
    <row r="314" spans="1:22" s="120" customFormat="1" x14ac:dyDescent="0.2">
      <c r="A314" s="2"/>
      <c r="B314" s="2"/>
      <c r="C314" s="2"/>
      <c r="D314" s="2"/>
      <c r="E314" s="2"/>
      <c r="F314" s="2"/>
      <c r="G314" s="2"/>
      <c r="H314" s="2"/>
      <c r="I314" s="2"/>
      <c r="J314" s="2"/>
      <c r="K314" s="2"/>
      <c r="L314" s="2"/>
      <c r="M314" s="2"/>
      <c r="N314" s="2"/>
      <c r="O314" s="2"/>
      <c r="P314" s="2"/>
      <c r="Q314" s="2"/>
      <c r="R314" s="2"/>
      <c r="S314" s="2"/>
      <c r="T314" s="2"/>
      <c r="U314" s="2"/>
      <c r="V314" s="2"/>
    </row>
    <row r="315" spans="1:22" s="120" customFormat="1" x14ac:dyDescent="0.2">
      <c r="A315" s="2"/>
      <c r="B315" s="2"/>
      <c r="C315" s="2"/>
      <c r="D315" s="2"/>
      <c r="E315" s="2"/>
      <c r="F315" s="2"/>
      <c r="G315" s="2"/>
      <c r="H315" s="2"/>
      <c r="I315" s="2"/>
      <c r="J315" s="2"/>
      <c r="K315" s="2"/>
      <c r="L315" s="2"/>
      <c r="M315" s="2"/>
      <c r="N315" s="2"/>
      <c r="O315" s="2"/>
      <c r="P315" s="2"/>
      <c r="Q315" s="2"/>
      <c r="R315" s="2"/>
      <c r="S315" s="2"/>
      <c r="T315" s="2"/>
      <c r="U315" s="2"/>
      <c r="V315" s="2"/>
    </row>
    <row r="316" spans="1:22" s="120" customFormat="1" x14ac:dyDescent="0.2">
      <c r="A316" s="2"/>
      <c r="B316" s="2"/>
      <c r="C316" s="2"/>
      <c r="D316" s="2"/>
      <c r="E316" s="2"/>
      <c r="F316" s="2"/>
      <c r="G316" s="2"/>
      <c r="H316" s="2"/>
      <c r="I316" s="2"/>
      <c r="J316" s="2"/>
      <c r="K316" s="2"/>
      <c r="L316" s="2"/>
      <c r="M316" s="2"/>
      <c r="N316" s="2"/>
      <c r="O316" s="2"/>
      <c r="P316" s="2"/>
      <c r="Q316" s="2"/>
      <c r="R316" s="2"/>
      <c r="S316" s="2"/>
      <c r="T316" s="2"/>
      <c r="U316" s="2"/>
      <c r="V316" s="2"/>
    </row>
    <row r="317" spans="1:22" s="120" customFormat="1" x14ac:dyDescent="0.2">
      <c r="A317" s="2"/>
      <c r="B317" s="2"/>
      <c r="C317" s="2"/>
      <c r="D317" s="2"/>
      <c r="E317" s="2"/>
      <c r="F317" s="2"/>
      <c r="G317" s="2"/>
      <c r="H317" s="2"/>
      <c r="I317" s="2"/>
      <c r="J317" s="2"/>
      <c r="K317" s="2"/>
      <c r="L317" s="2"/>
      <c r="M317" s="2"/>
      <c r="N317" s="2"/>
      <c r="O317" s="2"/>
      <c r="P317" s="2"/>
      <c r="Q317" s="2"/>
      <c r="R317" s="2"/>
      <c r="S317" s="2"/>
      <c r="T317" s="2"/>
      <c r="U317" s="2"/>
      <c r="V317" s="2"/>
    </row>
    <row r="318" spans="1:22" s="120" customFormat="1" x14ac:dyDescent="0.2">
      <c r="A318" s="2"/>
      <c r="B318" s="2"/>
      <c r="C318" s="2"/>
      <c r="D318" s="2"/>
      <c r="E318" s="2"/>
      <c r="F318" s="2"/>
      <c r="G318" s="2"/>
      <c r="H318" s="2"/>
      <c r="I318" s="2"/>
      <c r="J318" s="2"/>
      <c r="K318" s="2"/>
      <c r="L318" s="2"/>
      <c r="M318" s="2"/>
      <c r="N318" s="2"/>
      <c r="O318" s="2"/>
      <c r="P318" s="2"/>
      <c r="Q318" s="2"/>
      <c r="R318" s="2"/>
      <c r="S318" s="2"/>
      <c r="T318" s="2"/>
      <c r="U318" s="2"/>
      <c r="V318" s="2"/>
    </row>
    <row r="319" spans="1:22" s="120" customFormat="1" x14ac:dyDescent="0.2">
      <c r="A319" s="2"/>
      <c r="B319" s="2"/>
      <c r="C319" s="2"/>
      <c r="D319" s="2"/>
      <c r="E319" s="2"/>
      <c r="F319" s="2"/>
      <c r="G319" s="2"/>
      <c r="H319" s="2"/>
      <c r="I319" s="2"/>
      <c r="J319" s="2"/>
      <c r="K319" s="2"/>
      <c r="L319" s="2"/>
      <c r="M319" s="2"/>
      <c r="N319" s="2"/>
      <c r="O319" s="2"/>
      <c r="P319" s="2"/>
      <c r="Q319" s="2"/>
      <c r="R319" s="2"/>
      <c r="S319" s="2"/>
      <c r="T319" s="2"/>
      <c r="U319" s="2"/>
      <c r="V319" s="2"/>
    </row>
    <row r="320" spans="1:22" s="120" customFormat="1" x14ac:dyDescent="0.2">
      <c r="A320" s="2"/>
      <c r="B320" s="2"/>
      <c r="C320" s="2"/>
      <c r="D320" s="2"/>
      <c r="E320" s="2"/>
      <c r="F320" s="2"/>
      <c r="G320" s="2"/>
      <c r="H320" s="2"/>
      <c r="I320" s="2"/>
      <c r="J320" s="2"/>
      <c r="K320" s="2"/>
      <c r="L320" s="2"/>
      <c r="M320" s="2"/>
      <c r="N320" s="2"/>
      <c r="O320" s="2"/>
      <c r="P320" s="2"/>
      <c r="Q320" s="2"/>
      <c r="R320" s="2"/>
      <c r="S320" s="2"/>
      <c r="T320" s="2"/>
      <c r="U320" s="2"/>
      <c r="V320" s="2"/>
    </row>
    <row r="321" spans="1:22" s="120" customFormat="1" x14ac:dyDescent="0.2">
      <c r="A321" s="2"/>
      <c r="B321" s="2"/>
      <c r="C321" s="2"/>
      <c r="D321" s="2"/>
      <c r="E321" s="2"/>
      <c r="F321" s="2"/>
      <c r="G321" s="2"/>
      <c r="H321" s="2"/>
      <c r="I321" s="2"/>
      <c r="J321" s="2"/>
      <c r="K321" s="2"/>
      <c r="L321" s="2"/>
      <c r="M321" s="2"/>
      <c r="N321" s="2"/>
      <c r="O321" s="2"/>
      <c r="P321" s="2"/>
      <c r="Q321" s="2"/>
      <c r="R321" s="2"/>
      <c r="S321" s="2"/>
      <c r="T321" s="2"/>
      <c r="U321" s="2"/>
      <c r="V321" s="2"/>
    </row>
    <row r="322" spans="1:22" s="120" customFormat="1" x14ac:dyDescent="0.2">
      <c r="A322" s="2"/>
      <c r="B322" s="2"/>
      <c r="C322" s="2"/>
      <c r="D322" s="2"/>
      <c r="E322" s="2"/>
      <c r="F322" s="2"/>
      <c r="G322" s="2"/>
      <c r="H322" s="2"/>
      <c r="I322" s="2"/>
      <c r="J322" s="2"/>
      <c r="K322" s="2"/>
      <c r="L322" s="2"/>
      <c r="M322" s="2"/>
      <c r="N322" s="2"/>
      <c r="O322" s="2"/>
      <c r="P322" s="2"/>
      <c r="Q322" s="2"/>
      <c r="R322" s="2"/>
      <c r="S322" s="2"/>
      <c r="T322" s="2"/>
      <c r="U322" s="2"/>
      <c r="V322" s="2"/>
    </row>
    <row r="323" spans="1:22" s="120" customFormat="1" x14ac:dyDescent="0.2">
      <c r="A323" s="2"/>
      <c r="B323" s="2"/>
      <c r="C323" s="2"/>
      <c r="D323" s="2"/>
      <c r="E323" s="2"/>
      <c r="F323" s="2"/>
      <c r="G323" s="2"/>
      <c r="H323" s="2"/>
      <c r="I323" s="2"/>
      <c r="J323" s="2"/>
      <c r="K323" s="2"/>
      <c r="L323" s="2"/>
      <c r="M323" s="2"/>
      <c r="N323" s="2"/>
      <c r="O323" s="2"/>
      <c r="P323" s="2"/>
      <c r="Q323" s="2"/>
      <c r="R323" s="2"/>
      <c r="S323" s="2"/>
      <c r="T323" s="2"/>
      <c r="U323" s="2"/>
      <c r="V323" s="2"/>
    </row>
    <row r="324" spans="1:22" s="120" customFormat="1" x14ac:dyDescent="0.2">
      <c r="A324" s="2"/>
      <c r="B324" s="2"/>
      <c r="C324" s="2"/>
      <c r="D324" s="2"/>
      <c r="E324" s="2"/>
      <c r="F324" s="2"/>
      <c r="G324" s="2"/>
      <c r="H324" s="2"/>
      <c r="I324" s="2"/>
      <c r="J324" s="2"/>
      <c r="K324" s="2"/>
      <c r="L324" s="2"/>
      <c r="M324" s="2"/>
      <c r="N324" s="2"/>
      <c r="O324" s="2"/>
      <c r="P324" s="2"/>
      <c r="Q324" s="2"/>
      <c r="R324" s="2"/>
      <c r="S324" s="2"/>
      <c r="T324" s="2"/>
      <c r="U324" s="2"/>
      <c r="V324" s="2"/>
    </row>
    <row r="325" spans="1:22" s="120" customFormat="1" x14ac:dyDescent="0.2">
      <c r="A325" s="2"/>
      <c r="B325" s="2"/>
      <c r="C325" s="2"/>
      <c r="D325" s="2"/>
      <c r="E325" s="2"/>
      <c r="F325" s="2"/>
      <c r="G325" s="2"/>
      <c r="H325" s="2"/>
      <c r="I325" s="2"/>
      <c r="J325" s="2"/>
      <c r="K325" s="2"/>
      <c r="L325" s="2"/>
      <c r="M325" s="2"/>
      <c r="N325" s="2"/>
      <c r="O325" s="2"/>
      <c r="P325" s="2"/>
      <c r="Q325" s="2"/>
      <c r="R325" s="2"/>
      <c r="S325" s="2"/>
      <c r="T325" s="2"/>
      <c r="U325" s="2"/>
      <c r="V325" s="2"/>
    </row>
    <row r="326" spans="1:22" s="120" customFormat="1" x14ac:dyDescent="0.2">
      <c r="A326" s="2"/>
      <c r="B326" s="2"/>
      <c r="C326" s="2"/>
      <c r="D326" s="2"/>
      <c r="E326" s="2"/>
      <c r="F326" s="2"/>
      <c r="G326" s="2"/>
      <c r="H326" s="2"/>
      <c r="I326" s="2"/>
      <c r="J326" s="2"/>
      <c r="K326" s="2"/>
      <c r="L326" s="2"/>
      <c r="M326" s="2"/>
      <c r="N326" s="2"/>
      <c r="O326" s="2"/>
      <c r="P326" s="2"/>
      <c r="Q326" s="2"/>
      <c r="R326" s="2"/>
      <c r="S326" s="2"/>
      <c r="T326" s="2"/>
      <c r="U326" s="2"/>
      <c r="V326" s="2"/>
    </row>
    <row r="327" spans="1:22" s="120" customFormat="1" x14ac:dyDescent="0.2">
      <c r="A327" s="2"/>
      <c r="B327" s="2"/>
      <c r="C327" s="2"/>
      <c r="D327" s="2"/>
      <c r="E327" s="2"/>
      <c r="F327" s="2"/>
      <c r="G327" s="2"/>
      <c r="H327" s="2"/>
      <c r="I327" s="2"/>
      <c r="J327" s="2"/>
      <c r="K327" s="2"/>
      <c r="L327" s="2"/>
      <c r="M327" s="2"/>
      <c r="N327" s="2"/>
      <c r="O327" s="2"/>
      <c r="P327" s="2"/>
      <c r="Q327" s="2"/>
      <c r="R327" s="2"/>
      <c r="S327" s="2"/>
      <c r="T327" s="2"/>
      <c r="U327" s="2"/>
      <c r="V327" s="2"/>
    </row>
    <row r="328" spans="1:22" s="120" customFormat="1" x14ac:dyDescent="0.2">
      <c r="A328" s="2"/>
      <c r="B328" s="2"/>
      <c r="C328" s="2"/>
      <c r="D328" s="2"/>
      <c r="E328" s="2"/>
      <c r="F328" s="2"/>
      <c r="G328" s="2"/>
      <c r="H328" s="2"/>
      <c r="I328" s="2"/>
      <c r="J328" s="2"/>
      <c r="K328" s="2"/>
      <c r="L328" s="2"/>
      <c r="M328" s="2"/>
      <c r="N328" s="2"/>
      <c r="O328" s="2"/>
      <c r="P328" s="2"/>
      <c r="Q328" s="2"/>
      <c r="R328" s="2"/>
      <c r="S328" s="2"/>
      <c r="T328" s="2"/>
      <c r="U328" s="2"/>
      <c r="V328" s="2"/>
    </row>
    <row r="329" spans="1:22" s="120" customFormat="1" x14ac:dyDescent="0.2">
      <c r="A329" s="2"/>
      <c r="B329" s="2"/>
      <c r="C329" s="2"/>
      <c r="D329" s="2"/>
      <c r="E329" s="2"/>
      <c r="F329" s="2"/>
      <c r="G329" s="2"/>
      <c r="H329" s="2"/>
      <c r="I329" s="2"/>
      <c r="J329" s="2"/>
      <c r="K329" s="2"/>
      <c r="L329" s="2"/>
      <c r="M329" s="2"/>
      <c r="N329" s="2"/>
      <c r="O329" s="2"/>
      <c r="P329" s="2"/>
      <c r="Q329" s="2"/>
      <c r="R329" s="2"/>
      <c r="S329" s="2"/>
      <c r="T329" s="2"/>
      <c r="U329" s="2"/>
      <c r="V329" s="2"/>
    </row>
    <row r="330" spans="1:22" s="120" customFormat="1" x14ac:dyDescent="0.2">
      <c r="A330" s="2"/>
      <c r="B330" s="2"/>
      <c r="C330" s="2"/>
      <c r="D330" s="2"/>
      <c r="E330" s="2"/>
      <c r="F330" s="2"/>
      <c r="G330" s="2"/>
      <c r="H330" s="2"/>
      <c r="I330" s="2"/>
      <c r="J330" s="2"/>
      <c r="K330" s="2"/>
      <c r="L330" s="2"/>
      <c r="M330" s="2"/>
      <c r="N330" s="2"/>
      <c r="O330" s="2"/>
      <c r="P330" s="2"/>
      <c r="Q330" s="2"/>
      <c r="R330" s="2"/>
      <c r="S330" s="2"/>
      <c r="T330" s="2"/>
      <c r="U330" s="2"/>
      <c r="V330" s="2"/>
    </row>
    <row r="331" spans="1:22" s="120" customFormat="1" x14ac:dyDescent="0.2">
      <c r="A331" s="2"/>
      <c r="B331" s="2"/>
      <c r="C331" s="2"/>
      <c r="D331" s="2"/>
      <c r="E331" s="2"/>
      <c r="F331" s="2"/>
      <c r="G331" s="2"/>
      <c r="H331" s="2"/>
      <c r="I331" s="2"/>
      <c r="J331" s="2"/>
      <c r="K331" s="2"/>
      <c r="L331" s="2"/>
      <c r="M331" s="2"/>
      <c r="N331" s="2"/>
      <c r="O331" s="2"/>
      <c r="P331" s="2"/>
      <c r="Q331" s="2"/>
      <c r="R331" s="2"/>
      <c r="S331" s="2"/>
      <c r="T331" s="2"/>
      <c r="U331" s="2"/>
      <c r="V331" s="2"/>
    </row>
    <row r="332" spans="1:22" s="120" customFormat="1" x14ac:dyDescent="0.2">
      <c r="A332" s="2"/>
      <c r="B332" s="2"/>
      <c r="C332" s="2"/>
      <c r="D332" s="2"/>
      <c r="E332" s="2"/>
      <c r="F332" s="2"/>
      <c r="G332" s="2"/>
      <c r="H332" s="2"/>
      <c r="I332" s="2"/>
      <c r="J332" s="2"/>
      <c r="K332" s="2"/>
      <c r="L332" s="2"/>
      <c r="M332" s="2"/>
      <c r="N332" s="2"/>
      <c r="O332" s="2"/>
      <c r="P332" s="2"/>
      <c r="Q332" s="2"/>
      <c r="R332" s="2"/>
      <c r="S332" s="2"/>
      <c r="T332" s="2"/>
      <c r="U332" s="2"/>
      <c r="V332" s="2"/>
    </row>
    <row r="333" spans="1:22" s="120" customFormat="1" x14ac:dyDescent="0.2">
      <c r="A333" s="2"/>
      <c r="B333" s="2"/>
      <c r="C333" s="2"/>
      <c r="D333" s="2"/>
      <c r="E333" s="2"/>
      <c r="F333" s="2"/>
      <c r="G333" s="2"/>
      <c r="H333" s="2"/>
      <c r="I333" s="2"/>
      <c r="J333" s="2"/>
      <c r="K333" s="2"/>
      <c r="L333" s="2"/>
      <c r="M333" s="2"/>
      <c r="N333" s="2"/>
      <c r="O333" s="2"/>
      <c r="P333" s="2"/>
      <c r="Q333" s="2"/>
      <c r="R333" s="2"/>
      <c r="S333" s="2"/>
      <c r="T333" s="2"/>
      <c r="U333" s="2"/>
      <c r="V333" s="2"/>
    </row>
    <row r="334" spans="1:22" s="120" customFormat="1" x14ac:dyDescent="0.2">
      <c r="A334" s="2"/>
      <c r="B334" s="2"/>
      <c r="C334" s="2"/>
      <c r="D334" s="2"/>
      <c r="E334" s="2"/>
      <c r="F334" s="2"/>
      <c r="G334" s="2"/>
      <c r="H334" s="2"/>
      <c r="I334" s="2"/>
      <c r="J334" s="2"/>
      <c r="K334" s="2"/>
      <c r="L334" s="2"/>
      <c r="M334" s="2"/>
      <c r="N334" s="2"/>
      <c r="O334" s="2"/>
      <c r="P334" s="2"/>
      <c r="Q334" s="2"/>
      <c r="R334" s="2"/>
      <c r="S334" s="2"/>
      <c r="T334" s="2"/>
      <c r="U334" s="2"/>
      <c r="V334" s="2"/>
    </row>
    <row r="335" spans="1:22" s="120" customFormat="1" x14ac:dyDescent="0.2">
      <c r="A335" s="2"/>
      <c r="B335" s="2"/>
      <c r="C335" s="2"/>
      <c r="D335" s="2"/>
      <c r="E335" s="2"/>
      <c r="F335" s="2"/>
      <c r="G335" s="2"/>
      <c r="H335" s="2"/>
      <c r="I335" s="2"/>
      <c r="J335" s="2"/>
      <c r="K335" s="2"/>
      <c r="L335" s="2"/>
      <c r="M335" s="2"/>
      <c r="N335" s="2"/>
      <c r="O335" s="2"/>
      <c r="P335" s="2"/>
      <c r="Q335" s="2"/>
      <c r="R335" s="2"/>
      <c r="S335" s="2"/>
      <c r="T335" s="2"/>
      <c r="U335" s="2"/>
      <c r="V335" s="2"/>
    </row>
    <row r="336" spans="1:22" s="120" customFormat="1" x14ac:dyDescent="0.2">
      <c r="A336" s="2"/>
      <c r="B336" s="2"/>
      <c r="C336" s="2"/>
      <c r="D336" s="2"/>
      <c r="E336" s="2"/>
      <c r="F336" s="2"/>
      <c r="G336" s="2"/>
      <c r="H336" s="2"/>
      <c r="I336" s="2"/>
      <c r="J336" s="2"/>
      <c r="K336" s="2"/>
      <c r="L336" s="2"/>
      <c r="M336" s="2"/>
      <c r="N336" s="2"/>
      <c r="O336" s="2"/>
      <c r="P336" s="2"/>
      <c r="Q336" s="2"/>
      <c r="R336" s="2"/>
      <c r="S336" s="2"/>
      <c r="T336" s="2"/>
      <c r="U336" s="2"/>
      <c r="V336" s="2"/>
    </row>
    <row r="337" spans="1:22" s="120" customFormat="1" x14ac:dyDescent="0.2">
      <c r="A337" s="2"/>
      <c r="B337" s="2"/>
      <c r="C337" s="2"/>
      <c r="D337" s="2"/>
      <c r="E337" s="2"/>
      <c r="F337" s="2"/>
      <c r="G337" s="2"/>
      <c r="H337" s="2"/>
      <c r="I337" s="2"/>
      <c r="J337" s="2"/>
      <c r="K337" s="2"/>
      <c r="L337" s="2"/>
      <c r="M337" s="2"/>
      <c r="N337" s="2"/>
      <c r="O337" s="2"/>
      <c r="P337" s="2"/>
      <c r="Q337" s="2"/>
      <c r="R337" s="2"/>
      <c r="S337" s="2"/>
      <c r="T337" s="2"/>
      <c r="U337" s="2"/>
      <c r="V337" s="2"/>
    </row>
    <row r="338" spans="1:22" s="120" customFormat="1" x14ac:dyDescent="0.2">
      <c r="A338" s="2"/>
      <c r="B338" s="2"/>
      <c r="C338" s="2"/>
      <c r="D338" s="2"/>
      <c r="E338" s="2"/>
      <c r="F338" s="2"/>
      <c r="G338" s="2"/>
      <c r="H338" s="2"/>
      <c r="I338" s="2"/>
      <c r="J338" s="2"/>
      <c r="K338" s="2"/>
      <c r="L338" s="2"/>
      <c r="M338" s="2"/>
      <c r="N338" s="2"/>
      <c r="O338" s="2"/>
      <c r="P338" s="2"/>
      <c r="Q338" s="2"/>
      <c r="R338" s="2"/>
      <c r="S338" s="2"/>
      <c r="T338" s="2"/>
      <c r="U338" s="2"/>
      <c r="V338" s="2"/>
    </row>
    <row r="339" spans="1:22" s="120" customFormat="1" x14ac:dyDescent="0.2">
      <c r="A339" s="2"/>
      <c r="B339" s="2"/>
      <c r="C339" s="2"/>
      <c r="D339" s="2"/>
      <c r="E339" s="2"/>
      <c r="F339" s="2"/>
      <c r="G339" s="2"/>
      <c r="H339" s="2"/>
      <c r="I339" s="2"/>
      <c r="J339" s="2"/>
      <c r="K339" s="2"/>
      <c r="L339" s="2"/>
      <c r="M339" s="2"/>
      <c r="N339" s="2"/>
      <c r="O339" s="2"/>
      <c r="P339" s="2"/>
      <c r="Q339" s="2"/>
      <c r="R339" s="2"/>
      <c r="S339" s="2"/>
      <c r="T339" s="2"/>
      <c r="U339" s="2"/>
      <c r="V339" s="2"/>
    </row>
    <row r="340" spans="1:22" s="120" customFormat="1" x14ac:dyDescent="0.2">
      <c r="A340" s="2"/>
      <c r="B340" s="2"/>
      <c r="C340" s="2"/>
      <c r="D340" s="2"/>
      <c r="E340" s="2"/>
      <c r="F340" s="2"/>
      <c r="G340" s="2"/>
      <c r="H340" s="2"/>
      <c r="I340" s="2"/>
      <c r="J340" s="2"/>
      <c r="K340" s="2"/>
      <c r="L340" s="2"/>
      <c r="M340" s="2"/>
      <c r="N340" s="2"/>
      <c r="O340" s="2"/>
      <c r="P340" s="2"/>
      <c r="Q340" s="2"/>
      <c r="R340" s="2"/>
      <c r="S340" s="2"/>
      <c r="T340" s="2"/>
      <c r="U340" s="2"/>
      <c r="V340" s="2"/>
    </row>
    <row r="341" spans="1:22" s="120" customFormat="1" x14ac:dyDescent="0.2">
      <c r="A341" s="2"/>
      <c r="B341" s="2"/>
      <c r="C341" s="2"/>
      <c r="D341" s="2"/>
      <c r="E341" s="2"/>
      <c r="F341" s="2"/>
      <c r="G341" s="2"/>
      <c r="H341" s="2"/>
      <c r="I341" s="2"/>
      <c r="J341" s="2"/>
      <c r="K341" s="2"/>
      <c r="L341" s="2"/>
      <c r="M341" s="2"/>
      <c r="N341" s="2"/>
      <c r="O341" s="2"/>
      <c r="P341" s="2"/>
      <c r="Q341" s="2"/>
      <c r="R341" s="2"/>
      <c r="S341" s="2"/>
      <c r="T341" s="2"/>
      <c r="U341" s="2"/>
      <c r="V341" s="2"/>
    </row>
    <row r="342" spans="1:22" s="120" customFormat="1" x14ac:dyDescent="0.2">
      <c r="A342" s="2"/>
      <c r="B342" s="2"/>
      <c r="C342" s="2"/>
      <c r="D342" s="2"/>
      <c r="E342" s="2"/>
      <c r="F342" s="2"/>
      <c r="G342" s="2"/>
      <c r="H342" s="2"/>
      <c r="I342" s="2"/>
      <c r="J342" s="2"/>
      <c r="K342" s="2"/>
      <c r="L342" s="2"/>
      <c r="M342" s="2"/>
      <c r="N342" s="2"/>
      <c r="O342" s="2"/>
      <c r="P342" s="2"/>
      <c r="Q342" s="2"/>
      <c r="R342" s="2"/>
      <c r="S342" s="2"/>
      <c r="T342" s="2"/>
      <c r="U342" s="2"/>
      <c r="V342" s="2"/>
    </row>
    <row r="343" spans="1:22" s="120" customFormat="1" x14ac:dyDescent="0.2">
      <c r="A343" s="2"/>
      <c r="B343" s="2"/>
      <c r="C343" s="2"/>
      <c r="D343" s="2"/>
      <c r="E343" s="2"/>
      <c r="F343" s="2"/>
      <c r="G343" s="2"/>
      <c r="H343" s="2"/>
      <c r="I343" s="2"/>
      <c r="J343" s="2"/>
      <c r="K343" s="2"/>
      <c r="L343" s="2"/>
      <c r="M343" s="2"/>
      <c r="N343" s="2"/>
      <c r="O343" s="2"/>
      <c r="P343" s="2"/>
      <c r="Q343" s="2"/>
      <c r="R343" s="2"/>
      <c r="S343" s="2"/>
      <c r="T343" s="2"/>
      <c r="U343" s="2"/>
      <c r="V343" s="2"/>
    </row>
    <row r="344" spans="1:22" s="120" customFormat="1" x14ac:dyDescent="0.2">
      <c r="A344" s="2"/>
      <c r="B344" s="2"/>
      <c r="C344" s="2"/>
      <c r="D344" s="2"/>
      <c r="E344" s="2"/>
      <c r="F344" s="2"/>
      <c r="G344" s="2"/>
      <c r="H344" s="2"/>
      <c r="I344" s="2"/>
      <c r="J344" s="2"/>
      <c r="K344" s="2"/>
      <c r="L344" s="2"/>
      <c r="M344" s="2"/>
      <c r="N344" s="2"/>
      <c r="O344" s="2"/>
      <c r="P344" s="2"/>
      <c r="Q344" s="2"/>
      <c r="R344" s="2"/>
      <c r="S344" s="2"/>
      <c r="T344" s="2"/>
      <c r="U344" s="2"/>
      <c r="V344" s="2"/>
    </row>
    <row r="345" spans="1:22" s="120" customFormat="1" x14ac:dyDescent="0.2">
      <c r="A345" s="2"/>
      <c r="B345" s="2"/>
      <c r="C345" s="2"/>
      <c r="D345" s="2"/>
      <c r="E345" s="2"/>
      <c r="F345" s="2"/>
      <c r="G345" s="2"/>
      <c r="H345" s="2"/>
      <c r="I345" s="2"/>
      <c r="J345" s="2"/>
      <c r="K345" s="2"/>
      <c r="L345" s="2"/>
      <c r="M345" s="2"/>
      <c r="N345" s="2"/>
      <c r="O345" s="2"/>
      <c r="P345" s="2"/>
      <c r="Q345" s="2"/>
      <c r="R345" s="2"/>
      <c r="S345" s="2"/>
      <c r="T345" s="2"/>
      <c r="U345" s="2"/>
      <c r="V345" s="2"/>
    </row>
    <row r="346" spans="1:22" s="120" customFormat="1" x14ac:dyDescent="0.2">
      <c r="A346" s="2"/>
      <c r="B346" s="2"/>
      <c r="C346" s="2"/>
      <c r="D346" s="2"/>
      <c r="E346" s="2"/>
      <c r="F346" s="2"/>
      <c r="G346" s="2"/>
      <c r="H346" s="2"/>
      <c r="I346" s="2"/>
      <c r="J346" s="2"/>
      <c r="K346" s="2"/>
      <c r="L346" s="2"/>
      <c r="M346" s="2"/>
      <c r="N346" s="2"/>
      <c r="O346" s="2"/>
      <c r="P346" s="2"/>
      <c r="Q346" s="2"/>
      <c r="R346" s="2"/>
      <c r="S346" s="2"/>
      <c r="T346" s="2"/>
      <c r="U346" s="2"/>
      <c r="V346" s="2"/>
    </row>
    <row r="347" spans="1:22" s="120" customFormat="1" x14ac:dyDescent="0.2">
      <c r="A347" s="2"/>
      <c r="B347" s="2"/>
      <c r="C347" s="2"/>
      <c r="D347" s="2"/>
      <c r="E347" s="2"/>
      <c r="F347" s="2"/>
      <c r="G347" s="2"/>
      <c r="H347" s="2"/>
      <c r="I347" s="2"/>
      <c r="J347" s="2"/>
      <c r="K347" s="2"/>
      <c r="L347" s="2"/>
      <c r="M347" s="2"/>
      <c r="N347" s="2"/>
      <c r="O347" s="2"/>
      <c r="P347" s="2"/>
      <c r="Q347" s="2"/>
      <c r="R347" s="2"/>
      <c r="S347" s="2"/>
      <c r="T347" s="2"/>
      <c r="U347" s="2"/>
      <c r="V347" s="2"/>
    </row>
    <row r="348" spans="1:22" s="120" customFormat="1" x14ac:dyDescent="0.2">
      <c r="A348" s="2"/>
      <c r="B348" s="2"/>
      <c r="C348" s="2"/>
      <c r="D348" s="2"/>
      <c r="E348" s="2"/>
      <c r="F348" s="2"/>
      <c r="G348" s="2"/>
      <c r="H348" s="2"/>
      <c r="I348" s="2"/>
      <c r="J348" s="2"/>
      <c r="K348" s="2"/>
      <c r="L348" s="2"/>
      <c r="M348" s="2"/>
      <c r="N348" s="2"/>
      <c r="O348" s="2"/>
      <c r="P348" s="2"/>
      <c r="Q348" s="2"/>
      <c r="R348" s="2"/>
      <c r="S348" s="2"/>
      <c r="T348" s="2"/>
      <c r="U348" s="2"/>
      <c r="V348" s="2"/>
    </row>
    <row r="349" spans="1:22" s="120" customFormat="1" x14ac:dyDescent="0.2">
      <c r="A349" s="2"/>
      <c r="B349" s="2"/>
      <c r="C349" s="2"/>
      <c r="D349" s="2"/>
      <c r="E349" s="2"/>
      <c r="F349" s="2"/>
      <c r="G349" s="2"/>
      <c r="H349" s="2"/>
      <c r="I349" s="2"/>
      <c r="J349" s="2"/>
      <c r="K349" s="2"/>
      <c r="L349" s="2"/>
      <c r="M349" s="2"/>
      <c r="N349" s="2"/>
      <c r="O349" s="2"/>
      <c r="P349" s="2"/>
      <c r="Q349" s="2"/>
      <c r="R349" s="2"/>
      <c r="S349" s="2"/>
      <c r="T349" s="2"/>
      <c r="U349" s="2"/>
      <c r="V349" s="2"/>
    </row>
    <row r="350" spans="1:22" s="120" customFormat="1" x14ac:dyDescent="0.2">
      <c r="A350" s="2"/>
      <c r="B350" s="2"/>
      <c r="C350" s="2"/>
      <c r="D350" s="2"/>
      <c r="E350" s="2"/>
      <c r="F350" s="2"/>
      <c r="G350" s="2"/>
      <c r="H350" s="2"/>
      <c r="I350" s="2"/>
      <c r="J350" s="2"/>
      <c r="K350" s="2"/>
      <c r="L350" s="2"/>
      <c r="M350" s="2"/>
      <c r="N350" s="2"/>
      <c r="O350" s="2"/>
      <c r="P350" s="2"/>
      <c r="Q350" s="2"/>
      <c r="R350" s="2"/>
      <c r="S350" s="2"/>
      <c r="T350" s="2"/>
      <c r="U350" s="2"/>
      <c r="V350" s="2"/>
    </row>
    <row r="351" spans="1:22" s="120" customFormat="1" x14ac:dyDescent="0.2">
      <c r="A351" s="2"/>
      <c r="B351" s="2"/>
      <c r="C351" s="2"/>
      <c r="D351" s="2"/>
      <c r="E351" s="2"/>
      <c r="F351" s="2"/>
      <c r="G351" s="2"/>
      <c r="H351" s="2"/>
      <c r="I351" s="2"/>
      <c r="J351" s="2"/>
      <c r="K351" s="2"/>
      <c r="L351" s="2"/>
      <c r="M351" s="2"/>
      <c r="N351" s="2"/>
      <c r="O351" s="2"/>
      <c r="P351" s="2"/>
      <c r="Q351" s="2"/>
      <c r="R351" s="2"/>
      <c r="S351" s="2"/>
      <c r="T351" s="2"/>
      <c r="U351" s="2"/>
      <c r="V351" s="2"/>
    </row>
    <row r="352" spans="1:22" s="120" customFormat="1" x14ac:dyDescent="0.2">
      <c r="A352" s="2"/>
      <c r="B352" s="2"/>
      <c r="C352" s="2"/>
      <c r="D352" s="2"/>
      <c r="E352" s="2"/>
      <c r="F352" s="2"/>
      <c r="G352" s="2"/>
      <c r="H352" s="2"/>
      <c r="I352" s="2"/>
      <c r="J352" s="2"/>
      <c r="K352" s="2"/>
      <c r="L352" s="2"/>
      <c r="M352" s="2"/>
      <c r="N352" s="2"/>
      <c r="O352" s="2"/>
      <c r="P352" s="2"/>
      <c r="Q352" s="2"/>
      <c r="R352" s="2"/>
      <c r="S352" s="2"/>
      <c r="T352" s="2"/>
      <c r="U352" s="2"/>
      <c r="V352" s="2"/>
    </row>
    <row r="353" spans="1:22" s="120" customFormat="1" x14ac:dyDescent="0.2">
      <c r="A353" s="2"/>
      <c r="B353" s="2"/>
      <c r="C353" s="2"/>
      <c r="D353" s="2"/>
      <c r="E353" s="2"/>
      <c r="F353" s="2"/>
      <c r="G353" s="2"/>
      <c r="H353" s="2"/>
      <c r="I353" s="2"/>
      <c r="J353" s="2"/>
      <c r="K353" s="2"/>
      <c r="L353" s="2"/>
      <c r="M353" s="2"/>
      <c r="N353" s="2"/>
      <c r="O353" s="2"/>
      <c r="P353" s="2"/>
      <c r="Q353" s="2"/>
      <c r="R353" s="2"/>
      <c r="S353" s="2"/>
      <c r="T353" s="2"/>
      <c r="U353" s="2"/>
      <c r="V353" s="2"/>
    </row>
    <row r="354" spans="1:22" s="120" customFormat="1" x14ac:dyDescent="0.2">
      <c r="A354" s="2"/>
      <c r="B354" s="2"/>
      <c r="C354" s="2"/>
      <c r="D354" s="2"/>
      <c r="E354" s="2"/>
      <c r="F354" s="2"/>
      <c r="G354" s="2"/>
      <c r="H354" s="2"/>
      <c r="I354" s="2"/>
      <c r="J354" s="2"/>
      <c r="K354" s="2"/>
      <c r="L354" s="2"/>
      <c r="M354" s="2"/>
      <c r="N354" s="2"/>
      <c r="O354" s="2"/>
      <c r="P354" s="2"/>
      <c r="Q354" s="2"/>
      <c r="R354" s="2"/>
      <c r="S354" s="2"/>
      <c r="T354" s="2"/>
      <c r="U354" s="2"/>
      <c r="V354" s="2"/>
    </row>
    <row r="355" spans="1:22" s="120" customFormat="1" x14ac:dyDescent="0.2">
      <c r="A355" s="2"/>
      <c r="B355" s="2"/>
      <c r="C355" s="2"/>
      <c r="D355" s="2"/>
      <c r="E355" s="2"/>
      <c r="F355" s="2"/>
      <c r="G355" s="2"/>
      <c r="H355" s="2"/>
      <c r="I355" s="2"/>
      <c r="J355" s="2"/>
      <c r="K355" s="2"/>
      <c r="L355" s="2"/>
      <c r="M355" s="2"/>
      <c r="N355" s="2"/>
      <c r="O355" s="2"/>
      <c r="P355" s="2"/>
      <c r="Q355" s="2"/>
      <c r="R355" s="2"/>
      <c r="S355" s="2"/>
      <c r="T355" s="2"/>
      <c r="U355" s="2"/>
      <c r="V355" s="2"/>
    </row>
    <row r="356" spans="1:22" s="120" customFormat="1" x14ac:dyDescent="0.2">
      <c r="A356" s="2"/>
      <c r="B356" s="2"/>
      <c r="C356" s="2"/>
      <c r="D356" s="2"/>
      <c r="E356" s="2"/>
      <c r="F356" s="2"/>
      <c r="G356" s="2"/>
      <c r="H356" s="2"/>
      <c r="I356" s="2"/>
      <c r="J356" s="2"/>
      <c r="K356" s="2"/>
      <c r="L356" s="2"/>
      <c r="M356" s="2"/>
      <c r="N356" s="2"/>
      <c r="O356" s="2"/>
      <c r="P356" s="2"/>
      <c r="Q356" s="2"/>
      <c r="R356" s="2"/>
      <c r="S356" s="2"/>
      <c r="T356" s="2"/>
      <c r="U356" s="2"/>
      <c r="V356" s="2"/>
    </row>
    <row r="357" spans="1:22" s="120" customFormat="1" x14ac:dyDescent="0.2">
      <c r="A357" s="2"/>
      <c r="B357" s="2"/>
      <c r="C357" s="2"/>
      <c r="D357" s="2"/>
      <c r="E357" s="2"/>
      <c r="F357" s="2"/>
      <c r="G357" s="2"/>
      <c r="H357" s="2"/>
      <c r="I357" s="2"/>
      <c r="J357" s="2"/>
      <c r="K357" s="2"/>
      <c r="L357" s="2"/>
      <c r="M357" s="2"/>
      <c r="N357" s="2"/>
      <c r="O357" s="2"/>
      <c r="P357" s="2"/>
      <c r="Q357" s="2"/>
      <c r="R357" s="2"/>
      <c r="S357" s="2"/>
      <c r="T357" s="2"/>
      <c r="U357" s="2"/>
      <c r="V357" s="2"/>
    </row>
    <row r="358" spans="1:22" s="120" customFormat="1" x14ac:dyDescent="0.2">
      <c r="A358" s="2"/>
      <c r="B358" s="2"/>
      <c r="C358" s="2"/>
      <c r="D358" s="2"/>
      <c r="E358" s="2"/>
      <c r="F358" s="2"/>
      <c r="G358" s="2"/>
      <c r="H358" s="2"/>
      <c r="I358" s="2"/>
      <c r="J358" s="2"/>
      <c r="K358" s="2"/>
      <c r="L358" s="2"/>
      <c r="M358" s="2"/>
      <c r="N358" s="2"/>
      <c r="O358" s="2"/>
      <c r="P358" s="2"/>
      <c r="Q358" s="2"/>
      <c r="R358" s="2"/>
      <c r="S358" s="2"/>
      <c r="T358" s="2"/>
      <c r="U358" s="2"/>
      <c r="V358" s="2"/>
    </row>
    <row r="359" spans="1:22" s="120" customFormat="1" x14ac:dyDescent="0.2">
      <c r="A359" s="2"/>
      <c r="B359" s="2"/>
      <c r="C359" s="2"/>
      <c r="D359" s="2"/>
      <c r="E359" s="2"/>
      <c r="F359" s="2"/>
      <c r="G359" s="2"/>
      <c r="H359" s="2"/>
      <c r="I359" s="2"/>
      <c r="J359" s="2"/>
      <c r="K359" s="2"/>
      <c r="L359" s="2"/>
      <c r="M359" s="2"/>
      <c r="N359" s="2"/>
      <c r="O359" s="2"/>
      <c r="P359" s="2"/>
      <c r="Q359" s="2"/>
      <c r="R359" s="2"/>
      <c r="S359" s="2"/>
      <c r="T359" s="2"/>
      <c r="U359" s="2"/>
      <c r="V359" s="2"/>
    </row>
    <row r="360" spans="1:22" s="120" customFormat="1" x14ac:dyDescent="0.2">
      <c r="A360" s="2"/>
      <c r="B360" s="2"/>
      <c r="C360" s="2"/>
      <c r="D360" s="2"/>
      <c r="E360" s="2"/>
      <c r="F360" s="2"/>
      <c r="G360" s="2"/>
      <c r="H360" s="2"/>
      <c r="I360" s="2"/>
      <c r="J360" s="2"/>
      <c r="K360" s="2"/>
      <c r="L360" s="2"/>
      <c r="M360" s="2"/>
      <c r="N360" s="2"/>
      <c r="O360" s="2"/>
      <c r="P360" s="2"/>
      <c r="Q360" s="2"/>
      <c r="R360" s="2"/>
      <c r="S360" s="2"/>
      <c r="T360" s="2"/>
      <c r="U360" s="2"/>
      <c r="V360" s="2"/>
    </row>
    <row r="361" spans="1:22" s="120" customFormat="1" x14ac:dyDescent="0.2">
      <c r="A361" s="2"/>
      <c r="B361" s="2"/>
      <c r="C361" s="2"/>
      <c r="D361" s="2"/>
      <c r="E361" s="2"/>
      <c r="F361" s="2"/>
      <c r="G361" s="2"/>
      <c r="H361" s="2"/>
      <c r="I361" s="2"/>
      <c r="J361" s="2"/>
      <c r="K361" s="2"/>
      <c r="L361" s="2"/>
      <c r="M361" s="2"/>
      <c r="N361" s="2"/>
      <c r="O361" s="2"/>
      <c r="P361" s="2"/>
      <c r="Q361" s="2"/>
      <c r="R361" s="2"/>
      <c r="S361" s="2"/>
      <c r="T361" s="2"/>
      <c r="U361" s="2"/>
      <c r="V361" s="2"/>
    </row>
    <row r="362" spans="1:22" s="120" customFormat="1" x14ac:dyDescent="0.2">
      <c r="A362" s="2"/>
      <c r="B362" s="2"/>
      <c r="C362" s="2"/>
      <c r="D362" s="2"/>
      <c r="E362" s="2"/>
      <c r="F362" s="2"/>
      <c r="G362" s="2"/>
      <c r="H362" s="2"/>
      <c r="I362" s="2"/>
      <c r="J362" s="2"/>
      <c r="K362" s="2"/>
      <c r="L362" s="2"/>
      <c r="M362" s="2"/>
      <c r="N362" s="2"/>
      <c r="O362" s="2"/>
      <c r="P362" s="2"/>
      <c r="Q362" s="2"/>
      <c r="R362" s="2"/>
      <c r="S362" s="2"/>
      <c r="T362" s="2"/>
      <c r="U362" s="2"/>
      <c r="V362" s="2"/>
    </row>
    <row r="363" spans="1:22" s="120" customFormat="1" x14ac:dyDescent="0.2">
      <c r="A363" s="2"/>
      <c r="B363" s="2"/>
      <c r="C363" s="2"/>
      <c r="D363" s="2"/>
      <c r="E363" s="2"/>
      <c r="F363" s="2"/>
      <c r="G363" s="2"/>
      <c r="H363" s="2"/>
      <c r="I363" s="2"/>
      <c r="J363" s="2"/>
      <c r="K363" s="2"/>
      <c r="L363" s="2"/>
      <c r="M363" s="2"/>
      <c r="N363" s="2"/>
      <c r="O363" s="2"/>
      <c r="P363" s="2"/>
      <c r="Q363" s="2"/>
      <c r="R363" s="2"/>
      <c r="S363" s="2"/>
      <c r="T363" s="2"/>
      <c r="U363" s="2"/>
      <c r="V363" s="2"/>
    </row>
    <row r="364" spans="1:22" s="120" customFormat="1" x14ac:dyDescent="0.2">
      <c r="A364" s="2"/>
      <c r="B364" s="2"/>
      <c r="C364" s="2"/>
      <c r="D364" s="2"/>
      <c r="E364" s="2"/>
      <c r="F364" s="2"/>
      <c r="G364" s="2"/>
      <c r="H364" s="2"/>
      <c r="I364" s="2"/>
      <c r="J364" s="2"/>
      <c r="K364" s="2"/>
      <c r="L364" s="2"/>
      <c r="M364" s="2"/>
      <c r="N364" s="2"/>
      <c r="O364" s="2"/>
      <c r="P364" s="2"/>
      <c r="Q364" s="2"/>
      <c r="R364" s="2"/>
      <c r="S364" s="2"/>
      <c r="T364" s="2"/>
      <c r="U364" s="2"/>
      <c r="V364" s="2"/>
    </row>
    <row r="365" spans="1:22" s="120" customFormat="1" x14ac:dyDescent="0.2">
      <c r="A365" s="2"/>
      <c r="B365" s="2"/>
      <c r="C365" s="2"/>
      <c r="D365" s="2"/>
      <c r="E365" s="2"/>
      <c r="F365" s="2"/>
      <c r="G365" s="2"/>
      <c r="H365" s="2"/>
      <c r="I365" s="2"/>
      <c r="J365" s="2"/>
      <c r="K365" s="2"/>
      <c r="L365" s="2"/>
      <c r="M365" s="2"/>
      <c r="N365" s="2"/>
      <c r="O365" s="2"/>
      <c r="P365" s="2"/>
      <c r="Q365" s="2"/>
      <c r="R365" s="2"/>
      <c r="S365" s="2"/>
      <c r="T365" s="2"/>
      <c r="U365" s="2"/>
      <c r="V365" s="2"/>
    </row>
    <row r="366" spans="1:22" s="120" customFormat="1" x14ac:dyDescent="0.2">
      <c r="A366" s="2"/>
      <c r="B366" s="2"/>
      <c r="C366" s="2"/>
      <c r="D366" s="2"/>
      <c r="E366" s="2"/>
      <c r="F366" s="2"/>
      <c r="G366" s="2"/>
      <c r="H366" s="2"/>
      <c r="I366" s="2"/>
      <c r="J366" s="2"/>
      <c r="K366" s="2"/>
      <c r="L366" s="2"/>
      <c r="M366" s="2"/>
      <c r="N366" s="2"/>
      <c r="O366" s="2"/>
      <c r="P366" s="2"/>
      <c r="Q366" s="2"/>
      <c r="R366" s="2"/>
      <c r="S366" s="2"/>
      <c r="T366" s="2"/>
      <c r="U366" s="2"/>
      <c r="V366" s="2"/>
    </row>
    <row r="367" spans="1:22" s="120" customFormat="1" x14ac:dyDescent="0.2">
      <c r="A367" s="2"/>
      <c r="B367" s="2"/>
      <c r="C367" s="2"/>
      <c r="D367" s="2"/>
      <c r="E367" s="2"/>
      <c r="F367" s="2"/>
      <c r="G367" s="2"/>
      <c r="H367" s="2"/>
      <c r="I367" s="2"/>
      <c r="J367" s="2"/>
      <c r="K367" s="2"/>
      <c r="L367" s="2"/>
      <c r="M367" s="2"/>
      <c r="N367" s="2"/>
      <c r="O367" s="2"/>
      <c r="P367" s="2"/>
      <c r="Q367" s="2"/>
      <c r="R367" s="2"/>
      <c r="S367" s="2"/>
      <c r="T367" s="2"/>
      <c r="U367" s="2"/>
      <c r="V367" s="2"/>
    </row>
    <row r="368" spans="1:22" s="120" customFormat="1" x14ac:dyDescent="0.2">
      <c r="A368" s="2"/>
      <c r="B368" s="2"/>
      <c r="C368" s="2"/>
      <c r="D368" s="2"/>
      <c r="E368" s="2"/>
      <c r="F368" s="2"/>
      <c r="G368" s="2"/>
      <c r="H368" s="2"/>
      <c r="I368" s="2"/>
      <c r="J368" s="2"/>
      <c r="K368" s="2"/>
      <c r="L368" s="2"/>
      <c r="M368" s="2"/>
      <c r="N368" s="2"/>
      <c r="O368" s="2"/>
      <c r="P368" s="2"/>
      <c r="Q368" s="2"/>
      <c r="R368" s="2"/>
      <c r="S368" s="2"/>
      <c r="T368" s="2"/>
      <c r="U368" s="2"/>
      <c r="V368" s="2"/>
    </row>
    <row r="369" spans="1:22" s="120" customFormat="1" x14ac:dyDescent="0.2">
      <c r="A369" s="2"/>
      <c r="B369" s="2"/>
      <c r="C369" s="2"/>
      <c r="D369" s="2"/>
      <c r="E369" s="2"/>
      <c r="F369" s="2"/>
      <c r="G369" s="2"/>
      <c r="H369" s="2"/>
      <c r="I369" s="2"/>
      <c r="J369" s="2"/>
      <c r="K369" s="2"/>
      <c r="L369" s="2"/>
      <c r="M369" s="2"/>
      <c r="N369" s="2"/>
      <c r="O369" s="2"/>
      <c r="P369" s="2"/>
      <c r="Q369" s="2"/>
      <c r="R369" s="2"/>
      <c r="S369" s="2"/>
      <c r="T369" s="2"/>
      <c r="U369" s="2"/>
      <c r="V369" s="2"/>
    </row>
    <row r="370" spans="1:22" s="120" customFormat="1" x14ac:dyDescent="0.2">
      <c r="A370" s="2"/>
      <c r="B370" s="2"/>
      <c r="C370" s="2"/>
      <c r="D370" s="2"/>
      <c r="E370" s="2"/>
      <c r="F370" s="2"/>
      <c r="G370" s="2"/>
      <c r="H370" s="2"/>
      <c r="I370" s="2"/>
      <c r="J370" s="2"/>
      <c r="K370" s="2"/>
      <c r="L370" s="2"/>
      <c r="M370" s="2"/>
      <c r="N370" s="2"/>
      <c r="O370" s="2"/>
      <c r="P370" s="2"/>
      <c r="Q370" s="2"/>
      <c r="R370" s="2"/>
      <c r="S370" s="2"/>
      <c r="T370" s="2"/>
      <c r="U370" s="2"/>
      <c r="V370" s="2"/>
    </row>
    <row r="371" spans="1:22" s="120" customFormat="1" x14ac:dyDescent="0.2">
      <c r="A371" s="2"/>
      <c r="B371" s="2"/>
      <c r="C371" s="2"/>
      <c r="D371" s="2"/>
      <c r="E371" s="2"/>
      <c r="F371" s="2"/>
      <c r="G371" s="2"/>
      <c r="H371" s="2"/>
      <c r="I371" s="2"/>
      <c r="J371" s="2"/>
      <c r="K371" s="2"/>
      <c r="L371" s="2"/>
      <c r="M371" s="2"/>
      <c r="N371" s="2"/>
      <c r="O371" s="2"/>
      <c r="P371" s="2"/>
      <c r="Q371" s="2"/>
      <c r="R371" s="2"/>
      <c r="S371" s="2"/>
      <c r="T371" s="2"/>
      <c r="U371" s="2"/>
      <c r="V371" s="2"/>
    </row>
    <row r="372" spans="1:22" s="120" customFormat="1" x14ac:dyDescent="0.2">
      <c r="A372" s="2"/>
      <c r="B372" s="2"/>
      <c r="C372" s="2"/>
      <c r="D372" s="2"/>
      <c r="E372" s="2"/>
      <c r="F372" s="2"/>
      <c r="G372" s="2"/>
      <c r="H372" s="2"/>
      <c r="I372" s="2"/>
      <c r="J372" s="2"/>
      <c r="K372" s="2"/>
      <c r="L372" s="2"/>
      <c r="M372" s="2"/>
      <c r="N372" s="2"/>
      <c r="O372" s="2"/>
      <c r="P372" s="2"/>
      <c r="Q372" s="2"/>
      <c r="R372" s="2"/>
      <c r="S372" s="2"/>
      <c r="T372" s="2"/>
      <c r="U372" s="2"/>
      <c r="V372" s="2"/>
    </row>
    <row r="373" spans="1:22" s="120" customFormat="1" x14ac:dyDescent="0.2">
      <c r="A373" s="2"/>
      <c r="B373" s="2"/>
      <c r="C373" s="2"/>
      <c r="D373" s="2"/>
      <c r="E373" s="2"/>
      <c r="F373" s="2"/>
      <c r="G373" s="2"/>
      <c r="H373" s="2"/>
      <c r="I373" s="2"/>
      <c r="J373" s="2"/>
      <c r="K373" s="2"/>
      <c r="L373" s="2"/>
      <c r="M373" s="2"/>
      <c r="N373" s="2"/>
      <c r="O373" s="2"/>
      <c r="P373" s="2"/>
      <c r="Q373" s="2"/>
      <c r="R373" s="2"/>
      <c r="S373" s="2"/>
      <c r="T373" s="2"/>
      <c r="U373" s="2"/>
      <c r="V373" s="2"/>
    </row>
    <row r="374" spans="1:22" s="120" customFormat="1" x14ac:dyDescent="0.2">
      <c r="A374" s="2"/>
      <c r="B374" s="2"/>
      <c r="C374" s="2"/>
      <c r="D374" s="2"/>
      <c r="E374" s="2"/>
      <c r="F374" s="2"/>
      <c r="G374" s="2"/>
      <c r="H374" s="2"/>
      <c r="I374" s="2"/>
      <c r="J374" s="2"/>
      <c r="K374" s="2"/>
      <c r="L374" s="2"/>
      <c r="M374" s="2"/>
      <c r="N374" s="2"/>
      <c r="O374" s="2"/>
      <c r="P374" s="2"/>
      <c r="Q374" s="2"/>
      <c r="R374" s="2"/>
      <c r="S374" s="2"/>
      <c r="T374" s="2"/>
      <c r="U374" s="2"/>
      <c r="V374" s="2"/>
    </row>
    <row r="375" spans="1:22" s="120" customFormat="1" x14ac:dyDescent="0.2">
      <c r="A375" s="2"/>
      <c r="B375" s="2"/>
      <c r="C375" s="2"/>
      <c r="D375" s="2"/>
      <c r="E375" s="2"/>
      <c r="F375" s="2"/>
      <c r="G375" s="2"/>
      <c r="H375" s="2"/>
      <c r="I375" s="2"/>
      <c r="J375" s="2"/>
      <c r="K375" s="2"/>
      <c r="L375" s="2"/>
      <c r="M375" s="2"/>
      <c r="N375" s="2"/>
      <c r="O375" s="2"/>
      <c r="P375" s="2"/>
      <c r="Q375" s="2"/>
      <c r="R375" s="2"/>
      <c r="S375" s="2"/>
      <c r="T375" s="2"/>
      <c r="U375" s="2"/>
      <c r="V375" s="2"/>
    </row>
    <row r="376" spans="1:22" s="120" customFormat="1" x14ac:dyDescent="0.2">
      <c r="A376" s="2"/>
      <c r="B376" s="2"/>
      <c r="C376" s="2"/>
      <c r="D376" s="2"/>
      <c r="E376" s="2"/>
      <c r="F376" s="2"/>
      <c r="G376" s="2"/>
      <c r="H376" s="2"/>
      <c r="I376" s="2"/>
      <c r="J376" s="2"/>
      <c r="K376" s="2"/>
      <c r="L376" s="2"/>
      <c r="M376" s="2"/>
      <c r="N376" s="2"/>
      <c r="O376" s="2"/>
      <c r="P376" s="2"/>
      <c r="Q376" s="2"/>
      <c r="R376" s="2"/>
      <c r="S376" s="2"/>
      <c r="T376" s="2"/>
      <c r="U376" s="2"/>
      <c r="V376" s="2"/>
    </row>
    <row r="377" spans="1:22" s="120" customFormat="1" x14ac:dyDescent="0.2">
      <c r="A377" s="2"/>
      <c r="B377" s="2"/>
      <c r="C377" s="2"/>
      <c r="D377" s="2"/>
      <c r="E377" s="2"/>
      <c r="F377" s="2"/>
      <c r="G377" s="2"/>
      <c r="H377" s="2"/>
      <c r="I377" s="2"/>
      <c r="J377" s="2"/>
      <c r="K377" s="2"/>
      <c r="L377" s="2"/>
      <c r="M377" s="2"/>
      <c r="N377" s="2"/>
      <c r="O377" s="2"/>
      <c r="P377" s="2"/>
      <c r="Q377" s="2"/>
      <c r="R377" s="2"/>
      <c r="S377" s="2"/>
      <c r="T377" s="2"/>
      <c r="U377" s="2"/>
      <c r="V377" s="2"/>
    </row>
    <row r="378" spans="1:22" s="120" customFormat="1" x14ac:dyDescent="0.2">
      <c r="A378" s="2"/>
      <c r="B378" s="2"/>
      <c r="C378" s="2"/>
      <c r="D378" s="2"/>
      <c r="E378" s="2"/>
      <c r="F378" s="2"/>
      <c r="G378" s="2"/>
      <c r="H378" s="2"/>
      <c r="I378" s="2"/>
      <c r="J378" s="2"/>
      <c r="K378" s="2"/>
      <c r="L378" s="2"/>
      <c r="M378" s="2"/>
      <c r="N378" s="2"/>
      <c r="O378" s="2"/>
      <c r="P378" s="2"/>
      <c r="Q378" s="2"/>
      <c r="R378" s="2"/>
      <c r="S378" s="2"/>
      <c r="T378" s="2"/>
      <c r="U378" s="2"/>
      <c r="V378" s="2"/>
    </row>
    <row r="379" spans="1:22" s="120" customFormat="1" x14ac:dyDescent="0.2">
      <c r="A379" s="2"/>
      <c r="B379" s="2"/>
      <c r="C379" s="2"/>
      <c r="D379" s="2"/>
      <c r="E379" s="2"/>
      <c r="F379" s="2"/>
      <c r="G379" s="2"/>
      <c r="H379" s="2"/>
      <c r="I379" s="2"/>
      <c r="J379" s="2"/>
      <c r="K379" s="2"/>
      <c r="L379" s="2"/>
      <c r="M379" s="2"/>
      <c r="N379" s="2"/>
      <c r="O379" s="2"/>
      <c r="P379" s="2"/>
      <c r="Q379" s="2"/>
      <c r="R379" s="2"/>
      <c r="S379" s="2"/>
      <c r="T379" s="2"/>
      <c r="U379" s="2"/>
      <c r="V379" s="2"/>
    </row>
    <row r="380" spans="1:22" s="120" customFormat="1" x14ac:dyDescent="0.2">
      <c r="A380" s="2"/>
      <c r="B380" s="2"/>
      <c r="C380" s="2"/>
      <c r="D380" s="2"/>
      <c r="E380" s="2"/>
      <c r="F380" s="2"/>
      <c r="G380" s="2"/>
      <c r="H380" s="2"/>
      <c r="I380" s="2"/>
      <c r="J380" s="2"/>
      <c r="K380" s="2"/>
      <c r="L380" s="2"/>
      <c r="M380" s="2"/>
      <c r="N380" s="2"/>
      <c r="O380" s="2"/>
      <c r="P380" s="2"/>
      <c r="Q380" s="2"/>
      <c r="R380" s="2"/>
      <c r="S380" s="2"/>
      <c r="T380" s="2"/>
      <c r="U380" s="2"/>
      <c r="V380" s="2"/>
    </row>
    <row r="381" spans="1:22" s="120" customFormat="1" x14ac:dyDescent="0.2">
      <c r="A381" s="2"/>
      <c r="B381" s="2"/>
      <c r="C381" s="2"/>
      <c r="D381" s="2"/>
      <c r="E381" s="2"/>
      <c r="F381" s="2"/>
      <c r="G381" s="2"/>
      <c r="H381" s="2"/>
      <c r="I381" s="2"/>
      <c r="J381" s="2"/>
      <c r="K381" s="2"/>
      <c r="L381" s="2"/>
      <c r="M381" s="2"/>
      <c r="N381" s="2"/>
      <c r="O381" s="2"/>
      <c r="P381" s="2"/>
      <c r="Q381" s="2"/>
      <c r="R381" s="2"/>
      <c r="S381" s="2"/>
      <c r="T381" s="2"/>
      <c r="U381" s="2"/>
      <c r="V381" s="2"/>
    </row>
    <row r="382" spans="1:22" s="120" customFormat="1" x14ac:dyDescent="0.2">
      <c r="A382" s="2"/>
      <c r="B382" s="2"/>
      <c r="C382" s="2"/>
      <c r="D382" s="2"/>
      <c r="E382" s="2"/>
      <c r="F382" s="2"/>
      <c r="G382" s="2"/>
      <c r="H382" s="2"/>
      <c r="I382" s="2"/>
      <c r="J382" s="2"/>
      <c r="K382" s="2"/>
      <c r="L382" s="2"/>
      <c r="M382" s="2"/>
      <c r="N382" s="2"/>
      <c r="O382" s="2"/>
      <c r="P382" s="2"/>
      <c r="Q382" s="2"/>
      <c r="R382" s="2"/>
      <c r="S382" s="2"/>
      <c r="T382" s="2"/>
      <c r="U382" s="2"/>
      <c r="V382" s="2"/>
    </row>
    <row r="383" spans="1:22" s="120" customFormat="1" x14ac:dyDescent="0.2">
      <c r="A383" s="2"/>
      <c r="B383" s="2"/>
      <c r="C383" s="2"/>
      <c r="D383" s="2"/>
      <c r="E383" s="2"/>
      <c r="F383" s="2"/>
      <c r="G383" s="2"/>
      <c r="H383" s="2"/>
      <c r="I383" s="2"/>
      <c r="J383" s="2"/>
      <c r="K383" s="2"/>
      <c r="L383" s="2"/>
      <c r="M383" s="2"/>
      <c r="N383" s="2"/>
      <c r="O383" s="2"/>
      <c r="P383" s="2"/>
      <c r="Q383" s="2"/>
      <c r="R383" s="2"/>
      <c r="S383" s="2"/>
      <c r="T383" s="2"/>
      <c r="U383" s="2"/>
      <c r="V383" s="2"/>
    </row>
    <row r="384" spans="1:22" s="120" customFormat="1" x14ac:dyDescent="0.2">
      <c r="A384" s="2"/>
      <c r="B384" s="2"/>
      <c r="C384" s="2"/>
      <c r="D384" s="2"/>
      <c r="E384" s="2"/>
      <c r="F384" s="2"/>
      <c r="G384" s="2"/>
      <c r="H384" s="2"/>
      <c r="I384" s="2"/>
      <c r="J384" s="2"/>
      <c r="K384" s="2"/>
      <c r="L384" s="2"/>
      <c r="M384" s="2"/>
      <c r="N384" s="2"/>
      <c r="O384" s="2"/>
      <c r="P384" s="2"/>
      <c r="Q384" s="2"/>
      <c r="R384" s="2"/>
      <c r="S384" s="2"/>
      <c r="T384" s="2"/>
      <c r="U384" s="2"/>
      <c r="V384" s="2"/>
    </row>
    <row r="385" spans="1:22" s="120" customFormat="1" x14ac:dyDescent="0.2">
      <c r="A385" s="2"/>
      <c r="B385" s="2"/>
      <c r="C385" s="2"/>
      <c r="D385" s="2"/>
      <c r="E385" s="2"/>
      <c r="F385" s="2"/>
      <c r="G385" s="2"/>
      <c r="H385" s="2"/>
      <c r="I385" s="2"/>
      <c r="J385" s="2"/>
      <c r="K385" s="2"/>
      <c r="L385" s="2"/>
      <c r="M385" s="2"/>
      <c r="N385" s="2"/>
      <c r="O385" s="2"/>
      <c r="P385" s="2"/>
      <c r="Q385" s="2"/>
      <c r="R385" s="2"/>
      <c r="S385" s="2"/>
      <c r="T385" s="2"/>
      <c r="U385" s="2"/>
      <c r="V385" s="2"/>
    </row>
    <row r="386" spans="1:22" s="120" customFormat="1" x14ac:dyDescent="0.2">
      <c r="A386" s="2"/>
      <c r="B386" s="2"/>
      <c r="C386" s="2"/>
      <c r="D386" s="2"/>
      <c r="E386" s="2"/>
      <c r="F386" s="2"/>
      <c r="G386" s="2"/>
      <c r="H386" s="2"/>
      <c r="I386" s="2"/>
      <c r="J386" s="2"/>
      <c r="K386" s="2"/>
      <c r="L386" s="2"/>
      <c r="M386" s="2"/>
      <c r="N386" s="2"/>
      <c r="O386" s="2"/>
      <c r="P386" s="2"/>
      <c r="Q386" s="2"/>
      <c r="R386" s="2"/>
      <c r="S386" s="2"/>
      <c r="T386" s="2"/>
      <c r="U386" s="2"/>
      <c r="V386" s="2"/>
    </row>
    <row r="387" spans="1:22" s="120" customFormat="1" x14ac:dyDescent="0.2">
      <c r="A387" s="2"/>
      <c r="B387" s="2"/>
      <c r="C387" s="2"/>
      <c r="D387" s="2"/>
      <c r="E387" s="2"/>
      <c r="F387" s="2"/>
      <c r="G387" s="2"/>
      <c r="H387" s="2"/>
      <c r="I387" s="2"/>
      <c r="J387" s="2"/>
      <c r="K387" s="2"/>
      <c r="L387" s="2"/>
      <c r="M387" s="2"/>
      <c r="N387" s="2"/>
      <c r="O387" s="2"/>
      <c r="P387" s="2"/>
      <c r="Q387" s="2"/>
      <c r="R387" s="2"/>
      <c r="S387" s="2"/>
      <c r="T387" s="2"/>
      <c r="U387" s="2"/>
      <c r="V387" s="2"/>
    </row>
    <row r="388" spans="1:22" s="120" customFormat="1" x14ac:dyDescent="0.2">
      <c r="A388" s="2"/>
      <c r="B388" s="2"/>
      <c r="C388" s="2"/>
      <c r="D388" s="2"/>
      <c r="E388" s="2"/>
      <c r="F388" s="2"/>
      <c r="G388" s="2"/>
      <c r="H388" s="2"/>
      <c r="I388" s="2"/>
      <c r="J388" s="2"/>
      <c r="K388" s="2"/>
      <c r="L388" s="2"/>
      <c r="M388" s="2"/>
      <c r="N388" s="2"/>
      <c r="O388" s="2"/>
      <c r="P388" s="2"/>
      <c r="Q388" s="2"/>
      <c r="R388" s="2"/>
      <c r="S388" s="2"/>
      <c r="T388" s="2"/>
      <c r="U388" s="2"/>
      <c r="V388" s="2"/>
    </row>
    <row r="389" spans="1:22" s="120" customFormat="1" x14ac:dyDescent="0.2">
      <c r="A389" s="2"/>
      <c r="B389" s="2"/>
      <c r="C389" s="2"/>
      <c r="D389" s="2"/>
      <c r="E389" s="2"/>
      <c r="F389" s="2"/>
      <c r="G389" s="2"/>
      <c r="H389" s="2"/>
      <c r="I389" s="2"/>
      <c r="J389" s="2"/>
      <c r="K389" s="2"/>
      <c r="L389" s="2"/>
      <c r="M389" s="2"/>
      <c r="N389" s="2"/>
      <c r="O389" s="2"/>
      <c r="P389" s="2"/>
      <c r="Q389" s="2"/>
      <c r="R389" s="2"/>
      <c r="S389" s="2"/>
      <c r="T389" s="2"/>
      <c r="U389" s="2"/>
      <c r="V389" s="2"/>
    </row>
    <row r="390" spans="1:22" s="120" customFormat="1" x14ac:dyDescent="0.2">
      <c r="A390" s="2"/>
      <c r="B390" s="2"/>
      <c r="C390" s="2"/>
      <c r="D390" s="2"/>
      <c r="E390" s="2"/>
      <c r="F390" s="2"/>
      <c r="G390" s="2"/>
      <c r="H390" s="2"/>
      <c r="I390" s="2"/>
      <c r="J390" s="2"/>
      <c r="K390" s="2"/>
      <c r="L390" s="2"/>
      <c r="M390" s="2"/>
      <c r="N390" s="2"/>
      <c r="O390" s="2"/>
      <c r="P390" s="2"/>
      <c r="Q390" s="2"/>
      <c r="R390" s="2"/>
      <c r="S390" s="2"/>
      <c r="T390" s="2"/>
      <c r="U390" s="2"/>
      <c r="V390" s="2"/>
    </row>
    <row r="391" spans="1:22" s="120" customFormat="1" x14ac:dyDescent="0.2">
      <c r="A391" s="2"/>
      <c r="B391" s="2"/>
      <c r="C391" s="2"/>
      <c r="D391" s="2"/>
      <c r="E391" s="2"/>
      <c r="F391" s="2"/>
      <c r="G391" s="2"/>
      <c r="H391" s="2"/>
      <c r="I391" s="2"/>
      <c r="J391" s="2"/>
      <c r="K391" s="2"/>
      <c r="L391" s="2"/>
      <c r="M391" s="2"/>
      <c r="N391" s="2"/>
      <c r="O391" s="2"/>
      <c r="P391" s="2"/>
      <c r="Q391" s="2"/>
      <c r="R391" s="2"/>
      <c r="S391" s="2"/>
      <c r="T391" s="2"/>
      <c r="U391" s="2"/>
      <c r="V391" s="2"/>
    </row>
    <row r="392" spans="1:22" s="120" customFormat="1" x14ac:dyDescent="0.2">
      <c r="A392" s="2"/>
      <c r="B392" s="2"/>
      <c r="C392" s="2"/>
      <c r="D392" s="2"/>
      <c r="E392" s="2"/>
      <c r="F392" s="2"/>
      <c r="G392" s="2"/>
      <c r="H392" s="2"/>
      <c r="I392" s="2"/>
      <c r="J392" s="2"/>
      <c r="K392" s="2"/>
      <c r="L392" s="2"/>
      <c r="M392" s="2"/>
      <c r="N392" s="2"/>
      <c r="O392" s="2"/>
      <c r="P392" s="2"/>
      <c r="Q392" s="2"/>
      <c r="R392" s="2"/>
      <c r="S392" s="2"/>
      <c r="T392" s="2"/>
      <c r="U392" s="2"/>
      <c r="V392" s="2"/>
    </row>
    <row r="393" spans="1:22" s="120" customFormat="1" x14ac:dyDescent="0.2">
      <c r="A393" s="2"/>
      <c r="B393" s="2"/>
      <c r="C393" s="2"/>
      <c r="D393" s="2"/>
      <c r="E393" s="2"/>
      <c r="F393" s="2"/>
      <c r="G393" s="2"/>
      <c r="H393" s="2"/>
      <c r="I393" s="2"/>
      <c r="J393" s="2"/>
      <c r="K393" s="2"/>
      <c r="L393" s="2"/>
      <c r="M393" s="2"/>
      <c r="N393" s="2"/>
      <c r="O393" s="2"/>
      <c r="P393" s="2"/>
      <c r="Q393" s="2"/>
      <c r="R393" s="2"/>
      <c r="S393" s="2"/>
      <c r="T393" s="2"/>
      <c r="U393" s="2"/>
      <c r="V393" s="2"/>
    </row>
    <row r="394" spans="1:22" s="120" customFormat="1" x14ac:dyDescent="0.2">
      <c r="A394" s="2"/>
      <c r="B394" s="2"/>
      <c r="C394" s="2"/>
      <c r="D394" s="2"/>
      <c r="E394" s="2"/>
      <c r="F394" s="2"/>
      <c r="G394" s="2"/>
      <c r="H394" s="2"/>
      <c r="I394" s="2"/>
      <c r="J394" s="2"/>
      <c r="K394" s="2"/>
      <c r="L394" s="2"/>
      <c r="M394" s="2"/>
      <c r="N394" s="2"/>
      <c r="O394" s="2"/>
      <c r="P394" s="2"/>
      <c r="Q394" s="2"/>
      <c r="R394" s="2"/>
      <c r="S394" s="2"/>
      <c r="T394" s="2"/>
      <c r="U394" s="2"/>
      <c r="V394" s="2"/>
    </row>
    <row r="395" spans="1:22" s="120" customFormat="1" x14ac:dyDescent="0.2">
      <c r="A395" s="2"/>
      <c r="B395" s="2"/>
      <c r="C395" s="2"/>
      <c r="D395" s="2"/>
      <c r="E395" s="2"/>
      <c r="F395" s="2"/>
      <c r="G395" s="2"/>
      <c r="H395" s="2"/>
      <c r="I395" s="2"/>
      <c r="J395" s="2"/>
      <c r="K395" s="2"/>
      <c r="L395" s="2"/>
      <c r="M395" s="2"/>
      <c r="N395" s="2"/>
      <c r="O395" s="2"/>
      <c r="P395" s="2"/>
      <c r="Q395" s="2"/>
      <c r="R395" s="2"/>
      <c r="S395" s="2"/>
      <c r="T395" s="2"/>
      <c r="U395" s="2"/>
      <c r="V395" s="2"/>
    </row>
    <row r="396" spans="1:22" s="120" customFormat="1" x14ac:dyDescent="0.2">
      <c r="A396" s="2"/>
      <c r="B396" s="2"/>
      <c r="C396" s="2"/>
      <c r="D396" s="2"/>
      <c r="E396" s="2"/>
      <c r="F396" s="2"/>
      <c r="G396" s="2"/>
      <c r="H396" s="2"/>
      <c r="I396" s="2"/>
      <c r="J396" s="2"/>
      <c r="K396" s="2"/>
      <c r="L396" s="2"/>
      <c r="M396" s="2"/>
      <c r="N396" s="2"/>
      <c r="O396" s="2"/>
      <c r="P396" s="2"/>
      <c r="Q396" s="2"/>
      <c r="R396" s="2"/>
      <c r="S396" s="2"/>
      <c r="T396" s="2"/>
      <c r="U396" s="2"/>
      <c r="V396" s="2"/>
    </row>
    <row r="397" spans="1:22" s="120" customFormat="1" x14ac:dyDescent="0.2">
      <c r="A397" s="2"/>
      <c r="B397" s="2"/>
      <c r="C397" s="2"/>
      <c r="D397" s="2"/>
      <c r="E397" s="2"/>
      <c r="F397" s="2"/>
      <c r="G397" s="2"/>
      <c r="H397" s="2"/>
      <c r="I397" s="2"/>
      <c r="J397" s="2"/>
      <c r="K397" s="2"/>
      <c r="L397" s="2"/>
      <c r="M397" s="2"/>
      <c r="N397" s="2"/>
      <c r="O397" s="2"/>
      <c r="P397" s="2"/>
      <c r="Q397" s="2"/>
      <c r="R397" s="2"/>
      <c r="S397" s="2"/>
      <c r="T397" s="2"/>
      <c r="U397" s="2"/>
      <c r="V397" s="2"/>
    </row>
    <row r="398" spans="1:22" s="120" customFormat="1" x14ac:dyDescent="0.2">
      <c r="A398" s="2"/>
      <c r="B398" s="2"/>
      <c r="C398" s="2"/>
      <c r="D398" s="2"/>
      <c r="E398" s="2"/>
      <c r="F398" s="2"/>
      <c r="G398" s="2"/>
      <c r="H398" s="2"/>
      <c r="I398" s="2"/>
      <c r="J398" s="2"/>
      <c r="K398" s="2"/>
      <c r="L398" s="2"/>
      <c r="M398" s="2"/>
      <c r="N398" s="2"/>
      <c r="O398" s="2"/>
      <c r="P398" s="2"/>
      <c r="Q398" s="2"/>
      <c r="R398" s="2"/>
      <c r="S398" s="2"/>
      <c r="T398" s="2"/>
      <c r="U398" s="2"/>
      <c r="V398" s="2"/>
    </row>
    <row r="399" spans="1:22" s="120" customFormat="1" x14ac:dyDescent="0.2">
      <c r="A399" s="2"/>
      <c r="B399" s="2"/>
      <c r="C399" s="2"/>
      <c r="D399" s="2"/>
      <c r="E399" s="2"/>
      <c r="F399" s="2"/>
      <c r="G399" s="2"/>
      <c r="H399" s="2"/>
      <c r="I399" s="2"/>
      <c r="J399" s="2"/>
      <c r="K399" s="2"/>
      <c r="L399" s="2"/>
      <c r="M399" s="2"/>
      <c r="N399" s="2"/>
      <c r="O399" s="2"/>
      <c r="P399" s="2"/>
      <c r="Q399" s="2"/>
      <c r="R399" s="2"/>
      <c r="S399" s="2"/>
      <c r="T399" s="2"/>
      <c r="U399" s="2"/>
      <c r="V399" s="2"/>
    </row>
    <row r="400" spans="1:22" s="120" customFormat="1" x14ac:dyDescent="0.2">
      <c r="A400" s="2"/>
      <c r="B400" s="2"/>
      <c r="C400" s="2"/>
      <c r="D400" s="2"/>
      <c r="E400" s="2"/>
      <c r="F400" s="2"/>
      <c r="G400" s="2"/>
      <c r="H400" s="2"/>
      <c r="I400" s="2"/>
      <c r="J400" s="2"/>
      <c r="K400" s="2"/>
      <c r="L400" s="2"/>
      <c r="M400" s="2"/>
      <c r="N400" s="2"/>
      <c r="O400" s="2"/>
      <c r="P400" s="2"/>
      <c r="Q400" s="2"/>
      <c r="R400" s="2"/>
      <c r="S400" s="2"/>
      <c r="T400" s="2"/>
      <c r="U400" s="2"/>
      <c r="V400" s="2"/>
    </row>
    <row r="401" spans="1:22" s="120" customFormat="1" x14ac:dyDescent="0.2">
      <c r="A401" s="2"/>
      <c r="B401" s="2"/>
      <c r="C401" s="2"/>
      <c r="D401" s="2"/>
      <c r="E401" s="2"/>
      <c r="F401" s="2"/>
      <c r="G401" s="2"/>
      <c r="H401" s="2"/>
      <c r="I401" s="2"/>
      <c r="J401" s="2"/>
      <c r="K401" s="2"/>
      <c r="L401" s="2"/>
      <c r="M401" s="2"/>
      <c r="N401" s="2"/>
      <c r="O401" s="2"/>
      <c r="P401" s="2"/>
      <c r="Q401" s="2"/>
      <c r="R401" s="2"/>
      <c r="S401" s="2"/>
      <c r="T401" s="2"/>
      <c r="U401" s="2"/>
      <c r="V401" s="2"/>
    </row>
    <row r="402" spans="1:22" s="120" customFormat="1" x14ac:dyDescent="0.2">
      <c r="A402" s="2"/>
      <c r="B402" s="2"/>
      <c r="C402" s="2"/>
      <c r="D402" s="2"/>
      <c r="E402" s="2"/>
      <c r="F402" s="2"/>
      <c r="G402" s="2"/>
      <c r="H402" s="2"/>
      <c r="I402" s="2"/>
      <c r="J402" s="2"/>
      <c r="K402" s="2"/>
      <c r="L402" s="2"/>
      <c r="M402" s="2"/>
      <c r="N402" s="2"/>
      <c r="O402" s="2"/>
      <c r="P402" s="2"/>
      <c r="Q402" s="2"/>
      <c r="R402" s="2"/>
      <c r="S402" s="2"/>
      <c r="T402" s="2"/>
      <c r="U402" s="2"/>
      <c r="V402" s="2"/>
    </row>
    <row r="403" spans="1:22" s="120" customFormat="1" x14ac:dyDescent="0.2">
      <c r="A403" s="2"/>
      <c r="B403" s="2"/>
      <c r="C403" s="2"/>
      <c r="D403" s="2"/>
      <c r="E403" s="2"/>
      <c r="F403" s="2"/>
      <c r="G403" s="2"/>
      <c r="H403" s="2"/>
      <c r="I403" s="2"/>
      <c r="J403" s="2"/>
      <c r="K403" s="2"/>
      <c r="L403" s="2"/>
      <c r="M403" s="2"/>
      <c r="N403" s="2"/>
      <c r="O403" s="2"/>
      <c r="P403" s="2"/>
      <c r="Q403" s="2"/>
      <c r="R403" s="2"/>
      <c r="S403" s="2"/>
      <c r="T403" s="2"/>
      <c r="U403" s="2"/>
      <c r="V403" s="2"/>
    </row>
    <row r="404" spans="1:22" s="120" customFormat="1" x14ac:dyDescent="0.2">
      <c r="A404" s="2"/>
      <c r="B404" s="2"/>
      <c r="C404" s="2"/>
      <c r="D404" s="2"/>
      <c r="E404" s="2"/>
      <c r="F404" s="2"/>
      <c r="G404" s="2"/>
      <c r="H404" s="2"/>
      <c r="I404" s="2"/>
      <c r="J404" s="2"/>
      <c r="K404" s="2"/>
      <c r="L404" s="2"/>
      <c r="M404" s="2"/>
      <c r="N404" s="2"/>
      <c r="O404" s="2"/>
      <c r="P404" s="2"/>
      <c r="Q404" s="2"/>
      <c r="R404" s="2"/>
      <c r="S404" s="2"/>
      <c r="T404" s="2"/>
      <c r="U404" s="2"/>
      <c r="V404" s="2"/>
    </row>
    <row r="405" spans="1:22" s="120" customFormat="1" x14ac:dyDescent="0.2">
      <c r="A405" s="2"/>
      <c r="B405" s="2"/>
      <c r="C405" s="2"/>
      <c r="D405" s="2"/>
      <c r="E405" s="2"/>
      <c r="F405" s="2"/>
      <c r="G405" s="2"/>
      <c r="H405" s="2"/>
      <c r="I405" s="2"/>
      <c r="J405" s="2"/>
      <c r="K405" s="2"/>
      <c r="L405" s="2"/>
      <c r="M405" s="2"/>
      <c r="N405" s="2"/>
      <c r="O405" s="2"/>
      <c r="P405" s="2"/>
      <c r="Q405" s="2"/>
      <c r="R405" s="2"/>
      <c r="S405" s="2"/>
      <c r="T405" s="2"/>
      <c r="U405" s="2"/>
      <c r="V405" s="2"/>
    </row>
    <row r="406" spans="1:22" s="120" customFormat="1" x14ac:dyDescent="0.2">
      <c r="A406" s="2"/>
      <c r="B406" s="2"/>
      <c r="C406" s="2"/>
      <c r="D406" s="2"/>
      <c r="E406" s="2"/>
      <c r="F406" s="2"/>
      <c r="G406" s="2"/>
      <c r="H406" s="2"/>
      <c r="I406" s="2"/>
      <c r="J406" s="2"/>
      <c r="K406" s="2"/>
      <c r="L406" s="2"/>
      <c r="M406" s="2"/>
      <c r="N406" s="2"/>
      <c r="O406" s="2"/>
      <c r="P406" s="2"/>
      <c r="Q406" s="2"/>
      <c r="R406" s="2"/>
      <c r="S406" s="2"/>
      <c r="T406" s="2"/>
      <c r="U406" s="2"/>
      <c r="V406" s="2"/>
    </row>
    <row r="407" spans="1:22" s="120" customFormat="1" x14ac:dyDescent="0.2">
      <c r="A407" s="2"/>
      <c r="B407" s="2"/>
      <c r="C407" s="2"/>
      <c r="D407" s="2"/>
      <c r="E407" s="2"/>
      <c r="F407" s="2"/>
      <c r="G407" s="2"/>
      <c r="H407" s="2"/>
      <c r="I407" s="2"/>
      <c r="J407" s="2"/>
      <c r="K407" s="2"/>
      <c r="L407" s="2"/>
      <c r="M407" s="2"/>
      <c r="N407" s="2"/>
      <c r="O407" s="2"/>
      <c r="P407" s="2"/>
      <c r="Q407" s="2"/>
      <c r="R407" s="2"/>
      <c r="S407" s="2"/>
      <c r="T407" s="2"/>
      <c r="U407" s="2"/>
      <c r="V407" s="2"/>
    </row>
    <row r="408" spans="1:22" s="120" customFormat="1" x14ac:dyDescent="0.2">
      <c r="A408" s="2"/>
      <c r="B408" s="2"/>
      <c r="C408" s="2"/>
      <c r="D408" s="2"/>
      <c r="E408" s="2"/>
      <c r="F408" s="2"/>
      <c r="G408" s="2"/>
      <c r="H408" s="2"/>
      <c r="I408" s="2"/>
      <c r="J408" s="2"/>
      <c r="K408" s="2"/>
      <c r="L408" s="2"/>
      <c r="M408" s="2"/>
      <c r="N408" s="2"/>
      <c r="O408" s="2"/>
      <c r="P408" s="2"/>
      <c r="Q408" s="2"/>
      <c r="R408" s="2"/>
      <c r="S408" s="2"/>
      <c r="T408" s="2"/>
      <c r="U408" s="2"/>
      <c r="V408" s="2"/>
    </row>
    <row r="409" spans="1:22" s="120" customFormat="1" x14ac:dyDescent="0.2">
      <c r="A409" s="2"/>
      <c r="B409" s="2"/>
      <c r="C409" s="2"/>
      <c r="D409" s="2"/>
      <c r="E409" s="2"/>
      <c r="F409" s="2"/>
      <c r="G409" s="2"/>
      <c r="H409" s="2"/>
      <c r="I409" s="2"/>
      <c r="J409" s="2"/>
      <c r="K409" s="2"/>
      <c r="L409" s="2"/>
      <c r="M409" s="2"/>
      <c r="N409" s="2"/>
      <c r="O409" s="2"/>
      <c r="P409" s="2"/>
      <c r="Q409" s="2"/>
      <c r="R409" s="2"/>
      <c r="S409" s="2"/>
      <c r="T409" s="2"/>
      <c r="U409" s="2"/>
      <c r="V409" s="2"/>
    </row>
    <row r="410" spans="1:22" s="120" customFormat="1" x14ac:dyDescent="0.2">
      <c r="A410" s="2"/>
      <c r="B410" s="2"/>
      <c r="C410" s="2"/>
      <c r="D410" s="2"/>
      <c r="E410" s="2"/>
      <c r="F410" s="2"/>
      <c r="G410" s="2"/>
      <c r="H410" s="2"/>
      <c r="I410" s="2"/>
      <c r="J410" s="2"/>
      <c r="K410" s="2"/>
      <c r="L410" s="2"/>
      <c r="M410" s="2"/>
      <c r="N410" s="2"/>
      <c r="O410" s="2"/>
      <c r="P410" s="2"/>
      <c r="Q410" s="2"/>
      <c r="R410" s="2"/>
      <c r="S410" s="2"/>
      <c r="T410" s="2"/>
      <c r="U410" s="2"/>
      <c r="V410" s="2"/>
    </row>
    <row r="411" spans="1:22" s="120" customFormat="1" x14ac:dyDescent="0.2">
      <c r="A411" s="2"/>
      <c r="B411" s="2"/>
      <c r="C411" s="2"/>
      <c r="D411" s="2"/>
      <c r="E411" s="2"/>
      <c r="F411" s="2"/>
      <c r="G411" s="2"/>
      <c r="H411" s="2"/>
      <c r="I411" s="2"/>
      <c r="J411" s="2"/>
      <c r="K411" s="2"/>
      <c r="L411" s="2"/>
      <c r="M411" s="2"/>
      <c r="N411" s="2"/>
      <c r="O411" s="2"/>
      <c r="P411" s="2"/>
      <c r="Q411" s="2"/>
      <c r="R411" s="2"/>
      <c r="S411" s="2"/>
      <c r="T411" s="2"/>
      <c r="U411" s="2"/>
      <c r="V411" s="2"/>
    </row>
    <row r="412" spans="1:22" s="120" customFormat="1" x14ac:dyDescent="0.2">
      <c r="A412" s="2"/>
      <c r="B412" s="2"/>
      <c r="C412" s="2"/>
      <c r="D412" s="2"/>
      <c r="E412" s="2"/>
      <c r="F412" s="2"/>
      <c r="G412" s="2"/>
      <c r="H412" s="2"/>
      <c r="I412" s="2"/>
      <c r="J412" s="2"/>
      <c r="K412" s="2"/>
      <c r="L412" s="2"/>
      <c r="M412" s="2"/>
      <c r="N412" s="2"/>
      <c r="O412" s="2"/>
      <c r="P412" s="2"/>
      <c r="Q412" s="2"/>
      <c r="R412" s="2"/>
      <c r="S412" s="2"/>
      <c r="T412" s="2"/>
      <c r="U412" s="2"/>
      <c r="V412" s="2"/>
    </row>
    <row r="413" spans="1:22" s="120" customFormat="1" x14ac:dyDescent="0.2">
      <c r="A413" s="2"/>
      <c r="B413" s="2"/>
      <c r="C413" s="2"/>
      <c r="D413" s="2"/>
      <c r="E413" s="2"/>
      <c r="F413" s="2"/>
      <c r="G413" s="2"/>
      <c r="H413" s="2"/>
      <c r="I413" s="2"/>
      <c r="J413" s="2"/>
      <c r="K413" s="2"/>
      <c r="L413" s="2"/>
      <c r="M413" s="2"/>
      <c r="N413" s="2"/>
      <c r="O413" s="2"/>
      <c r="P413" s="2"/>
      <c r="Q413" s="2"/>
      <c r="R413" s="2"/>
      <c r="S413" s="2"/>
      <c r="T413" s="2"/>
      <c r="U413" s="2"/>
      <c r="V413" s="2"/>
    </row>
    <row r="414" spans="1:22" s="120" customFormat="1" x14ac:dyDescent="0.2">
      <c r="A414" s="2"/>
      <c r="B414" s="2"/>
      <c r="C414" s="2"/>
      <c r="D414" s="2"/>
      <c r="E414" s="2"/>
      <c r="F414" s="2"/>
      <c r="G414" s="2"/>
      <c r="H414" s="2"/>
      <c r="I414" s="2"/>
      <c r="J414" s="2"/>
      <c r="K414" s="2"/>
      <c r="L414" s="2"/>
      <c r="M414" s="2"/>
      <c r="N414" s="2"/>
      <c r="O414" s="2"/>
      <c r="P414" s="2"/>
      <c r="Q414" s="2"/>
      <c r="R414" s="2"/>
      <c r="S414" s="2"/>
      <c r="T414" s="2"/>
      <c r="U414" s="2"/>
      <c r="V414" s="2"/>
    </row>
    <row r="415" spans="1:22" s="120" customFormat="1" x14ac:dyDescent="0.2">
      <c r="A415" s="2"/>
      <c r="B415" s="2"/>
      <c r="C415" s="2"/>
      <c r="D415" s="2"/>
      <c r="E415" s="2"/>
      <c r="F415" s="2"/>
      <c r="G415" s="2"/>
      <c r="H415" s="2"/>
      <c r="I415" s="2"/>
      <c r="J415" s="2"/>
      <c r="K415" s="2"/>
      <c r="L415" s="2"/>
      <c r="M415" s="2"/>
      <c r="N415" s="2"/>
      <c r="O415" s="2"/>
      <c r="P415" s="2"/>
      <c r="Q415" s="2"/>
      <c r="R415" s="2"/>
      <c r="S415" s="2"/>
      <c r="T415" s="2"/>
      <c r="U415" s="2"/>
      <c r="V415" s="2"/>
    </row>
    <row r="416" spans="1:22" s="120" customFormat="1" x14ac:dyDescent="0.2">
      <c r="A416" s="2"/>
      <c r="B416" s="2"/>
      <c r="C416" s="2"/>
      <c r="D416" s="2"/>
      <c r="E416" s="2"/>
      <c r="F416" s="2"/>
      <c r="G416" s="2"/>
      <c r="H416" s="2"/>
      <c r="I416" s="2"/>
      <c r="J416" s="2"/>
      <c r="K416" s="2"/>
      <c r="L416" s="2"/>
      <c r="M416" s="2"/>
      <c r="N416" s="2"/>
      <c r="O416" s="2"/>
      <c r="P416" s="2"/>
      <c r="Q416" s="2"/>
      <c r="R416" s="2"/>
      <c r="S416" s="2"/>
      <c r="T416" s="2"/>
      <c r="U416" s="2"/>
      <c r="V416" s="2"/>
    </row>
    <row r="417" spans="1:22" s="120" customFormat="1" x14ac:dyDescent="0.2">
      <c r="A417" s="2"/>
      <c r="B417" s="2"/>
      <c r="C417" s="2"/>
      <c r="D417" s="2"/>
      <c r="E417" s="2"/>
      <c r="F417" s="2"/>
      <c r="G417" s="2"/>
      <c r="H417" s="2"/>
      <c r="I417" s="2"/>
      <c r="J417" s="2"/>
      <c r="K417" s="2"/>
      <c r="L417" s="2"/>
      <c r="M417" s="2"/>
      <c r="N417" s="2"/>
      <c r="O417" s="2"/>
      <c r="P417" s="2"/>
      <c r="Q417" s="2"/>
      <c r="R417" s="2"/>
      <c r="S417" s="2"/>
      <c r="T417" s="2"/>
      <c r="U417" s="2"/>
      <c r="V417" s="2"/>
    </row>
    <row r="418" spans="1:22" s="120" customFormat="1" x14ac:dyDescent="0.2">
      <c r="A418" s="2"/>
      <c r="B418" s="2"/>
      <c r="C418" s="2"/>
      <c r="D418" s="2"/>
      <c r="E418" s="2"/>
      <c r="F418" s="2"/>
      <c r="G418" s="2"/>
      <c r="H418" s="2"/>
      <c r="I418" s="2"/>
      <c r="J418" s="2"/>
      <c r="K418" s="2"/>
      <c r="L418" s="2"/>
      <c r="M418" s="2"/>
      <c r="N418" s="2"/>
      <c r="O418" s="2"/>
      <c r="P418" s="2"/>
      <c r="Q418" s="2"/>
      <c r="R418" s="2"/>
      <c r="S418" s="2"/>
      <c r="T418" s="2"/>
      <c r="U418" s="2"/>
      <c r="V418" s="2"/>
    </row>
    <row r="419" spans="1:22" s="120" customFormat="1" x14ac:dyDescent="0.2">
      <c r="A419" s="2"/>
      <c r="B419" s="2"/>
      <c r="C419" s="2"/>
      <c r="D419" s="2"/>
      <c r="E419" s="2"/>
      <c r="F419" s="2"/>
      <c r="G419" s="2"/>
      <c r="H419" s="2"/>
      <c r="I419" s="2"/>
      <c r="J419" s="2"/>
      <c r="K419" s="2"/>
      <c r="L419" s="2"/>
      <c r="M419" s="2"/>
      <c r="N419" s="2"/>
      <c r="O419" s="2"/>
      <c r="P419" s="2"/>
      <c r="Q419" s="2"/>
      <c r="R419" s="2"/>
      <c r="S419" s="2"/>
      <c r="T419" s="2"/>
      <c r="U419" s="2"/>
      <c r="V419" s="2"/>
    </row>
    <row r="420" spans="1:22" s="120" customFormat="1" x14ac:dyDescent="0.2">
      <c r="A420" s="2"/>
      <c r="B420" s="2"/>
      <c r="C420" s="2"/>
      <c r="D420" s="2"/>
      <c r="E420" s="2"/>
      <c r="F420" s="2"/>
      <c r="G420" s="2"/>
      <c r="H420" s="2"/>
      <c r="I420" s="2"/>
      <c r="J420" s="2"/>
      <c r="K420" s="2"/>
      <c r="L420" s="2"/>
      <c r="M420" s="2"/>
      <c r="N420" s="2"/>
      <c r="O420" s="2"/>
      <c r="P420" s="2"/>
      <c r="Q420" s="2"/>
      <c r="R420" s="2"/>
      <c r="S420" s="2"/>
      <c r="T420" s="2"/>
      <c r="U420" s="2"/>
      <c r="V420" s="2"/>
    </row>
    <row r="421" spans="1:22" s="120" customFormat="1" x14ac:dyDescent="0.2">
      <c r="A421" s="2"/>
      <c r="B421" s="2"/>
      <c r="C421" s="2"/>
      <c r="D421" s="2"/>
      <c r="E421" s="2"/>
      <c r="F421" s="2"/>
      <c r="G421" s="2"/>
      <c r="H421" s="2"/>
      <c r="I421" s="2"/>
      <c r="J421" s="2"/>
      <c r="K421" s="2"/>
      <c r="L421" s="2"/>
      <c r="M421" s="2"/>
      <c r="N421" s="2"/>
      <c r="O421" s="2"/>
      <c r="P421" s="2"/>
      <c r="Q421" s="2"/>
      <c r="R421" s="2"/>
      <c r="S421" s="2"/>
      <c r="T421" s="2"/>
      <c r="U421" s="2"/>
      <c r="V421" s="2"/>
    </row>
    <row r="422" spans="1:22" s="120" customFormat="1" x14ac:dyDescent="0.2">
      <c r="A422" s="2"/>
      <c r="B422" s="2"/>
      <c r="C422" s="2"/>
      <c r="D422" s="2"/>
      <c r="E422" s="2"/>
      <c r="F422" s="2"/>
      <c r="G422" s="2"/>
      <c r="H422" s="2"/>
      <c r="I422" s="2"/>
      <c r="J422" s="2"/>
      <c r="K422" s="2"/>
      <c r="L422" s="2"/>
      <c r="M422" s="2"/>
      <c r="N422" s="2"/>
      <c r="O422" s="2"/>
      <c r="P422" s="2"/>
      <c r="Q422" s="2"/>
      <c r="R422" s="2"/>
      <c r="S422" s="2"/>
      <c r="T422" s="2"/>
      <c r="U422" s="2"/>
      <c r="V422" s="2"/>
    </row>
    <row r="423" spans="1:22" s="120" customFormat="1" x14ac:dyDescent="0.2">
      <c r="A423" s="2"/>
      <c r="B423" s="2"/>
      <c r="C423" s="2"/>
      <c r="D423" s="2"/>
      <c r="E423" s="2"/>
      <c r="F423" s="2"/>
      <c r="G423" s="2"/>
      <c r="H423" s="2"/>
      <c r="I423" s="2"/>
      <c r="J423" s="2"/>
      <c r="K423" s="2"/>
      <c r="L423" s="2"/>
      <c r="M423" s="2"/>
      <c r="N423" s="2"/>
      <c r="O423" s="2"/>
      <c r="P423" s="2"/>
      <c r="Q423" s="2"/>
      <c r="R423" s="2"/>
      <c r="S423" s="2"/>
      <c r="T423" s="2"/>
      <c r="U423" s="2"/>
      <c r="V423" s="2"/>
    </row>
    <row r="424" spans="1:22" s="120" customFormat="1" x14ac:dyDescent="0.2">
      <c r="A424" s="2"/>
      <c r="B424" s="2"/>
      <c r="C424" s="2"/>
      <c r="D424" s="2"/>
      <c r="E424" s="2"/>
      <c r="F424" s="2"/>
      <c r="G424" s="2"/>
      <c r="H424" s="2"/>
      <c r="I424" s="2"/>
      <c r="J424" s="2"/>
      <c r="K424" s="2"/>
      <c r="L424" s="2"/>
      <c r="M424" s="2"/>
      <c r="N424" s="2"/>
      <c r="O424" s="2"/>
      <c r="P424" s="2"/>
      <c r="Q424" s="2"/>
      <c r="R424" s="2"/>
      <c r="S424" s="2"/>
      <c r="T424" s="2"/>
      <c r="U424" s="2"/>
      <c r="V424" s="2"/>
    </row>
    <row r="425" spans="1:22" s="120" customFormat="1" x14ac:dyDescent="0.2">
      <c r="A425" s="2"/>
      <c r="B425" s="2"/>
      <c r="C425" s="2"/>
      <c r="D425" s="2"/>
      <c r="E425" s="2"/>
      <c r="F425" s="2"/>
      <c r="G425" s="2"/>
      <c r="H425" s="2"/>
      <c r="I425" s="2"/>
      <c r="J425" s="2"/>
      <c r="K425" s="2"/>
      <c r="L425" s="2"/>
      <c r="M425" s="2"/>
      <c r="N425" s="2"/>
      <c r="O425" s="2"/>
      <c r="P425" s="2"/>
      <c r="Q425" s="2"/>
      <c r="R425" s="2"/>
      <c r="S425" s="2"/>
      <c r="T425" s="2"/>
      <c r="U425" s="2"/>
      <c r="V425" s="2"/>
    </row>
    <row r="426" spans="1:22" s="120" customFormat="1" x14ac:dyDescent="0.2">
      <c r="A426" s="2"/>
      <c r="B426" s="2"/>
      <c r="C426" s="2"/>
      <c r="D426" s="2"/>
      <c r="E426" s="2"/>
      <c r="F426" s="2"/>
      <c r="G426" s="2"/>
      <c r="H426" s="2"/>
      <c r="I426" s="2"/>
      <c r="J426" s="2"/>
      <c r="K426" s="2"/>
      <c r="L426" s="2"/>
      <c r="M426" s="2"/>
      <c r="N426" s="2"/>
      <c r="O426" s="2"/>
      <c r="P426" s="2"/>
      <c r="Q426" s="2"/>
      <c r="R426" s="2"/>
      <c r="S426" s="2"/>
      <c r="T426" s="2"/>
      <c r="U426" s="2"/>
      <c r="V426" s="2"/>
    </row>
    <row r="427" spans="1:22" s="120" customFormat="1" x14ac:dyDescent="0.2">
      <c r="A427" s="2"/>
      <c r="B427" s="2"/>
      <c r="C427" s="2"/>
      <c r="D427" s="2"/>
      <c r="E427" s="2"/>
      <c r="F427" s="2"/>
      <c r="G427" s="2"/>
      <c r="H427" s="2"/>
      <c r="I427" s="2"/>
      <c r="J427" s="2"/>
      <c r="K427" s="2"/>
      <c r="L427" s="2"/>
      <c r="M427" s="2"/>
      <c r="N427" s="2"/>
      <c r="O427" s="2"/>
      <c r="P427" s="2"/>
      <c r="Q427" s="2"/>
      <c r="R427" s="2"/>
      <c r="S427" s="2"/>
      <c r="T427" s="2"/>
      <c r="U427" s="2"/>
      <c r="V427" s="2"/>
    </row>
    <row r="428" spans="1:22" s="120" customFormat="1" x14ac:dyDescent="0.2">
      <c r="A428" s="2"/>
      <c r="B428" s="2"/>
      <c r="C428" s="2"/>
      <c r="D428" s="2"/>
      <c r="E428" s="2"/>
      <c r="F428" s="2"/>
      <c r="G428" s="2"/>
      <c r="H428" s="2"/>
      <c r="I428" s="2"/>
      <c r="J428" s="2"/>
      <c r="K428" s="2"/>
      <c r="L428" s="2"/>
      <c r="M428" s="2"/>
      <c r="N428" s="2"/>
      <c r="O428" s="2"/>
      <c r="P428" s="2"/>
      <c r="Q428" s="2"/>
      <c r="R428" s="2"/>
      <c r="S428" s="2"/>
      <c r="T428" s="2"/>
      <c r="U428" s="2"/>
      <c r="V428" s="2"/>
    </row>
    <row r="429" spans="1:22" s="120" customFormat="1" x14ac:dyDescent="0.2">
      <c r="A429" s="2"/>
      <c r="B429" s="2"/>
      <c r="C429" s="2"/>
      <c r="D429" s="2"/>
      <c r="E429" s="2"/>
      <c r="F429" s="2"/>
      <c r="G429" s="2"/>
      <c r="H429" s="2"/>
      <c r="I429" s="2"/>
      <c r="J429" s="2"/>
      <c r="K429" s="2"/>
      <c r="L429" s="2"/>
      <c r="M429" s="2"/>
      <c r="N429" s="2"/>
      <c r="O429" s="2"/>
      <c r="P429" s="2"/>
      <c r="Q429" s="2"/>
      <c r="R429" s="2"/>
      <c r="S429" s="2"/>
      <c r="T429" s="2"/>
      <c r="U429" s="2"/>
      <c r="V429" s="2"/>
    </row>
    <row r="430" spans="1:22" s="120" customFormat="1" x14ac:dyDescent="0.2">
      <c r="A430" s="2"/>
      <c r="B430" s="2"/>
      <c r="C430" s="2"/>
      <c r="D430" s="2"/>
      <c r="E430" s="2"/>
      <c r="F430" s="2"/>
      <c r="G430" s="2"/>
      <c r="H430" s="2"/>
      <c r="I430" s="2"/>
      <c r="J430" s="2"/>
      <c r="K430" s="2"/>
      <c r="L430" s="2"/>
      <c r="M430" s="2"/>
      <c r="N430" s="2"/>
      <c r="O430" s="2"/>
      <c r="P430" s="2"/>
      <c r="Q430" s="2"/>
      <c r="R430" s="2"/>
      <c r="S430" s="2"/>
      <c r="T430" s="2"/>
      <c r="U430" s="2"/>
      <c r="V430" s="2"/>
    </row>
    <row r="431" spans="1:22" s="120" customFormat="1" x14ac:dyDescent="0.2">
      <c r="A431" s="2"/>
      <c r="B431" s="2"/>
      <c r="C431" s="2"/>
      <c r="D431" s="2"/>
      <c r="E431" s="2"/>
      <c r="F431" s="2"/>
      <c r="G431" s="2"/>
      <c r="H431" s="2"/>
      <c r="I431" s="2"/>
      <c r="J431" s="2"/>
      <c r="K431" s="2"/>
      <c r="L431" s="2"/>
      <c r="M431" s="2"/>
      <c r="N431" s="2"/>
      <c r="O431" s="2"/>
      <c r="P431" s="2"/>
      <c r="Q431" s="2"/>
      <c r="R431" s="2"/>
      <c r="S431" s="2"/>
      <c r="T431" s="2"/>
      <c r="U431" s="2"/>
      <c r="V431" s="2"/>
    </row>
    <row r="432" spans="1:22" s="120" customFormat="1" x14ac:dyDescent="0.2">
      <c r="A432" s="2"/>
      <c r="B432" s="2"/>
      <c r="C432" s="2"/>
      <c r="D432" s="2"/>
      <c r="E432" s="2"/>
      <c r="F432" s="2"/>
      <c r="G432" s="2"/>
      <c r="H432" s="2"/>
      <c r="I432" s="2"/>
      <c r="J432" s="2"/>
      <c r="K432" s="2"/>
      <c r="L432" s="2"/>
      <c r="M432" s="2"/>
      <c r="N432" s="2"/>
      <c r="O432" s="2"/>
      <c r="P432" s="2"/>
      <c r="Q432" s="2"/>
      <c r="R432" s="2"/>
      <c r="S432" s="2"/>
      <c r="T432" s="2"/>
      <c r="U432" s="2"/>
      <c r="V432" s="2"/>
    </row>
    <row r="433" spans="1:22" s="120" customFormat="1" x14ac:dyDescent="0.2">
      <c r="A433" s="2"/>
      <c r="B433" s="2"/>
      <c r="C433" s="2"/>
      <c r="D433" s="2"/>
      <c r="E433" s="2"/>
      <c r="F433" s="2"/>
      <c r="G433" s="2"/>
      <c r="H433" s="2"/>
      <c r="I433" s="2"/>
      <c r="J433" s="2"/>
      <c r="K433" s="2"/>
      <c r="L433" s="2"/>
      <c r="M433" s="2"/>
      <c r="N433" s="2"/>
      <c r="O433" s="2"/>
      <c r="P433" s="2"/>
      <c r="Q433" s="2"/>
      <c r="R433" s="2"/>
      <c r="S433" s="2"/>
      <c r="T433" s="2"/>
      <c r="U433" s="2"/>
      <c r="V433" s="2"/>
    </row>
    <row r="434" spans="1:22" s="120" customFormat="1" x14ac:dyDescent="0.2">
      <c r="A434" s="2"/>
      <c r="B434" s="2"/>
      <c r="C434" s="2"/>
      <c r="D434" s="2"/>
      <c r="E434" s="2"/>
      <c r="F434" s="2"/>
      <c r="G434" s="2"/>
      <c r="H434" s="2"/>
      <c r="I434" s="2"/>
      <c r="J434" s="2"/>
      <c r="K434" s="2"/>
      <c r="L434" s="2"/>
      <c r="M434" s="2"/>
      <c r="N434" s="2"/>
      <c r="O434" s="2"/>
      <c r="P434" s="2"/>
      <c r="Q434" s="2"/>
      <c r="R434" s="2"/>
      <c r="S434" s="2"/>
      <c r="T434" s="2"/>
      <c r="U434" s="2"/>
      <c r="V434" s="2"/>
    </row>
    <row r="435" spans="1:22" s="120" customFormat="1" x14ac:dyDescent="0.2">
      <c r="A435" s="2"/>
      <c r="B435" s="2"/>
      <c r="C435" s="2"/>
      <c r="D435" s="2"/>
      <c r="E435" s="2"/>
      <c r="F435" s="2"/>
      <c r="G435" s="2"/>
      <c r="H435" s="2"/>
      <c r="I435" s="2"/>
      <c r="J435" s="2"/>
      <c r="K435" s="2"/>
      <c r="L435" s="2"/>
      <c r="M435" s="2"/>
      <c r="N435" s="2"/>
      <c r="O435" s="2"/>
      <c r="P435" s="2"/>
      <c r="Q435" s="2"/>
      <c r="R435" s="2"/>
      <c r="S435" s="2"/>
      <c r="T435" s="2"/>
      <c r="U435" s="2"/>
      <c r="V435" s="2"/>
    </row>
    <row r="436" spans="1:22" s="120" customFormat="1" x14ac:dyDescent="0.2">
      <c r="A436" s="2"/>
      <c r="B436" s="2"/>
      <c r="C436" s="2"/>
      <c r="D436" s="2"/>
      <c r="E436" s="2"/>
      <c r="F436" s="2"/>
      <c r="G436" s="2"/>
      <c r="H436" s="2"/>
      <c r="I436" s="2"/>
      <c r="J436" s="2"/>
      <c r="K436" s="2"/>
      <c r="L436" s="2"/>
      <c r="M436" s="2"/>
      <c r="N436" s="2"/>
      <c r="O436" s="2"/>
      <c r="P436" s="2"/>
      <c r="Q436" s="2"/>
      <c r="R436" s="2"/>
      <c r="S436" s="2"/>
      <c r="T436" s="2"/>
      <c r="U436" s="2"/>
      <c r="V436" s="2"/>
    </row>
    <row r="437" spans="1:22" s="120" customFormat="1" x14ac:dyDescent="0.2">
      <c r="A437" s="2"/>
      <c r="B437" s="2"/>
      <c r="C437" s="2"/>
      <c r="D437" s="2"/>
      <c r="E437" s="2"/>
      <c r="F437" s="2"/>
      <c r="G437" s="2"/>
      <c r="H437" s="2"/>
      <c r="I437" s="2"/>
      <c r="J437" s="2"/>
      <c r="K437" s="2"/>
      <c r="L437" s="2"/>
      <c r="M437" s="2"/>
      <c r="N437" s="2"/>
      <c r="O437" s="2"/>
      <c r="P437" s="2"/>
      <c r="Q437" s="2"/>
      <c r="R437" s="2"/>
      <c r="S437" s="2"/>
      <c r="T437" s="2"/>
      <c r="U437" s="2"/>
      <c r="V437" s="2"/>
    </row>
    <row r="438" spans="1:22" s="120" customFormat="1" x14ac:dyDescent="0.2">
      <c r="A438" s="2"/>
      <c r="B438" s="2"/>
      <c r="C438" s="2"/>
      <c r="D438" s="2"/>
      <c r="E438" s="2"/>
      <c r="F438" s="2"/>
      <c r="G438" s="2"/>
      <c r="H438" s="2"/>
      <c r="I438" s="2"/>
      <c r="J438" s="2"/>
      <c r="K438" s="2"/>
      <c r="L438" s="2"/>
      <c r="M438" s="2"/>
      <c r="N438" s="2"/>
      <c r="O438" s="2"/>
      <c r="P438" s="2"/>
      <c r="Q438" s="2"/>
      <c r="R438" s="2"/>
      <c r="S438" s="2"/>
      <c r="T438" s="2"/>
      <c r="U438" s="2"/>
      <c r="V438" s="2"/>
    </row>
    <row r="439" spans="1:22" s="120" customFormat="1" x14ac:dyDescent="0.2">
      <c r="A439" s="2"/>
      <c r="B439" s="2"/>
      <c r="C439" s="2"/>
      <c r="D439" s="2"/>
      <c r="E439" s="2"/>
      <c r="F439" s="2"/>
      <c r="G439" s="2"/>
      <c r="H439" s="2"/>
      <c r="I439" s="2"/>
      <c r="J439" s="2"/>
      <c r="K439" s="2"/>
      <c r="L439" s="2"/>
      <c r="M439" s="2"/>
      <c r="N439" s="2"/>
      <c r="O439" s="2"/>
      <c r="P439" s="2"/>
      <c r="Q439" s="2"/>
      <c r="R439" s="2"/>
      <c r="S439" s="2"/>
      <c r="T439" s="2"/>
      <c r="U439" s="2"/>
      <c r="V439" s="2"/>
    </row>
    <row r="440" spans="1:22" s="120" customFormat="1" x14ac:dyDescent="0.2">
      <c r="A440" s="2"/>
      <c r="B440" s="2"/>
      <c r="C440" s="2"/>
      <c r="D440" s="2"/>
      <c r="E440" s="2"/>
      <c r="F440" s="2"/>
      <c r="G440" s="2"/>
      <c r="H440" s="2"/>
      <c r="I440" s="2"/>
      <c r="J440" s="2"/>
      <c r="K440" s="2"/>
      <c r="L440" s="2"/>
      <c r="M440" s="2"/>
      <c r="N440" s="2"/>
      <c r="O440" s="2"/>
      <c r="P440" s="2"/>
      <c r="Q440" s="2"/>
      <c r="R440" s="2"/>
      <c r="S440" s="2"/>
      <c r="T440" s="2"/>
      <c r="U440" s="2"/>
      <c r="V440" s="2"/>
    </row>
    <row r="441" spans="1:22" s="120" customFormat="1" x14ac:dyDescent="0.2">
      <c r="A441" s="2"/>
      <c r="B441" s="2"/>
      <c r="C441" s="2"/>
      <c r="D441" s="2"/>
      <c r="E441" s="2"/>
      <c r="F441" s="2"/>
      <c r="G441" s="2"/>
      <c r="H441" s="2"/>
      <c r="I441" s="2"/>
      <c r="J441" s="2"/>
      <c r="K441" s="2"/>
      <c r="L441" s="2"/>
      <c r="M441" s="2"/>
      <c r="N441" s="2"/>
      <c r="O441" s="2"/>
      <c r="P441" s="2"/>
      <c r="Q441" s="2"/>
      <c r="R441" s="2"/>
      <c r="S441" s="2"/>
      <c r="T441" s="2"/>
      <c r="U441" s="2"/>
      <c r="V441" s="2"/>
    </row>
    <row r="442" spans="1:22" s="120" customFormat="1" x14ac:dyDescent="0.2">
      <c r="A442" s="2"/>
      <c r="B442" s="2"/>
      <c r="C442" s="2"/>
      <c r="D442" s="2"/>
      <c r="E442" s="2"/>
      <c r="F442" s="2"/>
      <c r="G442" s="2"/>
      <c r="H442" s="2"/>
      <c r="I442" s="2"/>
      <c r="J442" s="2"/>
      <c r="K442" s="2"/>
      <c r="L442" s="2"/>
      <c r="M442" s="2"/>
      <c r="N442" s="2"/>
      <c r="O442" s="2"/>
      <c r="P442" s="2"/>
      <c r="Q442" s="2"/>
      <c r="R442" s="2"/>
      <c r="S442" s="2"/>
      <c r="T442" s="2"/>
      <c r="U442" s="2"/>
      <c r="V442" s="2"/>
    </row>
    <row r="443" spans="1:22" s="120" customFormat="1" x14ac:dyDescent="0.2">
      <c r="A443" s="2"/>
      <c r="B443" s="2"/>
      <c r="C443" s="2"/>
      <c r="D443" s="2"/>
      <c r="E443" s="2"/>
      <c r="F443" s="2"/>
      <c r="G443" s="2"/>
      <c r="H443" s="2"/>
      <c r="I443" s="2"/>
      <c r="J443" s="2"/>
      <c r="K443" s="2"/>
      <c r="L443" s="2"/>
      <c r="M443" s="2"/>
      <c r="N443" s="2"/>
      <c r="O443" s="2"/>
      <c r="P443" s="2"/>
      <c r="Q443" s="2"/>
      <c r="R443" s="2"/>
      <c r="S443" s="2"/>
      <c r="T443" s="2"/>
      <c r="U443" s="2"/>
      <c r="V443" s="2"/>
    </row>
    <row r="444" spans="1:22" s="120" customFormat="1" x14ac:dyDescent="0.2">
      <c r="A444" s="2"/>
      <c r="B444" s="2"/>
      <c r="C444" s="2"/>
      <c r="D444" s="2"/>
      <c r="E444" s="2"/>
      <c r="F444" s="2"/>
      <c r="G444" s="2"/>
      <c r="H444" s="2"/>
      <c r="I444" s="2"/>
      <c r="J444" s="2"/>
      <c r="K444" s="2"/>
      <c r="L444" s="2"/>
      <c r="M444" s="2"/>
      <c r="N444" s="2"/>
      <c r="O444" s="2"/>
      <c r="P444" s="2"/>
      <c r="Q444" s="2"/>
      <c r="R444" s="2"/>
      <c r="S444" s="2"/>
      <c r="T444" s="2"/>
      <c r="U444" s="2"/>
      <c r="V444" s="2"/>
    </row>
    <row r="445" spans="1:22" s="120" customFormat="1" x14ac:dyDescent="0.2">
      <c r="A445" s="2"/>
      <c r="B445" s="2"/>
      <c r="C445" s="2"/>
      <c r="D445" s="2"/>
      <c r="E445" s="2"/>
      <c r="F445" s="2"/>
      <c r="G445" s="2"/>
      <c r="H445" s="2"/>
      <c r="I445" s="2"/>
      <c r="J445" s="2"/>
      <c r="K445" s="2"/>
      <c r="L445" s="2"/>
      <c r="M445" s="2"/>
      <c r="N445" s="2"/>
      <c r="O445" s="2"/>
      <c r="P445" s="2"/>
      <c r="Q445" s="2"/>
      <c r="R445" s="2"/>
      <c r="S445" s="2"/>
      <c r="T445" s="2"/>
      <c r="U445" s="2"/>
      <c r="V445" s="2"/>
    </row>
    <row r="446" spans="1:22" s="120" customFormat="1" x14ac:dyDescent="0.2">
      <c r="A446" s="2"/>
      <c r="B446" s="2"/>
      <c r="C446" s="2"/>
      <c r="D446" s="2"/>
      <c r="E446" s="2"/>
      <c r="F446" s="2"/>
      <c r="G446" s="2"/>
      <c r="H446" s="2"/>
      <c r="I446" s="2"/>
      <c r="J446" s="2"/>
      <c r="K446" s="2"/>
      <c r="L446" s="2"/>
      <c r="M446" s="2"/>
      <c r="N446" s="2"/>
      <c r="O446" s="2"/>
      <c r="P446" s="2"/>
      <c r="Q446" s="2"/>
      <c r="R446" s="2"/>
      <c r="S446" s="2"/>
      <c r="T446" s="2"/>
      <c r="U446" s="2"/>
      <c r="V446" s="2"/>
    </row>
    <row r="447" spans="1:22" s="120" customFormat="1" x14ac:dyDescent="0.2">
      <c r="A447" s="2"/>
      <c r="B447" s="2"/>
      <c r="C447" s="2"/>
      <c r="D447" s="2"/>
      <c r="E447" s="2"/>
      <c r="F447" s="2"/>
      <c r="G447" s="2"/>
      <c r="H447" s="2"/>
      <c r="I447" s="2"/>
      <c r="J447" s="2"/>
      <c r="K447" s="2"/>
      <c r="L447" s="2"/>
      <c r="M447" s="2"/>
      <c r="N447" s="2"/>
      <c r="O447" s="2"/>
      <c r="P447" s="2"/>
      <c r="Q447" s="2"/>
      <c r="R447" s="2"/>
      <c r="S447" s="2"/>
      <c r="T447" s="2"/>
      <c r="U447" s="2"/>
      <c r="V447" s="2"/>
    </row>
    <row r="448" spans="1:22" s="120" customFormat="1" x14ac:dyDescent="0.2">
      <c r="A448" s="2"/>
      <c r="B448" s="2"/>
      <c r="C448" s="2"/>
      <c r="D448" s="2"/>
      <c r="E448" s="2"/>
      <c r="F448" s="2"/>
      <c r="G448" s="2"/>
      <c r="H448" s="2"/>
      <c r="I448" s="2"/>
      <c r="J448" s="2"/>
      <c r="K448" s="2"/>
      <c r="L448" s="2"/>
      <c r="M448" s="2"/>
      <c r="N448" s="2"/>
      <c r="O448" s="2"/>
      <c r="P448" s="2"/>
      <c r="Q448" s="2"/>
      <c r="R448" s="2"/>
      <c r="S448" s="2"/>
      <c r="T448" s="2"/>
      <c r="U448" s="2"/>
      <c r="V448" s="2"/>
    </row>
    <row r="449" spans="1:22" s="120" customFormat="1" x14ac:dyDescent="0.2">
      <c r="A449" s="2"/>
      <c r="B449" s="2"/>
      <c r="C449" s="2"/>
      <c r="D449" s="2"/>
      <c r="E449" s="2"/>
      <c r="F449" s="2"/>
      <c r="G449" s="2"/>
      <c r="H449" s="2"/>
      <c r="I449" s="2"/>
      <c r="J449" s="2"/>
      <c r="K449" s="2"/>
      <c r="L449" s="2"/>
      <c r="M449" s="2"/>
      <c r="N449" s="2"/>
      <c r="O449" s="2"/>
      <c r="P449" s="2"/>
      <c r="Q449" s="2"/>
      <c r="R449" s="2"/>
      <c r="S449" s="2"/>
      <c r="T449" s="2"/>
      <c r="U449" s="2"/>
      <c r="V449" s="2"/>
    </row>
    <row r="450" spans="1:22" s="120" customFormat="1" x14ac:dyDescent="0.2">
      <c r="A450" s="2"/>
      <c r="B450" s="2"/>
      <c r="C450" s="2"/>
      <c r="D450" s="2"/>
      <c r="E450" s="2"/>
      <c r="F450" s="2"/>
      <c r="G450" s="2"/>
      <c r="H450" s="2"/>
      <c r="I450" s="2"/>
      <c r="J450" s="2"/>
      <c r="K450" s="2"/>
      <c r="L450" s="2"/>
      <c r="M450" s="2"/>
      <c r="N450" s="2"/>
      <c r="O450" s="2"/>
      <c r="P450" s="2"/>
      <c r="Q450" s="2"/>
      <c r="R450" s="2"/>
      <c r="S450" s="2"/>
      <c r="T450" s="2"/>
      <c r="U450" s="2"/>
      <c r="V450" s="2"/>
    </row>
    <row r="451" spans="1:22" s="120" customFormat="1" x14ac:dyDescent="0.2">
      <c r="A451" s="2"/>
      <c r="B451" s="2"/>
      <c r="C451" s="2"/>
      <c r="D451" s="2"/>
      <c r="E451" s="2"/>
      <c r="F451" s="2"/>
      <c r="G451" s="2"/>
      <c r="H451" s="2"/>
      <c r="I451" s="2"/>
      <c r="J451" s="2"/>
      <c r="K451" s="2"/>
      <c r="L451" s="2"/>
      <c r="M451" s="2"/>
      <c r="N451" s="2"/>
      <c r="O451" s="2"/>
      <c r="P451" s="2"/>
      <c r="Q451" s="2"/>
      <c r="R451" s="2"/>
      <c r="S451" s="2"/>
      <c r="T451" s="2"/>
      <c r="U451" s="2"/>
      <c r="V451" s="2"/>
    </row>
    <row r="452" spans="1:22" s="120" customFormat="1" x14ac:dyDescent="0.2">
      <c r="A452" s="2"/>
      <c r="B452" s="2"/>
      <c r="C452" s="2"/>
      <c r="D452" s="2"/>
      <c r="E452" s="2"/>
      <c r="F452" s="2"/>
      <c r="G452" s="2"/>
      <c r="H452" s="2"/>
      <c r="I452" s="2"/>
      <c r="J452" s="2"/>
      <c r="K452" s="2"/>
      <c r="L452" s="2"/>
      <c r="M452" s="2"/>
      <c r="N452" s="2"/>
      <c r="O452" s="2"/>
      <c r="P452" s="2"/>
      <c r="Q452" s="2"/>
      <c r="R452" s="2"/>
      <c r="S452" s="2"/>
      <c r="T452" s="2"/>
      <c r="U452" s="2"/>
      <c r="V452" s="2"/>
    </row>
    <row r="453" spans="1:22" s="120" customFormat="1" x14ac:dyDescent="0.2">
      <c r="A453" s="2"/>
      <c r="B453" s="2"/>
      <c r="C453" s="2"/>
      <c r="D453" s="2"/>
      <c r="E453" s="2"/>
      <c r="F453" s="2"/>
      <c r="G453" s="2"/>
      <c r="H453" s="2"/>
      <c r="I453" s="2"/>
      <c r="J453" s="2"/>
      <c r="K453" s="2"/>
      <c r="L453" s="2"/>
      <c r="M453" s="2"/>
      <c r="N453" s="2"/>
      <c r="O453" s="2"/>
      <c r="P453" s="2"/>
      <c r="Q453" s="2"/>
      <c r="R453" s="2"/>
      <c r="S453" s="2"/>
      <c r="T453" s="2"/>
      <c r="U453" s="2"/>
      <c r="V453" s="2"/>
    </row>
    <row r="454" spans="1:22" s="120" customFormat="1" x14ac:dyDescent="0.2">
      <c r="A454" s="2"/>
      <c r="B454" s="2"/>
      <c r="C454" s="2"/>
      <c r="D454" s="2"/>
      <c r="E454" s="2"/>
      <c r="F454" s="2"/>
      <c r="G454" s="2"/>
      <c r="H454" s="2"/>
      <c r="I454" s="2"/>
      <c r="J454" s="2"/>
      <c r="K454" s="2"/>
      <c r="L454" s="2"/>
      <c r="M454" s="2"/>
      <c r="N454" s="2"/>
      <c r="O454" s="2"/>
      <c r="P454" s="2"/>
      <c r="Q454" s="2"/>
      <c r="R454" s="2"/>
      <c r="S454" s="2"/>
      <c r="T454" s="2"/>
      <c r="U454" s="2"/>
      <c r="V454" s="2"/>
    </row>
    <row r="455" spans="1:22" s="120" customFormat="1" x14ac:dyDescent="0.2">
      <c r="A455" s="2"/>
      <c r="B455" s="2"/>
      <c r="C455" s="2"/>
      <c r="D455" s="2"/>
      <c r="E455" s="2"/>
      <c r="F455" s="2"/>
      <c r="G455" s="2"/>
      <c r="H455" s="2"/>
      <c r="I455" s="2"/>
      <c r="J455" s="2"/>
      <c r="K455" s="2"/>
      <c r="L455" s="2"/>
      <c r="M455" s="2"/>
      <c r="N455" s="2"/>
      <c r="O455" s="2"/>
      <c r="P455" s="2"/>
      <c r="Q455" s="2"/>
      <c r="R455" s="2"/>
      <c r="S455" s="2"/>
      <c r="T455" s="2"/>
      <c r="U455" s="2"/>
      <c r="V455" s="2"/>
    </row>
    <row r="456" spans="1:22" s="120" customFormat="1" x14ac:dyDescent="0.2">
      <c r="A456" s="2"/>
      <c r="B456" s="2"/>
      <c r="C456" s="2"/>
      <c r="D456" s="2"/>
      <c r="E456" s="2"/>
      <c r="F456" s="2"/>
      <c r="G456" s="2"/>
      <c r="H456" s="2"/>
      <c r="I456" s="2"/>
      <c r="J456" s="2"/>
      <c r="K456" s="2"/>
      <c r="L456" s="2"/>
      <c r="M456" s="2"/>
      <c r="N456" s="2"/>
      <c r="O456" s="2"/>
      <c r="P456" s="2"/>
      <c r="Q456" s="2"/>
      <c r="R456" s="2"/>
      <c r="S456" s="2"/>
      <c r="T456" s="2"/>
      <c r="U456" s="2"/>
      <c r="V456" s="2"/>
    </row>
    <row r="457" spans="1:22" s="120" customFormat="1" x14ac:dyDescent="0.2">
      <c r="A457" s="2"/>
      <c r="B457" s="2"/>
      <c r="C457" s="2"/>
      <c r="D457" s="2"/>
      <c r="E457" s="2"/>
      <c r="F457" s="2"/>
      <c r="G457" s="2"/>
      <c r="H457" s="2"/>
      <c r="I457" s="2"/>
      <c r="J457" s="2"/>
      <c r="K457" s="2"/>
      <c r="L457" s="2"/>
      <c r="M457" s="2"/>
      <c r="N457" s="2"/>
      <c r="O457" s="2"/>
      <c r="P457" s="2"/>
      <c r="Q457" s="2"/>
      <c r="R457" s="2"/>
      <c r="S457" s="2"/>
      <c r="T457" s="2"/>
      <c r="U457" s="2"/>
      <c r="V457" s="2"/>
    </row>
    <row r="458" spans="1:22" s="120" customFormat="1" x14ac:dyDescent="0.2">
      <c r="A458" s="2"/>
      <c r="B458" s="2"/>
      <c r="C458" s="2"/>
      <c r="D458" s="2"/>
      <c r="E458" s="2"/>
      <c r="F458" s="2"/>
      <c r="G458" s="2"/>
      <c r="H458" s="2"/>
      <c r="I458" s="2"/>
      <c r="J458" s="2"/>
      <c r="K458" s="2"/>
      <c r="L458" s="2"/>
      <c r="M458" s="2"/>
      <c r="N458" s="2"/>
      <c r="O458" s="2"/>
      <c r="P458" s="2"/>
      <c r="Q458" s="2"/>
      <c r="R458" s="2"/>
      <c r="S458" s="2"/>
      <c r="T458" s="2"/>
      <c r="U458" s="2"/>
      <c r="V458" s="2"/>
    </row>
    <row r="459" spans="1:22" s="120" customFormat="1" x14ac:dyDescent="0.2">
      <c r="A459" s="2"/>
      <c r="B459" s="2"/>
      <c r="C459" s="2"/>
      <c r="D459" s="2"/>
      <c r="E459" s="2"/>
      <c r="F459" s="2"/>
      <c r="G459" s="2"/>
      <c r="H459" s="2"/>
      <c r="I459" s="2"/>
      <c r="J459" s="2"/>
      <c r="K459" s="2"/>
      <c r="L459" s="2"/>
      <c r="M459" s="2"/>
      <c r="N459" s="2"/>
      <c r="O459" s="2"/>
      <c r="P459" s="2"/>
      <c r="Q459" s="2"/>
      <c r="R459" s="2"/>
      <c r="S459" s="2"/>
      <c r="T459" s="2"/>
      <c r="U459" s="2"/>
      <c r="V459" s="2"/>
    </row>
    <row r="460" spans="1:22" s="120" customFormat="1" x14ac:dyDescent="0.2">
      <c r="A460" s="2"/>
      <c r="B460" s="2"/>
      <c r="C460" s="2"/>
      <c r="D460" s="2"/>
      <c r="E460" s="2"/>
      <c r="F460" s="2"/>
      <c r="G460" s="2"/>
      <c r="H460" s="2"/>
      <c r="I460" s="2"/>
      <c r="J460" s="2"/>
      <c r="K460" s="2"/>
      <c r="L460" s="2"/>
      <c r="M460" s="2"/>
      <c r="N460" s="2"/>
      <c r="O460" s="2"/>
      <c r="P460" s="2"/>
      <c r="Q460" s="2"/>
      <c r="R460" s="2"/>
      <c r="S460" s="2"/>
      <c r="T460" s="2"/>
      <c r="U460" s="2"/>
      <c r="V460" s="2"/>
    </row>
    <row r="461" spans="1:22" s="120" customFormat="1" x14ac:dyDescent="0.2">
      <c r="A461" s="2"/>
      <c r="B461" s="2"/>
      <c r="C461" s="2"/>
      <c r="D461" s="2"/>
      <c r="E461" s="2"/>
      <c r="F461" s="2"/>
      <c r="G461" s="2"/>
      <c r="H461" s="2"/>
      <c r="I461" s="2"/>
      <c r="J461" s="2"/>
      <c r="K461" s="2"/>
      <c r="L461" s="2"/>
      <c r="M461" s="2"/>
      <c r="N461" s="2"/>
      <c r="O461" s="2"/>
      <c r="P461" s="2"/>
      <c r="Q461" s="2"/>
      <c r="R461" s="2"/>
      <c r="S461" s="2"/>
      <c r="T461" s="2"/>
      <c r="U461" s="2"/>
      <c r="V461" s="2"/>
    </row>
    <row r="462" spans="1:22" s="120" customFormat="1" x14ac:dyDescent="0.2">
      <c r="A462" s="2"/>
      <c r="B462" s="2"/>
      <c r="C462" s="2"/>
      <c r="D462" s="2"/>
      <c r="E462" s="2"/>
      <c r="F462" s="2"/>
      <c r="G462" s="2"/>
      <c r="H462" s="2"/>
      <c r="I462" s="2"/>
      <c r="J462" s="2"/>
      <c r="K462" s="2"/>
      <c r="L462" s="2"/>
      <c r="M462" s="2"/>
      <c r="N462" s="2"/>
      <c r="O462" s="2"/>
      <c r="P462" s="2"/>
      <c r="Q462" s="2"/>
      <c r="R462" s="2"/>
      <c r="S462" s="2"/>
      <c r="T462" s="2"/>
      <c r="U462" s="2"/>
      <c r="V462" s="2"/>
    </row>
    <row r="463" spans="1:22" s="120" customFormat="1" x14ac:dyDescent="0.2">
      <c r="A463" s="2"/>
      <c r="B463" s="2"/>
      <c r="C463" s="2"/>
      <c r="D463" s="2"/>
      <c r="E463" s="2"/>
      <c r="F463" s="2"/>
      <c r="G463" s="2"/>
      <c r="H463" s="2"/>
      <c r="I463" s="2"/>
      <c r="J463" s="2"/>
      <c r="K463" s="2"/>
      <c r="L463" s="2"/>
      <c r="M463" s="2"/>
      <c r="N463" s="2"/>
      <c r="O463" s="2"/>
      <c r="P463" s="2"/>
      <c r="Q463" s="2"/>
      <c r="R463" s="2"/>
      <c r="S463" s="2"/>
      <c r="T463" s="2"/>
      <c r="U463" s="2"/>
      <c r="V463" s="2"/>
    </row>
    <row r="464" spans="1:22" s="120" customFormat="1" x14ac:dyDescent="0.2">
      <c r="A464" s="2"/>
      <c r="B464" s="2"/>
      <c r="C464" s="2"/>
      <c r="D464" s="2"/>
      <c r="E464" s="2"/>
      <c r="F464" s="2"/>
      <c r="G464" s="2"/>
      <c r="H464" s="2"/>
      <c r="I464" s="2"/>
      <c r="J464" s="2"/>
      <c r="K464" s="2"/>
      <c r="L464" s="2"/>
      <c r="M464" s="2"/>
      <c r="N464" s="2"/>
      <c r="O464" s="2"/>
      <c r="P464" s="2"/>
      <c r="Q464" s="2"/>
      <c r="R464" s="2"/>
      <c r="S464" s="2"/>
      <c r="T464" s="2"/>
      <c r="U464" s="2"/>
      <c r="V464" s="2"/>
    </row>
    <row r="465" spans="1:22" s="120" customFormat="1" x14ac:dyDescent="0.2">
      <c r="A465" s="2"/>
      <c r="B465" s="2"/>
      <c r="C465" s="2"/>
      <c r="D465" s="2"/>
      <c r="E465" s="2"/>
      <c r="F465" s="2"/>
      <c r="G465" s="2"/>
      <c r="H465" s="2"/>
      <c r="I465" s="2"/>
      <c r="J465" s="2"/>
      <c r="K465" s="2"/>
      <c r="L465" s="2"/>
      <c r="M465" s="2"/>
      <c r="N465" s="2"/>
      <c r="O465" s="2"/>
      <c r="P465" s="2"/>
      <c r="Q465" s="2"/>
      <c r="R465" s="2"/>
      <c r="S465" s="2"/>
      <c r="T465" s="2"/>
      <c r="U465" s="2"/>
      <c r="V465" s="2"/>
    </row>
    <row r="466" spans="1:22" s="120" customFormat="1" x14ac:dyDescent="0.2">
      <c r="A466" s="2"/>
      <c r="B466" s="2"/>
      <c r="C466" s="2"/>
      <c r="D466" s="2"/>
      <c r="E466" s="2"/>
      <c r="F466" s="2"/>
      <c r="G466" s="2"/>
      <c r="H466" s="2"/>
      <c r="I466" s="2"/>
      <c r="J466" s="2"/>
      <c r="K466" s="2"/>
      <c r="L466" s="2"/>
      <c r="M466" s="2"/>
      <c r="N466" s="2"/>
      <c r="O466" s="2"/>
      <c r="P466" s="2"/>
      <c r="Q466" s="2"/>
      <c r="R466" s="2"/>
      <c r="S466" s="2"/>
      <c r="T466" s="2"/>
      <c r="U466" s="2"/>
      <c r="V466" s="2"/>
    </row>
    <row r="467" spans="1:22" s="120" customFormat="1" x14ac:dyDescent="0.2">
      <c r="A467" s="2"/>
      <c r="B467" s="2"/>
      <c r="C467" s="2"/>
      <c r="D467" s="2"/>
      <c r="E467" s="2"/>
      <c r="F467" s="2"/>
      <c r="G467" s="2"/>
      <c r="H467" s="2"/>
      <c r="I467" s="2"/>
      <c r="J467" s="2"/>
      <c r="K467" s="2"/>
      <c r="L467" s="2"/>
      <c r="M467" s="2"/>
      <c r="N467" s="2"/>
      <c r="O467" s="2"/>
      <c r="P467" s="2"/>
      <c r="Q467" s="2"/>
      <c r="R467" s="2"/>
      <c r="S467" s="2"/>
      <c r="T467" s="2"/>
      <c r="U467" s="2"/>
      <c r="V467" s="2"/>
    </row>
    <row r="468" spans="1:22" s="120" customFormat="1" x14ac:dyDescent="0.2">
      <c r="A468" s="2"/>
      <c r="B468" s="2"/>
      <c r="C468" s="2"/>
      <c r="D468" s="2"/>
      <c r="E468" s="2"/>
      <c r="F468" s="2"/>
      <c r="G468" s="2"/>
      <c r="H468" s="2"/>
      <c r="I468" s="2"/>
      <c r="J468" s="2"/>
      <c r="K468" s="2"/>
      <c r="L468" s="2"/>
      <c r="M468" s="2"/>
      <c r="N468" s="2"/>
      <c r="O468" s="2"/>
      <c r="P468" s="2"/>
      <c r="Q468" s="2"/>
      <c r="R468" s="2"/>
      <c r="S468" s="2"/>
      <c r="T468" s="2"/>
      <c r="U468" s="2"/>
      <c r="V468" s="2"/>
    </row>
    <row r="469" spans="1:22" s="120" customFormat="1" x14ac:dyDescent="0.2">
      <c r="A469" s="2"/>
      <c r="B469" s="2"/>
      <c r="C469" s="2"/>
      <c r="D469" s="2"/>
      <c r="E469" s="2"/>
      <c r="F469" s="2"/>
      <c r="G469" s="2"/>
      <c r="H469" s="2"/>
      <c r="I469" s="2"/>
      <c r="J469" s="2"/>
      <c r="K469" s="2"/>
      <c r="L469" s="2"/>
      <c r="M469" s="2"/>
      <c r="N469" s="2"/>
      <c r="O469" s="2"/>
      <c r="P469" s="2"/>
      <c r="Q469" s="2"/>
      <c r="R469" s="2"/>
      <c r="S469" s="2"/>
      <c r="T469" s="2"/>
      <c r="U469" s="2"/>
      <c r="V469" s="2"/>
    </row>
    <row r="470" spans="1:22" s="120" customFormat="1" x14ac:dyDescent="0.2">
      <c r="A470" s="2"/>
      <c r="B470" s="2"/>
      <c r="C470" s="2"/>
      <c r="D470" s="2"/>
      <c r="E470" s="2"/>
      <c r="F470" s="2"/>
      <c r="G470" s="2"/>
      <c r="H470" s="2"/>
      <c r="I470" s="2"/>
      <c r="J470" s="2"/>
      <c r="K470" s="2"/>
      <c r="L470" s="2"/>
      <c r="M470" s="2"/>
      <c r="N470" s="2"/>
      <c r="O470" s="2"/>
      <c r="P470" s="2"/>
      <c r="Q470" s="2"/>
      <c r="R470" s="2"/>
      <c r="S470" s="2"/>
      <c r="T470" s="2"/>
      <c r="U470" s="2"/>
      <c r="V470" s="2"/>
    </row>
    <row r="471" spans="1:22" s="120" customFormat="1" x14ac:dyDescent="0.2">
      <c r="A471" s="2"/>
      <c r="B471" s="2"/>
      <c r="C471" s="2"/>
      <c r="D471" s="2"/>
      <c r="E471" s="2"/>
      <c r="F471" s="2"/>
      <c r="G471" s="2"/>
      <c r="H471" s="2"/>
      <c r="I471" s="2"/>
      <c r="J471" s="2"/>
      <c r="K471" s="2"/>
      <c r="L471" s="2"/>
      <c r="M471" s="2"/>
      <c r="N471" s="2"/>
      <c r="O471" s="2"/>
      <c r="P471" s="2"/>
      <c r="Q471" s="2"/>
      <c r="R471" s="2"/>
      <c r="S471" s="2"/>
      <c r="T471" s="2"/>
      <c r="U471" s="2"/>
      <c r="V471" s="2"/>
    </row>
    <row r="472" spans="1:22" s="120" customFormat="1" x14ac:dyDescent="0.2">
      <c r="A472" s="2"/>
      <c r="B472" s="2"/>
      <c r="C472" s="2"/>
      <c r="D472" s="2"/>
      <c r="E472" s="2"/>
      <c r="F472" s="2"/>
      <c r="G472" s="2"/>
      <c r="H472" s="2"/>
      <c r="I472" s="2"/>
      <c r="J472" s="2"/>
      <c r="K472" s="2"/>
      <c r="L472" s="2"/>
      <c r="M472" s="2"/>
      <c r="N472" s="2"/>
      <c r="O472" s="2"/>
      <c r="P472" s="2"/>
      <c r="Q472" s="2"/>
      <c r="R472" s="2"/>
      <c r="S472" s="2"/>
      <c r="T472" s="2"/>
      <c r="U472" s="2"/>
      <c r="V472" s="2"/>
    </row>
    <row r="473" spans="1:22" s="120" customFormat="1" x14ac:dyDescent="0.2">
      <c r="A473" s="2"/>
      <c r="B473" s="2"/>
      <c r="C473" s="2"/>
      <c r="D473" s="2"/>
      <c r="E473" s="2"/>
      <c r="F473" s="2"/>
      <c r="G473" s="2"/>
      <c r="H473" s="2"/>
      <c r="I473" s="2"/>
      <c r="J473" s="2"/>
      <c r="K473" s="2"/>
      <c r="L473" s="2"/>
      <c r="M473" s="2"/>
      <c r="N473" s="2"/>
      <c r="O473" s="2"/>
      <c r="P473" s="2"/>
      <c r="Q473" s="2"/>
      <c r="R473" s="2"/>
      <c r="S473" s="2"/>
      <c r="T473" s="2"/>
      <c r="U473" s="2"/>
      <c r="V473" s="2"/>
    </row>
    <row r="474" spans="1:22" s="120" customFormat="1" x14ac:dyDescent="0.2">
      <c r="A474" s="2"/>
      <c r="B474" s="2"/>
      <c r="C474" s="2"/>
      <c r="D474" s="2"/>
      <c r="E474" s="2"/>
      <c r="F474" s="2"/>
      <c r="G474" s="2"/>
      <c r="H474" s="2"/>
      <c r="I474" s="2"/>
      <c r="J474" s="2"/>
      <c r="K474" s="2"/>
      <c r="L474" s="2"/>
      <c r="M474" s="2"/>
      <c r="N474" s="2"/>
      <c r="O474" s="2"/>
      <c r="P474" s="2"/>
      <c r="Q474" s="2"/>
      <c r="R474" s="2"/>
      <c r="S474" s="2"/>
      <c r="T474" s="2"/>
      <c r="U474" s="2"/>
      <c r="V474" s="2"/>
    </row>
    <row r="475" spans="1:22" s="120" customFormat="1" x14ac:dyDescent="0.2">
      <c r="A475" s="2"/>
      <c r="B475" s="2"/>
      <c r="C475" s="2"/>
      <c r="D475" s="2"/>
      <c r="E475" s="2"/>
      <c r="F475" s="2"/>
      <c r="G475" s="2"/>
      <c r="H475" s="2"/>
      <c r="I475" s="2"/>
      <c r="J475" s="2"/>
      <c r="K475" s="2"/>
      <c r="L475" s="2"/>
      <c r="M475" s="2"/>
      <c r="N475" s="2"/>
      <c r="O475" s="2"/>
      <c r="P475" s="2"/>
      <c r="Q475" s="2"/>
      <c r="R475" s="2"/>
      <c r="S475" s="2"/>
      <c r="T475" s="2"/>
      <c r="U475" s="2"/>
      <c r="V475" s="2"/>
    </row>
    <row r="476" spans="1:22" s="120" customFormat="1" x14ac:dyDescent="0.2">
      <c r="A476" s="2"/>
      <c r="B476" s="2"/>
      <c r="C476" s="2"/>
      <c r="D476" s="2"/>
      <c r="E476" s="2"/>
      <c r="F476" s="2"/>
      <c r="G476" s="2"/>
      <c r="H476" s="2"/>
      <c r="I476" s="2"/>
      <c r="J476" s="2"/>
      <c r="K476" s="2"/>
      <c r="L476" s="2"/>
      <c r="M476" s="2"/>
      <c r="N476" s="2"/>
      <c r="O476" s="2"/>
      <c r="P476" s="2"/>
      <c r="Q476" s="2"/>
      <c r="R476" s="2"/>
      <c r="S476" s="2"/>
      <c r="T476" s="2"/>
      <c r="U476" s="2"/>
      <c r="V476" s="2"/>
    </row>
    <row r="477" spans="1:22" s="120" customFormat="1" x14ac:dyDescent="0.2">
      <c r="A477" s="2"/>
      <c r="B477" s="2"/>
      <c r="C477" s="2"/>
      <c r="D477" s="2"/>
      <c r="E477" s="2"/>
      <c r="F477" s="2"/>
      <c r="G477" s="2"/>
      <c r="H477" s="2"/>
      <c r="I477" s="2"/>
      <c r="J477" s="2"/>
      <c r="K477" s="2"/>
      <c r="L477" s="2"/>
      <c r="M477" s="2"/>
      <c r="N477" s="2"/>
      <c r="O477" s="2"/>
      <c r="P477" s="2"/>
      <c r="Q477" s="2"/>
      <c r="R477" s="2"/>
      <c r="S477" s="2"/>
      <c r="T477" s="2"/>
      <c r="U477" s="2"/>
      <c r="V477" s="2"/>
    </row>
    <row r="478" spans="1:22" s="120" customFormat="1" x14ac:dyDescent="0.2">
      <c r="A478" s="2"/>
      <c r="B478" s="2"/>
      <c r="C478" s="2"/>
      <c r="D478" s="2"/>
      <c r="E478" s="2"/>
      <c r="F478" s="2"/>
      <c r="G478" s="2"/>
      <c r="H478" s="2"/>
      <c r="I478" s="2"/>
      <c r="J478" s="2"/>
      <c r="K478" s="2"/>
      <c r="L478" s="2"/>
      <c r="M478" s="2"/>
      <c r="N478" s="2"/>
      <c r="O478" s="2"/>
      <c r="P478" s="2"/>
      <c r="Q478" s="2"/>
      <c r="R478" s="2"/>
      <c r="S478" s="2"/>
      <c r="T478" s="2"/>
      <c r="U478" s="2"/>
      <c r="V478" s="2"/>
    </row>
    <row r="479" spans="1:22" s="120" customFormat="1" x14ac:dyDescent="0.2">
      <c r="A479" s="2"/>
      <c r="B479" s="2"/>
      <c r="C479" s="2"/>
      <c r="D479" s="2"/>
      <c r="E479" s="2"/>
      <c r="F479" s="2"/>
      <c r="G479" s="2"/>
      <c r="H479" s="2"/>
      <c r="I479" s="2"/>
      <c r="J479" s="2"/>
      <c r="K479" s="2"/>
      <c r="L479" s="2"/>
      <c r="M479" s="2"/>
      <c r="N479" s="2"/>
      <c r="O479" s="2"/>
      <c r="P479" s="2"/>
      <c r="Q479" s="2"/>
      <c r="R479" s="2"/>
      <c r="S479" s="2"/>
      <c r="T479" s="2"/>
      <c r="U479" s="2"/>
      <c r="V479" s="2"/>
    </row>
    <row r="480" spans="1:22" s="120" customFormat="1" x14ac:dyDescent="0.2">
      <c r="A480" s="2"/>
      <c r="B480" s="2"/>
      <c r="C480" s="2"/>
      <c r="D480" s="2"/>
      <c r="E480" s="2"/>
      <c r="F480" s="2"/>
      <c r="G480" s="2"/>
      <c r="H480" s="2"/>
      <c r="I480" s="2"/>
      <c r="J480" s="2"/>
      <c r="K480" s="2"/>
      <c r="L480" s="2"/>
      <c r="M480" s="2"/>
      <c r="N480" s="2"/>
      <c r="O480" s="2"/>
      <c r="P480" s="2"/>
      <c r="Q480" s="2"/>
      <c r="R480" s="2"/>
      <c r="S480" s="2"/>
      <c r="T480" s="2"/>
      <c r="U480" s="2"/>
      <c r="V480" s="2"/>
    </row>
    <row r="481" spans="1:22" s="120" customFormat="1" x14ac:dyDescent="0.2">
      <c r="A481" s="2"/>
      <c r="B481" s="2"/>
      <c r="C481" s="2"/>
      <c r="D481" s="2"/>
      <c r="E481" s="2"/>
      <c r="F481" s="2"/>
      <c r="G481" s="2"/>
      <c r="H481" s="2"/>
      <c r="I481" s="2"/>
      <c r="J481" s="2"/>
      <c r="K481" s="2"/>
      <c r="L481" s="2"/>
      <c r="M481" s="2"/>
      <c r="N481" s="2"/>
      <c r="O481" s="2"/>
      <c r="P481" s="2"/>
      <c r="Q481" s="2"/>
      <c r="R481" s="2"/>
      <c r="S481" s="2"/>
      <c r="T481" s="2"/>
      <c r="U481" s="2"/>
      <c r="V481" s="2"/>
    </row>
    <row r="482" spans="1:22" s="120" customFormat="1" x14ac:dyDescent="0.2">
      <c r="A482" s="2"/>
      <c r="B482" s="2"/>
      <c r="C482" s="2"/>
      <c r="D482" s="2"/>
      <c r="E482" s="2"/>
      <c r="F482" s="2"/>
      <c r="G482" s="2"/>
      <c r="H482" s="2"/>
      <c r="I482" s="2"/>
      <c r="J482" s="2"/>
      <c r="K482" s="2"/>
      <c r="L482" s="2"/>
      <c r="M482" s="2"/>
      <c r="N482" s="2"/>
      <c r="O482" s="2"/>
      <c r="P482" s="2"/>
      <c r="Q482" s="2"/>
      <c r="R482" s="2"/>
      <c r="S482" s="2"/>
      <c r="T482" s="2"/>
      <c r="U482" s="2"/>
      <c r="V482" s="2"/>
    </row>
    <row r="483" spans="1:22" s="120" customFormat="1" x14ac:dyDescent="0.2">
      <c r="A483" s="2"/>
      <c r="B483" s="2"/>
      <c r="C483" s="2"/>
      <c r="D483" s="2"/>
      <c r="E483" s="2"/>
      <c r="F483" s="2"/>
      <c r="G483" s="2"/>
      <c r="H483" s="2"/>
      <c r="I483" s="2"/>
      <c r="J483" s="2"/>
      <c r="K483" s="2"/>
      <c r="L483" s="2"/>
      <c r="M483" s="2"/>
      <c r="N483" s="2"/>
      <c r="O483" s="2"/>
      <c r="P483" s="2"/>
      <c r="Q483" s="2"/>
      <c r="R483" s="2"/>
      <c r="S483" s="2"/>
      <c r="T483" s="2"/>
      <c r="U483" s="2"/>
      <c r="V483" s="2"/>
    </row>
    <row r="484" spans="1:22" s="120" customFormat="1" x14ac:dyDescent="0.2">
      <c r="A484" s="2"/>
      <c r="B484" s="2"/>
      <c r="C484" s="2"/>
      <c r="D484" s="2"/>
      <c r="E484" s="2"/>
      <c r="F484" s="2"/>
      <c r="G484" s="2"/>
      <c r="H484" s="2"/>
      <c r="I484" s="2"/>
      <c r="J484" s="2"/>
      <c r="K484" s="2"/>
      <c r="L484" s="2"/>
      <c r="M484" s="2"/>
      <c r="N484" s="2"/>
      <c r="O484" s="2"/>
      <c r="P484" s="2"/>
      <c r="Q484" s="2"/>
      <c r="R484" s="2"/>
      <c r="S484" s="2"/>
      <c r="T484" s="2"/>
      <c r="U484" s="2"/>
      <c r="V484" s="2"/>
    </row>
    <row r="485" spans="1:22" s="120" customFormat="1" x14ac:dyDescent="0.2">
      <c r="A485" s="2"/>
      <c r="B485" s="2"/>
      <c r="C485" s="2"/>
      <c r="D485" s="2"/>
      <c r="E485" s="2"/>
      <c r="F485" s="2"/>
      <c r="G485" s="2"/>
      <c r="H485" s="2"/>
      <c r="I485" s="2"/>
      <c r="J485" s="2"/>
      <c r="K485" s="2"/>
      <c r="L485" s="2"/>
      <c r="M485" s="2"/>
      <c r="N485" s="2"/>
      <c r="O485" s="2"/>
      <c r="P485" s="2"/>
      <c r="Q485" s="2"/>
      <c r="R485" s="2"/>
      <c r="S485" s="2"/>
      <c r="T485" s="2"/>
      <c r="U485" s="2"/>
      <c r="V485" s="2"/>
    </row>
    <row r="486" spans="1:22" s="120" customFormat="1" x14ac:dyDescent="0.2">
      <c r="A486" s="2"/>
      <c r="B486" s="2"/>
      <c r="C486" s="2"/>
      <c r="D486" s="2"/>
      <c r="E486" s="2"/>
      <c r="F486" s="2"/>
      <c r="G486" s="2"/>
      <c r="H486" s="2"/>
      <c r="I486" s="2"/>
      <c r="J486" s="2"/>
      <c r="K486" s="2"/>
      <c r="L486" s="2"/>
      <c r="M486" s="2"/>
      <c r="N486" s="2"/>
      <c r="O486" s="2"/>
      <c r="P486" s="2"/>
      <c r="Q486" s="2"/>
      <c r="R486" s="2"/>
      <c r="S486" s="2"/>
      <c r="T486" s="2"/>
      <c r="U486" s="2"/>
      <c r="V486" s="2"/>
    </row>
    <row r="487" spans="1:22" s="120" customFormat="1" x14ac:dyDescent="0.2">
      <c r="A487" s="2"/>
      <c r="B487" s="2"/>
      <c r="C487" s="2"/>
      <c r="D487" s="2"/>
      <c r="E487" s="2"/>
      <c r="F487" s="2"/>
      <c r="G487" s="2"/>
      <c r="H487" s="2"/>
      <c r="I487" s="2"/>
      <c r="J487" s="2"/>
      <c r="K487" s="2"/>
      <c r="L487" s="2"/>
      <c r="M487" s="2"/>
      <c r="N487" s="2"/>
      <c r="O487" s="2"/>
      <c r="P487" s="2"/>
      <c r="Q487" s="2"/>
      <c r="R487" s="2"/>
      <c r="S487" s="2"/>
      <c r="T487" s="2"/>
      <c r="U487" s="2"/>
      <c r="V487" s="2"/>
    </row>
    <row r="488" spans="1:22" s="120" customFormat="1" x14ac:dyDescent="0.2">
      <c r="A488" s="2"/>
      <c r="B488" s="2"/>
      <c r="C488" s="2"/>
      <c r="D488" s="2"/>
      <c r="E488" s="2"/>
      <c r="F488" s="2"/>
      <c r="G488" s="2"/>
      <c r="H488" s="2"/>
      <c r="I488" s="2"/>
      <c r="J488" s="2"/>
      <c r="K488" s="2"/>
      <c r="L488" s="2"/>
      <c r="M488" s="2"/>
      <c r="N488" s="2"/>
      <c r="O488" s="2"/>
      <c r="P488" s="2"/>
      <c r="Q488" s="2"/>
      <c r="R488" s="2"/>
      <c r="S488" s="2"/>
      <c r="T488" s="2"/>
      <c r="U488" s="2"/>
      <c r="V488" s="2"/>
    </row>
    <row r="489" spans="1:22" s="120" customFormat="1" x14ac:dyDescent="0.2">
      <c r="A489" s="2"/>
      <c r="B489" s="2"/>
      <c r="C489" s="2"/>
      <c r="D489" s="2"/>
      <c r="E489" s="2"/>
      <c r="F489" s="2"/>
      <c r="G489" s="2"/>
      <c r="H489" s="2"/>
      <c r="I489" s="2"/>
      <c r="J489" s="2"/>
      <c r="K489" s="2"/>
      <c r="L489" s="2"/>
      <c r="M489" s="2"/>
      <c r="N489" s="2"/>
      <c r="O489" s="2"/>
      <c r="P489" s="2"/>
      <c r="Q489" s="2"/>
      <c r="R489" s="2"/>
      <c r="S489" s="2"/>
      <c r="T489" s="2"/>
      <c r="U489" s="2"/>
      <c r="V489" s="2"/>
    </row>
    <row r="490" spans="1:22" s="120" customFormat="1" x14ac:dyDescent="0.2">
      <c r="A490" s="2"/>
      <c r="B490" s="2"/>
      <c r="C490" s="2"/>
      <c r="D490" s="2"/>
      <c r="E490" s="2"/>
      <c r="F490" s="2"/>
      <c r="G490" s="2"/>
      <c r="H490" s="2"/>
      <c r="I490" s="2"/>
      <c r="J490" s="2"/>
      <c r="K490" s="2"/>
      <c r="L490" s="2"/>
      <c r="M490" s="2"/>
      <c r="N490" s="2"/>
      <c r="O490" s="2"/>
      <c r="P490" s="2"/>
      <c r="Q490" s="2"/>
      <c r="R490" s="2"/>
      <c r="S490" s="2"/>
      <c r="T490" s="2"/>
      <c r="U490" s="2"/>
      <c r="V490" s="2"/>
    </row>
    <row r="491" spans="1:22" s="120" customFormat="1" x14ac:dyDescent="0.2">
      <c r="A491" s="2"/>
      <c r="B491" s="2"/>
      <c r="C491" s="2"/>
      <c r="D491" s="2"/>
      <c r="E491" s="2"/>
      <c r="F491" s="2"/>
      <c r="G491" s="2"/>
      <c r="H491" s="2"/>
      <c r="I491" s="2"/>
      <c r="J491" s="2"/>
      <c r="K491" s="2"/>
      <c r="L491" s="2"/>
      <c r="M491" s="2"/>
      <c r="N491" s="2"/>
      <c r="O491" s="2"/>
      <c r="P491" s="2"/>
      <c r="Q491" s="2"/>
      <c r="R491" s="2"/>
      <c r="S491" s="2"/>
      <c r="T491" s="2"/>
      <c r="U491" s="2"/>
      <c r="V491" s="2"/>
    </row>
    <row r="492" spans="1:22" s="120" customFormat="1" x14ac:dyDescent="0.2">
      <c r="A492" s="2"/>
      <c r="B492" s="2"/>
      <c r="C492" s="2"/>
      <c r="D492" s="2"/>
      <c r="E492" s="2"/>
      <c r="F492" s="2"/>
      <c r="G492" s="2"/>
      <c r="H492" s="2"/>
      <c r="I492" s="2"/>
      <c r="J492" s="2"/>
      <c r="K492" s="2"/>
      <c r="L492" s="2"/>
      <c r="M492" s="2"/>
      <c r="N492" s="2"/>
      <c r="O492" s="2"/>
      <c r="P492" s="2"/>
      <c r="Q492" s="2"/>
      <c r="R492" s="2"/>
      <c r="S492" s="2"/>
      <c r="T492" s="2"/>
      <c r="U492" s="2"/>
      <c r="V492" s="2"/>
    </row>
    <row r="493" spans="1:22" s="120" customFormat="1" x14ac:dyDescent="0.2">
      <c r="A493" s="2"/>
      <c r="B493" s="2"/>
      <c r="C493" s="2"/>
      <c r="D493" s="2"/>
      <c r="E493" s="2"/>
      <c r="F493" s="2"/>
      <c r="G493" s="2"/>
      <c r="H493" s="2"/>
      <c r="I493" s="2"/>
      <c r="J493" s="2"/>
      <c r="K493" s="2"/>
      <c r="L493" s="2"/>
      <c r="M493" s="2"/>
      <c r="N493" s="2"/>
      <c r="O493" s="2"/>
      <c r="P493" s="2"/>
      <c r="Q493" s="2"/>
      <c r="R493" s="2"/>
      <c r="S493" s="2"/>
      <c r="T493" s="2"/>
      <c r="U493" s="2"/>
      <c r="V493" s="2"/>
    </row>
    <row r="494" spans="1:22" s="120" customFormat="1" x14ac:dyDescent="0.2">
      <c r="A494" s="2"/>
      <c r="B494" s="2"/>
      <c r="C494" s="2"/>
      <c r="D494" s="2"/>
      <c r="E494" s="2"/>
      <c r="F494" s="2"/>
      <c r="G494" s="2"/>
      <c r="H494" s="2"/>
      <c r="I494" s="2"/>
      <c r="J494" s="2"/>
      <c r="K494" s="2"/>
      <c r="L494" s="2"/>
      <c r="M494" s="2"/>
      <c r="N494" s="2"/>
      <c r="O494" s="2"/>
      <c r="P494" s="2"/>
      <c r="Q494" s="2"/>
      <c r="R494" s="2"/>
      <c r="S494" s="2"/>
      <c r="T494" s="2"/>
      <c r="U494" s="2"/>
      <c r="V494" s="2"/>
    </row>
    <row r="495" spans="1:22" s="120" customFormat="1" x14ac:dyDescent="0.2">
      <c r="A495" s="2"/>
      <c r="B495" s="2"/>
      <c r="C495" s="2"/>
      <c r="D495" s="2"/>
      <c r="E495" s="2"/>
      <c r="F495" s="2"/>
      <c r="G495" s="2"/>
      <c r="H495" s="2"/>
      <c r="I495" s="2"/>
      <c r="J495" s="2"/>
      <c r="K495" s="2"/>
      <c r="L495" s="2"/>
      <c r="M495" s="2"/>
      <c r="N495" s="2"/>
      <c r="O495" s="2"/>
      <c r="P495" s="2"/>
      <c r="Q495" s="2"/>
      <c r="R495" s="2"/>
      <c r="S495" s="2"/>
      <c r="T495" s="2"/>
      <c r="U495" s="2"/>
      <c r="V495" s="2"/>
    </row>
    <row r="496" spans="1:22" s="120" customFormat="1" x14ac:dyDescent="0.2">
      <c r="A496" s="2"/>
      <c r="B496" s="2"/>
      <c r="C496" s="2"/>
      <c r="D496" s="2"/>
      <c r="E496" s="2"/>
      <c r="F496" s="2"/>
      <c r="G496" s="2"/>
      <c r="H496" s="2"/>
      <c r="I496" s="2"/>
      <c r="J496" s="2"/>
      <c r="K496" s="2"/>
      <c r="L496" s="2"/>
      <c r="M496" s="2"/>
      <c r="N496" s="2"/>
      <c r="O496" s="2"/>
      <c r="P496" s="2"/>
      <c r="Q496" s="2"/>
      <c r="R496" s="2"/>
      <c r="S496" s="2"/>
      <c r="T496" s="2"/>
      <c r="U496" s="2"/>
      <c r="V496" s="2"/>
    </row>
    <row r="497" spans="1:22" s="120" customFormat="1" x14ac:dyDescent="0.2">
      <c r="A497" s="2"/>
      <c r="B497" s="2"/>
      <c r="C497" s="2"/>
      <c r="D497" s="2"/>
      <c r="E497" s="2"/>
      <c r="F497" s="2"/>
      <c r="G497" s="2"/>
      <c r="H497" s="2"/>
      <c r="I497" s="2"/>
      <c r="J497" s="2"/>
      <c r="K497" s="2"/>
      <c r="L497" s="2"/>
      <c r="M497" s="2"/>
      <c r="N497" s="2"/>
      <c r="O497" s="2"/>
      <c r="P497" s="2"/>
      <c r="Q497" s="2"/>
      <c r="R497" s="2"/>
      <c r="S497" s="2"/>
      <c r="T497" s="2"/>
      <c r="U497" s="2"/>
      <c r="V497" s="2"/>
    </row>
    <row r="498" spans="1:22" s="120" customFormat="1" x14ac:dyDescent="0.2">
      <c r="A498" s="2"/>
      <c r="B498" s="2"/>
      <c r="C498" s="2"/>
      <c r="D498" s="2"/>
      <c r="E498" s="2"/>
      <c r="F498" s="2"/>
      <c r="G498" s="2"/>
      <c r="H498" s="2"/>
      <c r="I498" s="2"/>
      <c r="J498" s="2"/>
      <c r="K498" s="2"/>
      <c r="L498" s="2"/>
      <c r="M498" s="2"/>
      <c r="N498" s="2"/>
      <c r="O498" s="2"/>
      <c r="P498" s="2"/>
      <c r="Q498" s="2"/>
      <c r="R498" s="2"/>
      <c r="S498" s="2"/>
      <c r="T498" s="2"/>
      <c r="U498" s="2"/>
      <c r="V498" s="2"/>
    </row>
    <row r="499" spans="1:22" s="120" customFormat="1" x14ac:dyDescent="0.2">
      <c r="A499" s="2"/>
      <c r="B499" s="2"/>
      <c r="C499" s="2"/>
      <c r="D499" s="2"/>
      <c r="E499" s="2"/>
      <c r="F499" s="2"/>
      <c r="G499" s="2"/>
      <c r="H499" s="2"/>
      <c r="I499" s="2"/>
      <c r="J499" s="2"/>
      <c r="K499" s="2"/>
      <c r="L499" s="2"/>
      <c r="M499" s="2"/>
      <c r="N499" s="2"/>
      <c r="O499" s="2"/>
      <c r="P499" s="2"/>
      <c r="Q499" s="2"/>
      <c r="R499" s="2"/>
      <c r="S499" s="2"/>
      <c r="T499" s="2"/>
      <c r="U499" s="2"/>
      <c r="V499" s="2"/>
    </row>
    <row r="500" spans="1:22" s="120" customFormat="1" x14ac:dyDescent="0.2">
      <c r="A500" s="2"/>
      <c r="B500" s="2"/>
      <c r="C500" s="2"/>
      <c r="D500" s="2"/>
      <c r="E500" s="2"/>
      <c r="F500" s="2"/>
      <c r="G500" s="2"/>
      <c r="H500" s="2"/>
      <c r="I500" s="2"/>
      <c r="J500" s="2"/>
      <c r="K500" s="2"/>
      <c r="L500" s="2"/>
      <c r="M500" s="2"/>
      <c r="N500" s="2"/>
      <c r="O500" s="2"/>
      <c r="P500" s="2"/>
      <c r="Q500" s="2"/>
      <c r="R500" s="2"/>
      <c r="S500" s="2"/>
      <c r="T500" s="2"/>
      <c r="U500" s="2"/>
      <c r="V500" s="2"/>
    </row>
    <row r="501" spans="1:22" s="120" customFormat="1" x14ac:dyDescent="0.2">
      <c r="A501" s="2"/>
      <c r="B501" s="2"/>
      <c r="C501" s="2"/>
      <c r="D501" s="2"/>
      <c r="E501" s="2"/>
      <c r="F501" s="2"/>
      <c r="G501" s="2"/>
      <c r="H501" s="2"/>
      <c r="I501" s="2"/>
      <c r="J501" s="2"/>
      <c r="K501" s="2"/>
      <c r="L501" s="2"/>
      <c r="M501" s="2"/>
      <c r="N501" s="2"/>
      <c r="O501" s="2"/>
      <c r="P501" s="2"/>
      <c r="Q501" s="2"/>
      <c r="R501" s="2"/>
      <c r="S501" s="2"/>
      <c r="T501" s="2"/>
      <c r="U501" s="2"/>
      <c r="V501" s="2"/>
    </row>
    <row r="502" spans="1:22" s="120" customFormat="1" x14ac:dyDescent="0.2">
      <c r="A502" s="2"/>
      <c r="B502" s="2"/>
      <c r="C502" s="2"/>
      <c r="D502" s="2"/>
      <c r="E502" s="2"/>
      <c r="F502" s="2"/>
      <c r="G502" s="2"/>
      <c r="H502" s="2"/>
      <c r="I502" s="2"/>
      <c r="J502" s="2"/>
      <c r="K502" s="2"/>
      <c r="L502" s="2"/>
      <c r="M502" s="2"/>
      <c r="N502" s="2"/>
      <c r="O502" s="2"/>
      <c r="P502" s="2"/>
      <c r="Q502" s="2"/>
      <c r="R502" s="2"/>
      <c r="S502" s="2"/>
      <c r="T502" s="2"/>
      <c r="U502" s="2"/>
      <c r="V502" s="2"/>
    </row>
    <row r="503" spans="1:22" s="120" customFormat="1" x14ac:dyDescent="0.2">
      <c r="A503" s="2"/>
      <c r="B503" s="2"/>
      <c r="C503" s="2"/>
      <c r="D503" s="2"/>
      <c r="E503" s="2"/>
      <c r="F503" s="2"/>
      <c r="G503" s="2"/>
      <c r="H503" s="2"/>
      <c r="I503" s="2"/>
      <c r="J503" s="2"/>
      <c r="K503" s="2"/>
      <c r="L503" s="2"/>
      <c r="M503" s="2"/>
      <c r="N503" s="2"/>
      <c r="O503" s="2"/>
      <c r="P503" s="2"/>
      <c r="Q503" s="2"/>
      <c r="R503" s="2"/>
      <c r="S503" s="2"/>
      <c r="T503" s="2"/>
      <c r="U503" s="2"/>
      <c r="V503" s="2"/>
    </row>
    <row r="504" spans="1:22" s="120" customFormat="1" x14ac:dyDescent="0.2">
      <c r="A504" s="2"/>
      <c r="B504" s="2"/>
      <c r="C504" s="2"/>
      <c r="D504" s="2"/>
      <c r="E504" s="2"/>
      <c r="F504" s="2"/>
      <c r="G504" s="2"/>
      <c r="H504" s="2"/>
      <c r="I504" s="2"/>
      <c r="J504" s="2"/>
      <c r="K504" s="2"/>
      <c r="L504" s="2"/>
      <c r="M504" s="2"/>
      <c r="N504" s="2"/>
      <c r="O504" s="2"/>
      <c r="P504" s="2"/>
      <c r="Q504" s="2"/>
      <c r="R504" s="2"/>
      <c r="S504" s="2"/>
      <c r="T504" s="2"/>
      <c r="U504" s="2"/>
      <c r="V504" s="2"/>
    </row>
    <row r="505" spans="1:22" s="120" customFormat="1" x14ac:dyDescent="0.2">
      <c r="A505" s="2"/>
      <c r="B505" s="2"/>
      <c r="C505" s="2"/>
      <c r="D505" s="2"/>
      <c r="E505" s="2"/>
      <c r="F505" s="2"/>
      <c r="G505" s="2"/>
      <c r="H505" s="2"/>
      <c r="I505" s="2"/>
      <c r="J505" s="2"/>
      <c r="K505" s="2"/>
      <c r="L505" s="2"/>
      <c r="M505" s="2"/>
      <c r="N505" s="2"/>
      <c r="O505" s="2"/>
      <c r="P505" s="2"/>
      <c r="Q505" s="2"/>
      <c r="R505" s="2"/>
      <c r="S505" s="2"/>
      <c r="T505" s="2"/>
      <c r="U505" s="2"/>
      <c r="V505" s="2"/>
    </row>
    <row r="506" spans="1:22" s="120" customFormat="1" x14ac:dyDescent="0.2">
      <c r="A506" s="2"/>
      <c r="B506" s="2"/>
      <c r="C506" s="2"/>
      <c r="D506" s="2"/>
      <c r="E506" s="2"/>
      <c r="F506" s="2"/>
      <c r="G506" s="2"/>
      <c r="H506" s="2"/>
      <c r="I506" s="2"/>
      <c r="J506" s="2"/>
      <c r="K506" s="2"/>
      <c r="L506" s="2"/>
      <c r="M506" s="2"/>
      <c r="N506" s="2"/>
      <c r="O506" s="2"/>
      <c r="P506" s="2"/>
      <c r="Q506" s="2"/>
      <c r="R506" s="2"/>
      <c r="S506" s="2"/>
      <c r="T506" s="2"/>
      <c r="U506" s="2"/>
      <c r="V506" s="2"/>
    </row>
    <row r="507" spans="1:22" s="120" customFormat="1" x14ac:dyDescent="0.2">
      <c r="A507" s="2"/>
      <c r="B507" s="2"/>
      <c r="C507" s="2"/>
      <c r="D507" s="2"/>
      <c r="E507" s="2"/>
      <c r="F507" s="2"/>
      <c r="G507" s="2"/>
      <c r="H507" s="2"/>
      <c r="I507" s="2"/>
      <c r="J507" s="2"/>
      <c r="K507" s="2"/>
      <c r="L507" s="2"/>
      <c r="M507" s="2"/>
      <c r="N507" s="2"/>
      <c r="O507" s="2"/>
      <c r="P507" s="2"/>
      <c r="Q507" s="2"/>
      <c r="R507" s="2"/>
      <c r="S507" s="2"/>
      <c r="T507" s="2"/>
      <c r="U507" s="2"/>
      <c r="V507" s="2"/>
    </row>
    <row r="508" spans="1:22" s="120" customFormat="1" x14ac:dyDescent="0.2">
      <c r="A508" s="2"/>
      <c r="B508" s="2"/>
      <c r="C508" s="2"/>
      <c r="D508" s="2"/>
      <c r="E508" s="2"/>
      <c r="F508" s="2"/>
      <c r="G508" s="2"/>
      <c r="H508" s="2"/>
      <c r="I508" s="2"/>
      <c r="J508" s="2"/>
      <c r="K508" s="2"/>
      <c r="L508" s="2"/>
      <c r="M508" s="2"/>
      <c r="N508" s="2"/>
      <c r="O508" s="2"/>
      <c r="P508" s="2"/>
      <c r="Q508" s="2"/>
      <c r="R508" s="2"/>
      <c r="S508" s="2"/>
      <c r="T508" s="2"/>
      <c r="U508" s="2"/>
      <c r="V508" s="2"/>
    </row>
    <row r="509" spans="1:22" s="120" customFormat="1" x14ac:dyDescent="0.2">
      <c r="A509" s="2"/>
      <c r="B509" s="2"/>
      <c r="C509" s="2"/>
      <c r="D509" s="2"/>
      <c r="E509" s="2"/>
      <c r="F509" s="2"/>
      <c r="G509" s="2"/>
      <c r="H509" s="2"/>
      <c r="I509" s="2"/>
      <c r="J509" s="2"/>
      <c r="K509" s="2"/>
      <c r="L509" s="2"/>
      <c r="M509" s="2"/>
      <c r="N509" s="2"/>
      <c r="O509" s="2"/>
      <c r="P509" s="2"/>
      <c r="Q509" s="2"/>
      <c r="R509" s="2"/>
      <c r="S509" s="2"/>
      <c r="T509" s="2"/>
      <c r="U509" s="2"/>
      <c r="V509" s="2"/>
    </row>
    <row r="510" spans="1:22" s="120" customFormat="1" x14ac:dyDescent="0.2">
      <c r="A510" s="2"/>
      <c r="B510" s="2"/>
      <c r="C510" s="2"/>
      <c r="D510" s="2"/>
      <c r="E510" s="2"/>
      <c r="F510" s="2"/>
      <c r="G510" s="2"/>
      <c r="H510" s="2"/>
      <c r="I510" s="2"/>
      <c r="J510" s="2"/>
      <c r="K510" s="2"/>
      <c r="L510" s="2"/>
      <c r="M510" s="2"/>
      <c r="N510" s="2"/>
      <c r="O510" s="2"/>
      <c r="P510" s="2"/>
      <c r="Q510" s="2"/>
      <c r="R510" s="2"/>
      <c r="S510" s="2"/>
      <c r="T510" s="2"/>
      <c r="U510" s="2"/>
      <c r="V510" s="2"/>
    </row>
    <row r="511" spans="1:22" s="120" customFormat="1" x14ac:dyDescent="0.2">
      <c r="A511" s="2"/>
      <c r="B511" s="2"/>
      <c r="C511" s="2"/>
      <c r="D511" s="2"/>
      <c r="E511" s="2"/>
      <c r="F511" s="2"/>
      <c r="G511" s="2"/>
      <c r="H511" s="2"/>
      <c r="I511" s="2"/>
      <c r="J511" s="2"/>
      <c r="K511" s="2"/>
      <c r="L511" s="2"/>
      <c r="M511" s="2"/>
      <c r="N511" s="2"/>
      <c r="O511" s="2"/>
      <c r="P511" s="2"/>
      <c r="Q511" s="2"/>
      <c r="R511" s="2"/>
      <c r="S511" s="2"/>
      <c r="T511" s="2"/>
      <c r="U511" s="2"/>
      <c r="V511" s="2"/>
    </row>
    <row r="512" spans="1:22" s="120" customFormat="1" x14ac:dyDescent="0.2">
      <c r="A512" s="2"/>
      <c r="B512" s="2"/>
      <c r="C512" s="2"/>
      <c r="D512" s="2"/>
      <c r="E512" s="2"/>
      <c r="F512" s="2"/>
      <c r="G512" s="2"/>
      <c r="H512" s="2"/>
      <c r="I512" s="2"/>
      <c r="J512" s="2"/>
      <c r="K512" s="2"/>
      <c r="L512" s="2"/>
      <c r="M512" s="2"/>
      <c r="N512" s="2"/>
      <c r="O512" s="2"/>
      <c r="P512" s="2"/>
      <c r="Q512" s="2"/>
      <c r="R512" s="2"/>
      <c r="S512" s="2"/>
      <c r="T512" s="2"/>
      <c r="U512" s="2"/>
      <c r="V512" s="2"/>
    </row>
    <row r="513" spans="1:22" s="120" customFormat="1" x14ac:dyDescent="0.2">
      <c r="A513" s="2"/>
      <c r="B513" s="2"/>
      <c r="C513" s="2"/>
      <c r="D513" s="2"/>
      <c r="E513" s="2"/>
      <c r="F513" s="2"/>
      <c r="G513" s="2"/>
      <c r="H513" s="2"/>
      <c r="I513" s="2"/>
      <c r="J513" s="2"/>
      <c r="K513" s="2"/>
      <c r="L513" s="2"/>
      <c r="M513" s="2"/>
      <c r="N513" s="2"/>
      <c r="O513" s="2"/>
      <c r="P513" s="2"/>
      <c r="Q513" s="2"/>
      <c r="R513" s="2"/>
      <c r="S513" s="2"/>
      <c r="T513" s="2"/>
      <c r="U513" s="2"/>
      <c r="V513" s="2"/>
    </row>
    <row r="514" spans="1:22" s="120" customFormat="1" x14ac:dyDescent="0.2">
      <c r="A514" s="2"/>
      <c r="B514" s="2"/>
      <c r="C514" s="2"/>
      <c r="D514" s="2"/>
      <c r="E514" s="2"/>
      <c r="F514" s="2"/>
      <c r="G514" s="2"/>
      <c r="H514" s="2"/>
      <c r="I514" s="2"/>
      <c r="J514" s="2"/>
      <c r="K514" s="2"/>
      <c r="L514" s="2"/>
      <c r="M514" s="2"/>
      <c r="N514" s="2"/>
      <c r="O514" s="2"/>
      <c r="P514" s="2"/>
      <c r="Q514" s="2"/>
      <c r="R514" s="2"/>
      <c r="S514" s="2"/>
      <c r="T514" s="2"/>
      <c r="U514" s="2"/>
      <c r="V514" s="2"/>
    </row>
    <row r="515" spans="1:22" s="120" customFormat="1" x14ac:dyDescent="0.2">
      <c r="A515" s="2"/>
      <c r="B515" s="2"/>
      <c r="C515" s="2"/>
      <c r="D515" s="2"/>
      <c r="E515" s="2"/>
      <c r="F515" s="2"/>
      <c r="G515" s="2"/>
      <c r="H515" s="2"/>
      <c r="I515" s="2"/>
      <c r="J515" s="2"/>
      <c r="K515" s="2"/>
      <c r="L515" s="2"/>
      <c r="M515" s="2"/>
      <c r="N515" s="2"/>
      <c r="O515" s="2"/>
      <c r="P515" s="2"/>
      <c r="Q515" s="2"/>
      <c r="R515" s="2"/>
      <c r="S515" s="2"/>
      <c r="T515" s="2"/>
      <c r="U515" s="2"/>
      <c r="V515" s="2"/>
    </row>
    <row r="516" spans="1:22" s="120" customFormat="1" x14ac:dyDescent="0.2">
      <c r="A516" s="2"/>
      <c r="B516" s="2"/>
      <c r="C516" s="2"/>
      <c r="D516" s="2"/>
      <c r="E516" s="2"/>
      <c r="F516" s="2"/>
      <c r="G516" s="2"/>
      <c r="H516" s="2"/>
      <c r="I516" s="2"/>
      <c r="J516" s="2"/>
      <c r="K516" s="2"/>
      <c r="L516" s="2"/>
      <c r="M516" s="2"/>
      <c r="N516" s="2"/>
      <c r="O516" s="2"/>
      <c r="P516" s="2"/>
      <c r="Q516" s="2"/>
      <c r="R516" s="2"/>
      <c r="S516" s="2"/>
      <c r="T516" s="2"/>
      <c r="U516" s="2"/>
      <c r="V516" s="2"/>
    </row>
    <row r="517" spans="1:22" s="120" customFormat="1" x14ac:dyDescent="0.2">
      <c r="A517" s="2"/>
      <c r="B517" s="2"/>
      <c r="C517" s="2"/>
      <c r="D517" s="2"/>
      <c r="E517" s="2"/>
      <c r="F517" s="2"/>
      <c r="G517" s="2"/>
      <c r="H517" s="2"/>
      <c r="I517" s="2"/>
      <c r="J517" s="2"/>
      <c r="K517" s="2"/>
      <c r="L517" s="2"/>
      <c r="M517" s="2"/>
      <c r="N517" s="2"/>
      <c r="O517" s="2"/>
      <c r="P517" s="2"/>
      <c r="Q517" s="2"/>
      <c r="R517" s="2"/>
      <c r="S517" s="2"/>
      <c r="T517" s="2"/>
      <c r="U517" s="2"/>
      <c r="V517" s="2"/>
    </row>
    <row r="518" spans="1:22" s="120" customFormat="1" x14ac:dyDescent="0.2">
      <c r="A518" s="2"/>
      <c r="B518" s="2"/>
      <c r="C518" s="2"/>
      <c r="D518" s="2"/>
      <c r="E518" s="2"/>
      <c r="F518" s="2"/>
      <c r="G518" s="2"/>
      <c r="H518" s="2"/>
      <c r="I518" s="2"/>
      <c r="J518" s="2"/>
      <c r="K518" s="2"/>
      <c r="L518" s="2"/>
      <c r="M518" s="2"/>
      <c r="N518" s="2"/>
      <c r="O518" s="2"/>
      <c r="P518" s="2"/>
      <c r="Q518" s="2"/>
      <c r="R518" s="2"/>
      <c r="S518" s="2"/>
      <c r="T518" s="2"/>
      <c r="U518" s="2"/>
      <c r="V518" s="2"/>
    </row>
    <row r="519" spans="1:22" s="120" customFormat="1" x14ac:dyDescent="0.2">
      <c r="A519" s="2"/>
      <c r="B519" s="2"/>
      <c r="C519" s="2"/>
      <c r="D519" s="2"/>
      <c r="E519" s="2"/>
      <c r="F519" s="2"/>
      <c r="G519" s="2"/>
      <c r="H519" s="2"/>
      <c r="I519" s="2"/>
      <c r="J519" s="2"/>
      <c r="K519" s="2"/>
      <c r="L519" s="2"/>
      <c r="M519" s="2"/>
      <c r="N519" s="2"/>
      <c r="O519" s="2"/>
      <c r="P519" s="2"/>
      <c r="Q519" s="2"/>
      <c r="R519" s="2"/>
      <c r="S519" s="2"/>
      <c r="T519" s="2"/>
      <c r="U519" s="2"/>
      <c r="V519" s="2"/>
    </row>
    <row r="520" spans="1:22" s="120" customFormat="1" x14ac:dyDescent="0.2">
      <c r="A520" s="2"/>
      <c r="B520" s="2"/>
      <c r="C520" s="2"/>
      <c r="D520" s="2"/>
      <c r="E520" s="2"/>
      <c r="F520" s="2"/>
      <c r="G520" s="2"/>
      <c r="H520" s="2"/>
      <c r="I520" s="2"/>
      <c r="J520" s="2"/>
      <c r="K520" s="2"/>
      <c r="L520" s="2"/>
      <c r="M520" s="2"/>
      <c r="N520" s="2"/>
      <c r="O520" s="2"/>
      <c r="P520" s="2"/>
      <c r="Q520" s="2"/>
      <c r="R520" s="2"/>
      <c r="S520" s="2"/>
      <c r="T520" s="2"/>
      <c r="U520" s="2"/>
      <c r="V520" s="2"/>
    </row>
    <row r="521" spans="1:22" s="120" customFormat="1" x14ac:dyDescent="0.2">
      <c r="A521" s="2"/>
      <c r="B521" s="2"/>
      <c r="C521" s="2"/>
      <c r="D521" s="2"/>
      <c r="E521" s="2"/>
      <c r="F521" s="2"/>
      <c r="G521" s="2"/>
      <c r="H521" s="2"/>
      <c r="I521" s="2"/>
      <c r="J521" s="2"/>
      <c r="K521" s="2"/>
      <c r="L521" s="2"/>
      <c r="M521" s="2"/>
      <c r="N521" s="2"/>
      <c r="O521" s="2"/>
      <c r="P521" s="2"/>
      <c r="Q521" s="2"/>
      <c r="R521" s="2"/>
      <c r="S521" s="2"/>
      <c r="T521" s="2"/>
      <c r="U521" s="2"/>
      <c r="V521" s="2"/>
    </row>
    <row r="522" spans="1:22" s="120" customFormat="1" x14ac:dyDescent="0.2">
      <c r="A522" s="2"/>
      <c r="B522" s="2"/>
      <c r="C522" s="2"/>
      <c r="D522" s="2"/>
      <c r="E522" s="2"/>
      <c r="F522" s="2"/>
      <c r="G522" s="2"/>
      <c r="H522" s="2"/>
      <c r="I522" s="2"/>
      <c r="J522" s="2"/>
      <c r="K522" s="2"/>
      <c r="L522" s="2"/>
      <c r="M522" s="2"/>
      <c r="N522" s="2"/>
      <c r="O522" s="2"/>
      <c r="P522" s="2"/>
      <c r="Q522" s="2"/>
      <c r="R522" s="2"/>
      <c r="S522" s="2"/>
      <c r="T522" s="2"/>
      <c r="U522" s="2"/>
      <c r="V522" s="2"/>
    </row>
    <row r="523" spans="1:22" s="120" customFormat="1" x14ac:dyDescent="0.2">
      <c r="A523" s="2"/>
      <c r="B523" s="2"/>
      <c r="C523" s="2"/>
      <c r="D523" s="2"/>
      <c r="E523" s="2"/>
      <c r="F523" s="2"/>
      <c r="G523" s="2"/>
      <c r="H523" s="2"/>
      <c r="I523" s="2"/>
      <c r="J523" s="2"/>
      <c r="K523" s="2"/>
      <c r="L523" s="2"/>
      <c r="M523" s="2"/>
      <c r="N523" s="2"/>
      <c r="O523" s="2"/>
      <c r="P523" s="2"/>
      <c r="Q523" s="2"/>
      <c r="R523" s="2"/>
      <c r="S523" s="2"/>
      <c r="T523" s="2"/>
      <c r="U523" s="2"/>
      <c r="V523" s="2"/>
    </row>
    <row r="524" spans="1:22" s="120" customFormat="1" x14ac:dyDescent="0.2">
      <c r="A524" s="2"/>
      <c r="B524" s="2"/>
      <c r="C524" s="2"/>
      <c r="D524" s="2"/>
      <c r="E524" s="2"/>
      <c r="F524" s="2"/>
      <c r="G524" s="2"/>
      <c r="H524" s="2"/>
      <c r="I524" s="2"/>
      <c r="J524" s="2"/>
      <c r="K524" s="2"/>
      <c r="L524" s="2"/>
      <c r="M524" s="2"/>
      <c r="N524" s="2"/>
      <c r="O524" s="2"/>
      <c r="P524" s="2"/>
      <c r="Q524" s="2"/>
      <c r="R524" s="2"/>
      <c r="S524" s="2"/>
      <c r="T524" s="2"/>
      <c r="U524" s="2"/>
      <c r="V524" s="2"/>
    </row>
    <row r="525" spans="1:22" s="120" customFormat="1" x14ac:dyDescent="0.2">
      <c r="A525" s="2"/>
      <c r="B525" s="2"/>
      <c r="C525" s="2"/>
      <c r="D525" s="2"/>
      <c r="E525" s="2"/>
      <c r="F525" s="2"/>
      <c r="G525" s="2"/>
      <c r="H525" s="2"/>
      <c r="I525" s="2"/>
      <c r="J525" s="2"/>
      <c r="K525" s="2"/>
      <c r="L525" s="2"/>
      <c r="M525" s="2"/>
      <c r="N525" s="2"/>
      <c r="O525" s="2"/>
      <c r="P525" s="2"/>
      <c r="Q525" s="2"/>
      <c r="R525" s="2"/>
      <c r="S525" s="2"/>
      <c r="T525" s="2"/>
      <c r="U525" s="2"/>
      <c r="V525" s="2"/>
    </row>
    <row r="526" spans="1:22" s="120" customFormat="1" x14ac:dyDescent="0.2">
      <c r="A526" s="2"/>
      <c r="B526" s="2"/>
      <c r="C526" s="2"/>
      <c r="D526" s="2"/>
      <c r="E526" s="2"/>
      <c r="F526" s="2"/>
      <c r="G526" s="2"/>
      <c r="H526" s="2"/>
      <c r="I526" s="2"/>
      <c r="J526" s="2"/>
      <c r="K526" s="2"/>
      <c r="L526" s="2"/>
      <c r="M526" s="2"/>
      <c r="N526" s="2"/>
      <c r="O526" s="2"/>
      <c r="P526" s="2"/>
      <c r="Q526" s="2"/>
      <c r="R526" s="2"/>
      <c r="S526" s="2"/>
      <c r="T526" s="2"/>
      <c r="U526" s="2"/>
      <c r="V526" s="2"/>
    </row>
    <row r="527" spans="1:22" s="120" customFormat="1" x14ac:dyDescent="0.2">
      <c r="A527" s="2"/>
      <c r="B527" s="2"/>
      <c r="C527" s="2"/>
      <c r="D527" s="2"/>
      <c r="E527" s="2"/>
      <c r="F527" s="2"/>
      <c r="G527" s="2"/>
      <c r="H527" s="2"/>
      <c r="I527" s="2"/>
      <c r="J527" s="2"/>
      <c r="K527" s="2"/>
      <c r="L527" s="2"/>
      <c r="M527" s="2"/>
      <c r="N527" s="2"/>
      <c r="O527" s="2"/>
      <c r="P527" s="2"/>
      <c r="Q527" s="2"/>
      <c r="R527" s="2"/>
      <c r="S527" s="2"/>
      <c r="T527" s="2"/>
      <c r="U527" s="2"/>
      <c r="V527" s="2"/>
    </row>
    <row r="528" spans="1:22" s="120" customFormat="1" x14ac:dyDescent="0.2">
      <c r="A528" s="2"/>
      <c r="B528" s="2"/>
      <c r="C528" s="2"/>
      <c r="D528" s="2"/>
      <c r="E528" s="2"/>
      <c r="F528" s="2"/>
      <c r="G528" s="2"/>
      <c r="H528" s="2"/>
      <c r="I528" s="2"/>
      <c r="J528" s="2"/>
      <c r="K528" s="2"/>
      <c r="L528" s="2"/>
      <c r="M528" s="2"/>
      <c r="N528" s="2"/>
      <c r="O528" s="2"/>
      <c r="P528" s="2"/>
      <c r="Q528" s="2"/>
      <c r="R528" s="2"/>
      <c r="S528" s="2"/>
      <c r="T528" s="2"/>
      <c r="U528" s="2"/>
      <c r="V528" s="2"/>
    </row>
    <row r="529" spans="1:22" s="120" customFormat="1" x14ac:dyDescent="0.2">
      <c r="A529" s="2"/>
      <c r="B529" s="2"/>
      <c r="C529" s="2"/>
      <c r="D529" s="2"/>
      <c r="E529" s="2"/>
      <c r="F529" s="2"/>
      <c r="G529" s="2"/>
      <c r="H529" s="2"/>
      <c r="I529" s="2"/>
      <c r="J529" s="2"/>
      <c r="K529" s="2"/>
      <c r="L529" s="2"/>
      <c r="M529" s="2"/>
      <c r="N529" s="2"/>
      <c r="O529" s="2"/>
      <c r="P529" s="2"/>
      <c r="Q529" s="2"/>
      <c r="R529" s="2"/>
      <c r="S529" s="2"/>
      <c r="T529" s="2"/>
      <c r="U529" s="2"/>
      <c r="V529" s="2"/>
    </row>
    <row r="530" spans="1:22" s="120" customFormat="1" x14ac:dyDescent="0.2">
      <c r="A530" s="2"/>
      <c r="B530" s="2"/>
      <c r="C530" s="2"/>
      <c r="D530" s="2"/>
      <c r="E530" s="2"/>
      <c r="F530" s="2"/>
      <c r="G530" s="2"/>
      <c r="H530" s="2"/>
      <c r="I530" s="2"/>
      <c r="J530" s="2"/>
      <c r="K530" s="2"/>
      <c r="L530" s="2"/>
      <c r="M530" s="2"/>
      <c r="N530" s="2"/>
      <c r="O530" s="2"/>
      <c r="P530" s="2"/>
      <c r="Q530" s="2"/>
      <c r="R530" s="2"/>
      <c r="S530" s="2"/>
      <c r="T530" s="2"/>
      <c r="U530" s="2"/>
      <c r="V530" s="2"/>
    </row>
    <row r="531" spans="1:22" s="120" customFormat="1" x14ac:dyDescent="0.2">
      <c r="A531" s="2"/>
      <c r="B531" s="2"/>
      <c r="C531" s="2"/>
      <c r="D531" s="2"/>
      <c r="E531" s="2"/>
      <c r="F531" s="2"/>
      <c r="G531" s="2"/>
      <c r="H531" s="2"/>
      <c r="I531" s="2"/>
      <c r="J531" s="2"/>
      <c r="K531" s="2"/>
      <c r="L531" s="2"/>
      <c r="M531" s="2"/>
      <c r="N531" s="2"/>
      <c r="O531" s="2"/>
      <c r="P531" s="2"/>
      <c r="Q531" s="2"/>
      <c r="R531" s="2"/>
      <c r="S531" s="2"/>
      <c r="T531" s="2"/>
      <c r="U531" s="2"/>
      <c r="V531" s="2"/>
    </row>
    <row r="532" spans="1:22" s="120" customFormat="1" x14ac:dyDescent="0.2">
      <c r="A532" s="2"/>
      <c r="B532" s="2"/>
      <c r="C532" s="2"/>
      <c r="D532" s="2"/>
      <c r="E532" s="2"/>
      <c r="F532" s="2"/>
      <c r="G532" s="2"/>
      <c r="H532" s="2"/>
      <c r="I532" s="2"/>
      <c r="J532" s="2"/>
      <c r="K532" s="2"/>
      <c r="L532" s="2"/>
      <c r="M532" s="2"/>
      <c r="N532" s="2"/>
      <c r="O532" s="2"/>
      <c r="P532" s="2"/>
      <c r="Q532" s="2"/>
      <c r="R532" s="2"/>
      <c r="S532" s="2"/>
      <c r="T532" s="2"/>
      <c r="U532" s="2"/>
      <c r="V532" s="2"/>
    </row>
    <row r="533" spans="1:22" s="120" customFormat="1" x14ac:dyDescent="0.2">
      <c r="A533" s="2"/>
      <c r="B533" s="2"/>
      <c r="C533" s="2"/>
      <c r="D533" s="2"/>
      <c r="E533" s="2"/>
      <c r="F533" s="2"/>
      <c r="G533" s="2"/>
      <c r="H533" s="2"/>
      <c r="I533" s="2"/>
      <c r="J533" s="2"/>
      <c r="K533" s="2"/>
      <c r="L533" s="2"/>
      <c r="M533" s="2"/>
      <c r="N533" s="2"/>
      <c r="O533" s="2"/>
      <c r="P533" s="2"/>
      <c r="Q533" s="2"/>
      <c r="R533" s="2"/>
      <c r="S533" s="2"/>
      <c r="T533" s="2"/>
      <c r="U533" s="2"/>
      <c r="V533" s="2"/>
    </row>
    <row r="534" spans="1:22" s="120" customFormat="1" x14ac:dyDescent="0.2">
      <c r="A534" s="2"/>
      <c r="B534" s="2"/>
      <c r="C534" s="2"/>
      <c r="D534" s="2"/>
      <c r="E534" s="2"/>
      <c r="F534" s="2"/>
      <c r="G534" s="2"/>
      <c r="H534" s="2"/>
      <c r="I534" s="2"/>
      <c r="J534" s="2"/>
      <c r="K534" s="2"/>
      <c r="L534" s="2"/>
      <c r="M534" s="2"/>
      <c r="N534" s="2"/>
      <c r="O534" s="2"/>
      <c r="P534" s="2"/>
      <c r="Q534" s="2"/>
      <c r="R534" s="2"/>
      <c r="S534" s="2"/>
      <c r="T534" s="2"/>
      <c r="U534" s="2"/>
      <c r="V534" s="2"/>
    </row>
    <row r="535" spans="1:22" s="120" customFormat="1" x14ac:dyDescent="0.2">
      <c r="A535" s="2"/>
      <c r="B535" s="2"/>
      <c r="C535" s="2"/>
      <c r="D535" s="2"/>
      <c r="E535" s="2"/>
      <c r="F535" s="2"/>
      <c r="G535" s="2"/>
      <c r="H535" s="2"/>
      <c r="I535" s="2"/>
      <c r="J535" s="2"/>
      <c r="K535" s="2"/>
      <c r="L535" s="2"/>
      <c r="M535" s="2"/>
      <c r="N535" s="2"/>
      <c r="O535" s="2"/>
      <c r="P535" s="2"/>
      <c r="Q535" s="2"/>
      <c r="R535" s="2"/>
      <c r="S535" s="2"/>
      <c r="T535" s="2"/>
      <c r="U535" s="2"/>
      <c r="V535" s="2"/>
    </row>
    <row r="536" spans="1:22" s="120" customFormat="1" x14ac:dyDescent="0.2">
      <c r="A536" s="2"/>
      <c r="B536" s="2"/>
      <c r="C536" s="2"/>
      <c r="D536" s="2"/>
      <c r="E536" s="2"/>
      <c r="F536" s="2"/>
      <c r="G536" s="2"/>
      <c r="H536" s="2"/>
      <c r="I536" s="2"/>
      <c r="J536" s="2"/>
      <c r="K536" s="2"/>
      <c r="L536" s="2"/>
      <c r="M536" s="2"/>
      <c r="N536" s="2"/>
      <c r="O536" s="2"/>
      <c r="P536" s="2"/>
      <c r="Q536" s="2"/>
      <c r="R536" s="2"/>
      <c r="S536" s="2"/>
      <c r="T536" s="2"/>
      <c r="U536" s="2"/>
      <c r="V536" s="2"/>
    </row>
    <row r="537" spans="1:22" s="120" customFormat="1" x14ac:dyDescent="0.2">
      <c r="A537" s="2"/>
      <c r="B537" s="2"/>
      <c r="C537" s="2"/>
      <c r="D537" s="2"/>
      <c r="E537" s="2"/>
      <c r="F537" s="2"/>
      <c r="G537" s="2"/>
      <c r="H537" s="2"/>
      <c r="I537" s="2"/>
      <c r="J537" s="2"/>
      <c r="K537" s="2"/>
      <c r="L537" s="2"/>
      <c r="M537" s="2"/>
      <c r="N537" s="2"/>
      <c r="O537" s="2"/>
      <c r="P537" s="2"/>
      <c r="Q537" s="2"/>
      <c r="R537" s="2"/>
      <c r="S537" s="2"/>
      <c r="T537" s="2"/>
      <c r="U537" s="2"/>
      <c r="V537" s="2"/>
    </row>
    <row r="538" spans="1:22" s="120" customFormat="1" x14ac:dyDescent="0.2">
      <c r="A538" s="2"/>
      <c r="B538" s="2"/>
      <c r="C538" s="2"/>
      <c r="D538" s="2"/>
      <c r="E538" s="2"/>
      <c r="F538" s="2"/>
      <c r="G538" s="2"/>
      <c r="H538" s="2"/>
      <c r="I538" s="2"/>
      <c r="J538" s="2"/>
      <c r="K538" s="2"/>
      <c r="L538" s="2"/>
      <c r="M538" s="2"/>
      <c r="N538" s="2"/>
      <c r="O538" s="2"/>
      <c r="P538" s="2"/>
      <c r="Q538" s="2"/>
      <c r="R538" s="2"/>
      <c r="S538" s="2"/>
      <c r="T538" s="2"/>
      <c r="U538" s="2"/>
      <c r="V538" s="2"/>
    </row>
    <row r="539" spans="1:22" s="120" customFormat="1" x14ac:dyDescent="0.2">
      <c r="A539" s="2"/>
      <c r="B539" s="2"/>
      <c r="C539" s="2"/>
      <c r="D539" s="2"/>
      <c r="E539" s="2"/>
      <c r="F539" s="2"/>
      <c r="G539" s="2"/>
      <c r="H539" s="2"/>
      <c r="I539" s="2"/>
      <c r="J539" s="2"/>
      <c r="K539" s="2"/>
      <c r="L539" s="2"/>
      <c r="M539" s="2"/>
      <c r="N539" s="2"/>
      <c r="O539" s="2"/>
      <c r="P539" s="2"/>
      <c r="Q539" s="2"/>
      <c r="R539" s="2"/>
      <c r="S539" s="2"/>
      <c r="T539" s="2"/>
      <c r="U539" s="2"/>
      <c r="V539" s="2"/>
    </row>
    <row r="540" spans="1:22" s="120" customFormat="1" x14ac:dyDescent="0.2">
      <c r="A540" s="2"/>
      <c r="B540" s="2"/>
      <c r="C540" s="2"/>
      <c r="D540" s="2"/>
      <c r="E540" s="2"/>
      <c r="F540" s="2"/>
      <c r="G540" s="2"/>
      <c r="H540" s="2"/>
      <c r="I540" s="2"/>
      <c r="J540" s="2"/>
      <c r="K540" s="2"/>
      <c r="L540" s="2"/>
      <c r="M540" s="2"/>
      <c r="N540" s="2"/>
      <c r="O540" s="2"/>
      <c r="P540" s="2"/>
      <c r="Q540" s="2"/>
      <c r="R540" s="2"/>
      <c r="S540" s="2"/>
      <c r="T540" s="2"/>
      <c r="U540" s="2"/>
      <c r="V540" s="2"/>
    </row>
    <row r="541" spans="1:22" s="120" customFormat="1" x14ac:dyDescent="0.2">
      <c r="A541" s="2"/>
      <c r="B541" s="2"/>
      <c r="C541" s="2"/>
      <c r="D541" s="2"/>
      <c r="E541" s="2"/>
      <c r="F541" s="2"/>
      <c r="G541" s="2"/>
      <c r="H541" s="2"/>
      <c r="I541" s="2"/>
      <c r="J541" s="2"/>
      <c r="K541" s="2"/>
      <c r="L541" s="2"/>
      <c r="M541" s="2"/>
      <c r="N541" s="2"/>
      <c r="O541" s="2"/>
      <c r="P541" s="2"/>
      <c r="Q541" s="2"/>
      <c r="R541" s="2"/>
      <c r="S541" s="2"/>
      <c r="T541" s="2"/>
      <c r="U541" s="2"/>
      <c r="V541" s="2"/>
    </row>
    <row r="542" spans="1:22" s="120" customFormat="1" x14ac:dyDescent="0.2">
      <c r="A542" s="2"/>
      <c r="B542" s="2"/>
      <c r="C542" s="2"/>
      <c r="D542" s="2"/>
      <c r="E542" s="2"/>
      <c r="F542" s="2"/>
      <c r="G542" s="2"/>
      <c r="H542" s="2"/>
      <c r="I542" s="2"/>
      <c r="J542" s="2"/>
      <c r="K542" s="2"/>
      <c r="L542" s="2"/>
      <c r="M542" s="2"/>
      <c r="N542" s="2"/>
      <c r="O542" s="2"/>
      <c r="P542" s="2"/>
      <c r="Q542" s="2"/>
      <c r="R542" s="2"/>
      <c r="S542" s="2"/>
      <c r="T542" s="2"/>
      <c r="U542" s="2"/>
      <c r="V542" s="2"/>
    </row>
    <row r="543" spans="1:22" s="120" customFormat="1" x14ac:dyDescent="0.2">
      <c r="A543" s="2"/>
      <c r="B543" s="2"/>
      <c r="C543" s="2"/>
      <c r="D543" s="2"/>
      <c r="E543" s="2"/>
      <c r="F543" s="2"/>
      <c r="G543" s="2"/>
      <c r="H543" s="2"/>
      <c r="I543" s="2"/>
      <c r="J543" s="2"/>
      <c r="K543" s="2"/>
      <c r="L543" s="2"/>
      <c r="M543" s="2"/>
      <c r="N543" s="2"/>
      <c r="O543" s="2"/>
      <c r="P543" s="2"/>
      <c r="Q543" s="2"/>
      <c r="R543" s="2"/>
      <c r="S543" s="2"/>
      <c r="T543" s="2"/>
      <c r="U543" s="2"/>
      <c r="V543" s="2"/>
    </row>
    <row r="544" spans="1:22" s="120" customFormat="1" x14ac:dyDescent="0.2">
      <c r="A544" s="2"/>
      <c r="B544" s="2"/>
      <c r="C544" s="2"/>
      <c r="D544" s="2"/>
      <c r="E544" s="2"/>
      <c r="F544" s="2"/>
      <c r="G544" s="2"/>
      <c r="H544" s="2"/>
      <c r="I544" s="2"/>
      <c r="J544" s="2"/>
      <c r="K544" s="2"/>
      <c r="L544" s="2"/>
      <c r="M544" s="2"/>
      <c r="N544" s="2"/>
      <c r="O544" s="2"/>
      <c r="P544" s="2"/>
      <c r="Q544" s="2"/>
      <c r="R544" s="2"/>
      <c r="S544" s="2"/>
      <c r="T544" s="2"/>
      <c r="U544" s="2"/>
      <c r="V544" s="2"/>
    </row>
    <row r="545" spans="1:22" s="120" customFormat="1" x14ac:dyDescent="0.2">
      <c r="A545" s="2"/>
      <c r="B545" s="2"/>
      <c r="C545" s="2"/>
      <c r="D545" s="2"/>
      <c r="E545" s="2"/>
      <c r="F545" s="2"/>
      <c r="G545" s="2"/>
      <c r="H545" s="2"/>
      <c r="I545" s="2"/>
      <c r="J545" s="2"/>
      <c r="K545" s="2"/>
      <c r="L545" s="2"/>
      <c r="M545" s="2"/>
      <c r="N545" s="2"/>
      <c r="O545" s="2"/>
      <c r="P545" s="2"/>
      <c r="Q545" s="2"/>
      <c r="R545" s="2"/>
      <c r="S545" s="2"/>
      <c r="T545" s="2"/>
      <c r="U545" s="2"/>
      <c r="V545" s="2"/>
    </row>
    <row r="546" spans="1:22" s="120" customFormat="1" x14ac:dyDescent="0.2">
      <c r="A546" s="2"/>
      <c r="B546" s="2"/>
      <c r="C546" s="2"/>
      <c r="D546" s="2"/>
      <c r="E546" s="2"/>
      <c r="F546" s="2"/>
      <c r="G546" s="2"/>
      <c r="H546" s="2"/>
      <c r="I546" s="2"/>
      <c r="J546" s="2"/>
      <c r="K546" s="2"/>
      <c r="L546" s="2"/>
      <c r="M546" s="2"/>
      <c r="N546" s="2"/>
      <c r="O546" s="2"/>
      <c r="P546" s="2"/>
      <c r="Q546" s="2"/>
      <c r="R546" s="2"/>
      <c r="S546" s="2"/>
      <c r="T546" s="2"/>
      <c r="U546" s="2"/>
      <c r="V546" s="2"/>
    </row>
  </sheetData>
  <mergeCells count="36">
    <mergeCell ref="P57:V57"/>
    <mergeCell ref="A58:I58"/>
    <mergeCell ref="P58:V58"/>
    <mergeCell ref="C46:V46"/>
    <mergeCell ref="A49:V49"/>
    <mergeCell ref="A50:V50"/>
    <mergeCell ref="A51:V51"/>
    <mergeCell ref="A52:V52"/>
    <mergeCell ref="A53:V56"/>
    <mergeCell ref="A57:F57"/>
    <mergeCell ref="G57:K57"/>
    <mergeCell ref="C40:R40"/>
    <mergeCell ref="C43:P43"/>
    <mergeCell ref="Q43:R43"/>
    <mergeCell ref="S43:V43"/>
    <mergeCell ref="C44:V44"/>
    <mergeCell ref="A32:V32"/>
    <mergeCell ref="A35:G35"/>
    <mergeCell ref="H35:V35"/>
    <mergeCell ref="G36:V36"/>
    <mergeCell ref="A38:S38"/>
    <mergeCell ref="B23:K23"/>
    <mergeCell ref="S23:U23"/>
    <mergeCell ref="A29:V29"/>
    <mergeCell ref="A30:V30"/>
    <mergeCell ref="A31:V31"/>
    <mergeCell ref="D14:K14"/>
    <mergeCell ref="P14:S14"/>
    <mergeCell ref="B16:N16"/>
    <mergeCell ref="B17:N17"/>
    <mergeCell ref="O21:S21"/>
    <mergeCell ref="A8:J8"/>
    <mergeCell ref="A9:J9"/>
    <mergeCell ref="B12:K12"/>
    <mergeCell ref="L12:N12"/>
    <mergeCell ref="O12:S12"/>
  </mergeCells>
  <pageMargins left="0.70866141732283472" right="0.70866141732283472" top="0.74803149606299213" bottom="0.74803149606299213" header="0.31496062992125984" footer="0.31496062992125984"/>
  <pageSetup paperSize="9" scale="82" orientation="portrait" r:id="rId1"/>
  <colBreaks count="1" manualBreakCount="1">
    <brk id="23"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Q40"/>
  <sheetViews>
    <sheetView showGridLines="0" zoomScaleNormal="100" zoomScaleSheetLayoutView="80" workbookViewId="0"/>
  </sheetViews>
  <sheetFormatPr defaultColWidth="9.140625" defaultRowHeight="12.75" x14ac:dyDescent="0.2"/>
  <cols>
    <col min="1" max="1" width="10.7109375" style="2" customWidth="1"/>
    <col min="2" max="2" width="14.28515625" style="2" customWidth="1"/>
    <col min="3" max="3" width="10.42578125" style="2" customWidth="1"/>
    <col min="4" max="4" width="12.7109375" style="2" customWidth="1"/>
    <col min="5" max="5" width="12.42578125" style="2" customWidth="1"/>
    <col min="6" max="6" width="9.42578125" style="2" customWidth="1"/>
    <col min="7" max="7" width="14.140625" style="2" customWidth="1"/>
    <col min="8" max="8" width="6" style="2" customWidth="1"/>
    <col min="9" max="9" width="6.7109375" style="2" customWidth="1"/>
    <col min="10" max="10" width="8.7109375" style="2" customWidth="1"/>
    <col min="11" max="11" width="14.7109375" style="2" customWidth="1"/>
    <col min="12" max="12" width="15.42578125" style="2" customWidth="1"/>
    <col min="13" max="13" width="13.28515625" style="2" customWidth="1"/>
    <col min="14" max="14" width="10.140625" style="2" customWidth="1"/>
    <col min="15" max="15" width="9.5703125" style="2" customWidth="1"/>
    <col min="16" max="16384" width="9.140625" style="2"/>
  </cols>
  <sheetData>
    <row r="1" spans="1:16" x14ac:dyDescent="0.2">
      <c r="A1" s="120"/>
      <c r="B1" s="120"/>
      <c r="C1" s="120"/>
      <c r="D1" s="120"/>
      <c r="E1" s="120"/>
      <c r="F1" s="120"/>
      <c r="G1" s="120"/>
      <c r="H1" s="120"/>
      <c r="I1" s="120"/>
      <c r="J1" s="120"/>
      <c r="K1" s="120"/>
      <c r="L1" s="120"/>
      <c r="M1" s="120"/>
      <c r="N1" s="120"/>
      <c r="O1" s="120"/>
      <c r="P1" s="120"/>
    </row>
    <row r="2" spans="1:16" x14ac:dyDescent="0.2">
      <c r="A2" s="120"/>
      <c r="B2" s="120"/>
      <c r="C2" s="120"/>
      <c r="D2" s="465" t="str">
        <f>CONCATENATE('Dane personalne'!D11," ",'Dane personalne'!D12)</f>
        <v xml:space="preserve"> </v>
      </c>
      <c r="E2" s="465"/>
      <c r="F2" s="465"/>
      <c r="G2" s="465"/>
      <c r="H2" s="465"/>
      <c r="I2" s="465"/>
      <c r="J2" s="465"/>
      <c r="K2" s="465"/>
      <c r="L2" s="120"/>
      <c r="M2" s="120"/>
      <c r="N2" s="120"/>
      <c r="O2" s="120"/>
      <c r="P2" s="120"/>
    </row>
    <row r="3" spans="1:16" x14ac:dyDescent="0.2">
      <c r="A3" s="120"/>
      <c r="B3" s="120"/>
      <c r="C3" s="120"/>
      <c r="D3" s="515" t="s">
        <v>79</v>
      </c>
      <c r="E3" s="515"/>
      <c r="F3" s="515"/>
      <c r="G3" s="515"/>
      <c r="H3" s="515"/>
      <c r="I3" s="515"/>
      <c r="J3" s="515"/>
      <c r="K3" s="515"/>
      <c r="L3" s="120"/>
      <c r="M3" s="120"/>
      <c r="N3" s="120"/>
      <c r="O3" s="120"/>
      <c r="P3" s="120"/>
    </row>
    <row r="4" spans="1:16" x14ac:dyDescent="0.2">
      <c r="A4" s="120"/>
      <c r="B4" s="120"/>
      <c r="C4" s="120"/>
      <c r="D4" s="121"/>
      <c r="E4" s="273"/>
      <c r="F4" s="121"/>
      <c r="G4" s="121"/>
      <c r="H4" s="121"/>
      <c r="I4" s="121"/>
      <c r="J4" s="121"/>
      <c r="K4" s="121"/>
      <c r="L4" s="120"/>
      <c r="M4" s="120"/>
      <c r="N4" s="120"/>
      <c r="O4" s="120"/>
      <c r="P4" s="120"/>
    </row>
    <row r="5" spans="1:16" x14ac:dyDescent="0.2">
      <c r="A5" s="120"/>
      <c r="B5" s="120"/>
      <c r="C5" s="120"/>
      <c r="D5" s="120"/>
      <c r="E5" s="120"/>
      <c r="F5" s="120"/>
      <c r="G5" s="120"/>
      <c r="H5" s="120"/>
      <c r="I5" s="120"/>
      <c r="J5" s="120"/>
      <c r="K5" s="120"/>
      <c r="L5" s="120"/>
      <c r="M5" s="120"/>
      <c r="N5" s="120"/>
      <c r="O5" s="120"/>
      <c r="P5" s="120"/>
    </row>
    <row r="6" spans="1:16" x14ac:dyDescent="0.2">
      <c r="A6" s="584" t="s">
        <v>223</v>
      </c>
      <c r="B6" s="584"/>
      <c r="C6" s="584"/>
      <c r="D6" s="584"/>
      <c r="E6" s="584"/>
      <c r="F6" s="584"/>
      <c r="G6" s="584"/>
      <c r="H6" s="584"/>
      <c r="I6" s="584"/>
      <c r="J6" s="584"/>
      <c r="K6" s="584"/>
      <c r="L6" s="584"/>
      <c r="M6" s="584"/>
      <c r="N6" s="584"/>
      <c r="O6" s="584"/>
      <c r="P6" s="120"/>
    </row>
    <row r="7" spans="1:16" x14ac:dyDescent="0.2">
      <c r="A7" s="582"/>
      <c r="B7" s="582"/>
      <c r="C7" s="582"/>
      <c r="D7" s="582"/>
      <c r="E7" s="582"/>
      <c r="F7" s="582"/>
      <c r="G7" s="582"/>
      <c r="H7" s="582"/>
      <c r="I7" s="582"/>
      <c r="J7" s="582"/>
      <c r="K7" s="582"/>
      <c r="L7" s="582"/>
      <c r="M7" s="582"/>
      <c r="N7" s="582"/>
      <c r="O7" s="582"/>
      <c r="P7" s="120"/>
    </row>
    <row r="8" spans="1:16" x14ac:dyDescent="0.2">
      <c r="A8" s="582" t="s">
        <v>224</v>
      </c>
      <c r="B8" s="582"/>
      <c r="C8" s="582"/>
      <c r="D8" s="582"/>
      <c r="E8" s="582"/>
      <c r="F8" s="582"/>
      <c r="G8" s="582"/>
      <c r="H8" s="582"/>
      <c r="I8" s="582"/>
      <c r="J8" s="582"/>
      <c r="K8" s="582"/>
      <c r="L8" s="582"/>
      <c r="M8" s="582"/>
      <c r="N8" s="582"/>
      <c r="O8" s="582"/>
      <c r="P8" s="120"/>
    </row>
    <row r="9" spans="1:16" ht="8.4499999999999993" customHeight="1" x14ac:dyDescent="0.2">
      <c r="A9" s="120"/>
      <c r="B9" s="120"/>
      <c r="C9" s="120"/>
      <c r="D9" s="120"/>
      <c r="E9" s="120"/>
      <c r="F9" s="120"/>
      <c r="G9" s="120"/>
      <c r="H9" s="120"/>
      <c r="I9" s="120"/>
      <c r="J9" s="120"/>
      <c r="K9" s="120"/>
      <c r="L9" s="120"/>
      <c r="M9" s="120"/>
      <c r="N9" s="120"/>
      <c r="O9" s="120"/>
      <c r="P9" s="120"/>
    </row>
    <row r="10" spans="1:16" s="270" customFormat="1" ht="169.5" customHeight="1" x14ac:dyDescent="0.2">
      <c r="A10" s="280" t="s">
        <v>703</v>
      </c>
      <c r="B10" s="280" t="s">
        <v>141</v>
      </c>
      <c r="C10" s="280" t="s">
        <v>2238</v>
      </c>
      <c r="D10" s="280" t="s">
        <v>77</v>
      </c>
      <c r="E10" s="280" t="s">
        <v>78</v>
      </c>
      <c r="F10" s="280" t="s">
        <v>704</v>
      </c>
      <c r="G10" s="280" t="s">
        <v>705</v>
      </c>
      <c r="H10" s="280" t="s">
        <v>706</v>
      </c>
      <c r="I10" s="280" t="s">
        <v>707</v>
      </c>
      <c r="J10" s="280" t="s">
        <v>2246</v>
      </c>
      <c r="K10" s="281" t="s">
        <v>549</v>
      </c>
      <c r="L10" s="280" t="s">
        <v>708</v>
      </c>
      <c r="M10" s="280" t="s">
        <v>709</v>
      </c>
      <c r="N10" s="281" t="s">
        <v>225</v>
      </c>
      <c r="O10" s="281" t="s">
        <v>226</v>
      </c>
      <c r="P10" s="271"/>
    </row>
    <row r="11" spans="1:16" x14ac:dyDescent="0.2">
      <c r="A11" s="345"/>
      <c r="B11" s="345"/>
      <c r="C11" s="345"/>
      <c r="D11" s="345"/>
      <c r="E11" s="345"/>
      <c r="F11" s="345"/>
      <c r="G11" s="345"/>
      <c r="H11" s="345"/>
      <c r="I11" s="345"/>
      <c r="J11" s="345"/>
      <c r="K11" s="346"/>
      <c r="L11" s="345"/>
      <c r="M11" s="345"/>
      <c r="N11" s="344"/>
      <c r="O11" s="344"/>
      <c r="P11" s="282"/>
    </row>
    <row r="12" spans="1:16" x14ac:dyDescent="0.2">
      <c r="A12" s="345" t="str">
        <f>IF('Dane personalne'!C71="","",'Dane personalne'!C71)</f>
        <v/>
      </c>
      <c r="B12" s="345" t="str">
        <f>IF('Dane personalne'!D71="","",'Dane personalne'!D71)</f>
        <v/>
      </c>
      <c r="C12" s="345"/>
      <c r="D12" s="345"/>
      <c r="E12" s="345"/>
      <c r="F12" s="345" t="str">
        <f>IF('Dane personalne'!F71="","",'Dane personalne'!F71)</f>
        <v/>
      </c>
      <c r="G12" s="345"/>
      <c r="H12" s="345"/>
      <c r="I12" s="345"/>
      <c r="J12" s="345"/>
      <c r="K12" s="346"/>
      <c r="L12" s="345"/>
      <c r="M12" s="345"/>
      <c r="N12" s="344"/>
      <c r="O12" s="344"/>
      <c r="P12" s="282"/>
    </row>
    <row r="13" spans="1:16" x14ac:dyDescent="0.2">
      <c r="A13" s="345" t="str">
        <f>IF('Dane personalne'!C72="","",'Dane personalne'!C72)</f>
        <v/>
      </c>
      <c r="B13" s="345" t="str">
        <f>IF('Dane personalne'!D72="","",'Dane personalne'!D72)</f>
        <v/>
      </c>
      <c r="C13" s="345"/>
      <c r="D13" s="345"/>
      <c r="E13" s="345"/>
      <c r="F13" s="345" t="str">
        <f>IF('Dane personalne'!F72="","",'Dane personalne'!F72)</f>
        <v/>
      </c>
      <c r="G13" s="345"/>
      <c r="H13" s="345"/>
      <c r="I13" s="345"/>
      <c r="J13" s="345"/>
      <c r="K13" s="346"/>
      <c r="L13" s="345"/>
      <c r="M13" s="345"/>
      <c r="N13" s="344"/>
      <c r="O13" s="344"/>
      <c r="P13" s="282"/>
    </row>
    <row r="14" spans="1:16" x14ac:dyDescent="0.2">
      <c r="A14" s="345" t="str">
        <f>IF('Dane personalne'!C73="","",'Dane personalne'!C73)</f>
        <v/>
      </c>
      <c r="B14" s="345" t="str">
        <f>IF('Dane personalne'!D73="","",'Dane personalne'!D73)</f>
        <v/>
      </c>
      <c r="C14" s="345"/>
      <c r="D14" s="345"/>
      <c r="E14" s="345"/>
      <c r="F14" s="345" t="str">
        <f>IF('Dane personalne'!F73="","",'Dane personalne'!F73)</f>
        <v/>
      </c>
      <c r="G14" s="345"/>
      <c r="H14" s="345"/>
      <c r="I14" s="345"/>
      <c r="J14" s="345"/>
      <c r="K14" s="346"/>
      <c r="L14" s="345"/>
      <c r="M14" s="345"/>
      <c r="N14" s="344"/>
      <c r="O14" s="344"/>
      <c r="P14" s="282"/>
    </row>
    <row r="15" spans="1:16" x14ac:dyDescent="0.2">
      <c r="A15" s="345" t="str">
        <f>IF('Dane personalne'!C74="","",'Dane personalne'!C74)</f>
        <v/>
      </c>
      <c r="B15" s="345" t="str">
        <f>IF('Dane personalne'!D74="","",'Dane personalne'!D74)</f>
        <v/>
      </c>
      <c r="C15" s="345"/>
      <c r="D15" s="345"/>
      <c r="E15" s="345"/>
      <c r="F15" s="345" t="str">
        <f>IF('Dane personalne'!F74="","",'Dane personalne'!F74)</f>
        <v/>
      </c>
      <c r="G15" s="345"/>
      <c r="H15" s="345"/>
      <c r="I15" s="345"/>
      <c r="J15" s="345"/>
      <c r="K15" s="346"/>
      <c r="L15" s="345"/>
      <c r="M15" s="345"/>
      <c r="N15" s="344"/>
      <c r="O15" s="344"/>
      <c r="P15" s="282"/>
    </row>
    <row r="16" spans="1:16" x14ac:dyDescent="0.2">
      <c r="A16" s="345"/>
      <c r="B16" s="345"/>
      <c r="C16" s="345"/>
      <c r="D16" s="345"/>
      <c r="E16" s="345"/>
      <c r="F16" s="345"/>
      <c r="G16" s="345"/>
      <c r="H16" s="345"/>
      <c r="I16" s="345"/>
      <c r="J16" s="345"/>
      <c r="K16" s="346"/>
      <c r="L16" s="345"/>
      <c r="M16" s="345"/>
      <c r="N16" s="344"/>
      <c r="O16" s="344"/>
      <c r="P16" s="282"/>
    </row>
    <row r="17" spans="1:17" x14ac:dyDescent="0.2">
      <c r="A17" s="345"/>
      <c r="B17" s="345"/>
      <c r="C17" s="345"/>
      <c r="D17" s="345"/>
      <c r="E17" s="345"/>
      <c r="F17" s="345"/>
      <c r="G17" s="345"/>
      <c r="H17" s="345"/>
      <c r="I17" s="345"/>
      <c r="J17" s="345"/>
      <c r="K17" s="346"/>
      <c r="L17" s="345"/>
      <c r="M17" s="345"/>
      <c r="N17" s="344"/>
      <c r="O17" s="344"/>
      <c r="P17" s="282"/>
    </row>
    <row r="18" spans="1:17" x14ac:dyDescent="0.2">
      <c r="A18" s="345"/>
      <c r="B18" s="345"/>
      <c r="C18" s="345"/>
      <c r="D18" s="345"/>
      <c r="E18" s="345"/>
      <c r="F18" s="345"/>
      <c r="G18" s="345"/>
      <c r="H18" s="345"/>
      <c r="I18" s="345"/>
      <c r="J18" s="345"/>
      <c r="K18" s="346"/>
      <c r="L18" s="345"/>
      <c r="M18" s="345"/>
      <c r="N18" s="344"/>
      <c r="O18" s="344"/>
      <c r="P18" s="282"/>
    </row>
    <row r="19" spans="1:17" x14ac:dyDescent="0.2">
      <c r="A19" s="345"/>
      <c r="B19" s="345"/>
      <c r="C19" s="345"/>
      <c r="D19" s="345"/>
      <c r="E19" s="345"/>
      <c r="F19" s="345"/>
      <c r="G19" s="345"/>
      <c r="H19" s="345"/>
      <c r="I19" s="345"/>
      <c r="J19" s="345"/>
      <c r="K19" s="346"/>
      <c r="L19" s="345"/>
      <c r="M19" s="345"/>
      <c r="N19" s="344"/>
      <c r="O19" s="344"/>
      <c r="P19" s="282"/>
    </row>
    <row r="20" spans="1:17" x14ac:dyDescent="0.2">
      <c r="A20" s="345"/>
      <c r="B20" s="345"/>
      <c r="C20" s="345"/>
      <c r="D20" s="345"/>
      <c r="E20" s="345"/>
      <c r="F20" s="345"/>
      <c r="G20" s="345"/>
      <c r="H20" s="345"/>
      <c r="I20" s="345"/>
      <c r="J20" s="345"/>
      <c r="K20" s="346"/>
      <c r="L20" s="345"/>
      <c r="M20" s="345"/>
      <c r="N20" s="344"/>
      <c r="O20" s="344"/>
      <c r="P20" s="282"/>
    </row>
    <row r="21" spans="1:17" x14ac:dyDescent="0.2">
      <c r="A21" s="120"/>
      <c r="B21" s="120"/>
      <c r="C21" s="120"/>
      <c r="D21" s="120"/>
      <c r="E21" s="120"/>
      <c r="F21" s="120"/>
      <c r="G21" s="120"/>
      <c r="H21" s="120"/>
      <c r="I21" s="120"/>
      <c r="J21" s="120"/>
      <c r="K21" s="120"/>
      <c r="L21" s="120"/>
      <c r="M21" s="120"/>
      <c r="N21" s="120"/>
      <c r="O21" s="120"/>
      <c r="P21" s="120"/>
    </row>
    <row r="22" spans="1:17" x14ac:dyDescent="0.2">
      <c r="A22" s="466" t="str">
        <f>'Dane personalne'!$D$94&amp;""</f>
        <v/>
      </c>
      <c r="B22" s="466"/>
      <c r="C22" s="466" t="str">
        <f>'Dane personalne'!$F$94</f>
        <v/>
      </c>
      <c r="D22" s="466"/>
      <c r="E22" s="272"/>
      <c r="F22" s="466"/>
      <c r="G22" s="466"/>
      <c r="H22" s="466"/>
      <c r="I22" s="466"/>
      <c r="J22" s="120"/>
      <c r="K22" s="120"/>
      <c r="L22" s="122"/>
      <c r="M22" s="122"/>
      <c r="N22" s="122"/>
      <c r="O22" s="122"/>
      <c r="P22" s="120"/>
    </row>
    <row r="23" spans="1:17" x14ac:dyDescent="0.2">
      <c r="A23" s="515" t="s">
        <v>41</v>
      </c>
      <c r="B23" s="515"/>
      <c r="C23" s="515"/>
      <c r="D23" s="515"/>
      <c r="E23" s="515"/>
      <c r="F23" s="515"/>
      <c r="G23" s="515"/>
      <c r="H23" s="515"/>
      <c r="I23" s="515"/>
      <c r="J23" s="120"/>
      <c r="K23" s="120"/>
      <c r="L23" s="123"/>
      <c r="M23" s="123"/>
      <c r="N23" s="124" t="s">
        <v>43</v>
      </c>
      <c r="O23" s="123"/>
      <c r="P23" s="120"/>
    </row>
    <row r="24" spans="1:17" x14ac:dyDescent="0.2">
      <c r="A24" s="121"/>
      <c r="B24" s="121"/>
      <c r="C24" s="121"/>
      <c r="D24" s="121"/>
      <c r="E24" s="273"/>
      <c r="F24" s="121"/>
      <c r="G24" s="121"/>
      <c r="H24" s="121"/>
      <c r="I24" s="121"/>
      <c r="J24" s="120"/>
      <c r="K24" s="120"/>
      <c r="L24" s="120"/>
      <c r="M24" s="120"/>
      <c r="N24" s="121"/>
      <c r="O24" s="121"/>
      <c r="P24" s="121"/>
      <c r="Q24" s="16"/>
    </row>
    <row r="25" spans="1:17" x14ac:dyDescent="0.2">
      <c r="A25" s="120" t="s">
        <v>227</v>
      </c>
      <c r="B25" s="120"/>
      <c r="C25" s="120"/>
      <c r="D25" s="120"/>
      <c r="E25" s="120"/>
      <c r="F25" s="120"/>
      <c r="G25" s="120"/>
      <c r="H25" s="120"/>
      <c r="I25" s="120"/>
      <c r="J25" s="120"/>
      <c r="K25" s="120"/>
      <c r="L25" s="120"/>
      <c r="M25" s="120"/>
      <c r="N25" s="120"/>
      <c r="O25" s="120"/>
      <c r="P25" s="120"/>
    </row>
    <row r="26" spans="1:17" x14ac:dyDescent="0.2">
      <c r="A26" s="120" t="s">
        <v>233</v>
      </c>
      <c r="B26" s="120"/>
      <c r="C26" s="120"/>
      <c r="D26" s="120"/>
      <c r="E26" s="120"/>
      <c r="F26" s="120"/>
      <c r="G26" s="120"/>
      <c r="H26" s="120"/>
      <c r="I26" s="120"/>
      <c r="J26" s="120"/>
      <c r="K26" s="120"/>
      <c r="L26" s="120"/>
      <c r="M26" s="120"/>
      <c r="N26" s="120"/>
      <c r="O26" s="120"/>
      <c r="P26" s="120"/>
    </row>
    <row r="27" spans="1:17" x14ac:dyDescent="0.2">
      <c r="A27" s="120" t="s">
        <v>238</v>
      </c>
      <c r="B27" s="120"/>
      <c r="C27" s="120"/>
      <c r="D27" s="120"/>
      <c r="E27" s="120"/>
      <c r="F27" s="120"/>
      <c r="G27" s="120"/>
      <c r="H27" s="120"/>
      <c r="I27" s="120"/>
      <c r="J27" s="120"/>
      <c r="K27" s="120"/>
      <c r="L27" s="120"/>
      <c r="M27" s="120"/>
      <c r="N27" s="120"/>
      <c r="O27" s="120"/>
      <c r="P27" s="120"/>
    </row>
    <row r="28" spans="1:17" x14ac:dyDescent="0.2">
      <c r="A28" s="120" t="s">
        <v>239</v>
      </c>
      <c r="B28" s="120"/>
      <c r="C28" s="120"/>
      <c r="D28" s="120"/>
      <c r="E28" s="120"/>
      <c r="F28" s="120"/>
      <c r="G28" s="120"/>
      <c r="H28" s="120"/>
      <c r="I28" s="120"/>
      <c r="J28" s="120"/>
      <c r="K28" s="120"/>
      <c r="L28" s="120"/>
      <c r="M28" s="120"/>
      <c r="N28" s="120"/>
      <c r="O28" s="120"/>
      <c r="P28" s="120"/>
    </row>
    <row r="29" spans="1:17" x14ac:dyDescent="0.2">
      <c r="A29" s="120" t="s">
        <v>234</v>
      </c>
      <c r="B29" s="120"/>
      <c r="C29" s="120"/>
      <c r="D29" s="120"/>
      <c r="E29" s="120"/>
      <c r="F29" s="120"/>
      <c r="G29" s="120"/>
      <c r="H29" s="120"/>
      <c r="I29" s="120"/>
      <c r="J29" s="120"/>
      <c r="K29" s="120"/>
      <c r="L29" s="120"/>
      <c r="M29" s="120"/>
      <c r="N29" s="120"/>
      <c r="O29" s="120"/>
      <c r="P29" s="120"/>
    </row>
    <row r="30" spans="1:17" x14ac:dyDescent="0.2">
      <c r="A30" s="120" t="s">
        <v>235</v>
      </c>
      <c r="B30" s="120"/>
      <c r="C30" s="120"/>
      <c r="D30" s="120"/>
      <c r="E30" s="120"/>
      <c r="F30" s="120"/>
      <c r="G30" s="120"/>
      <c r="H30" s="120"/>
      <c r="I30" s="120"/>
      <c r="J30" s="120"/>
      <c r="K30" s="120"/>
      <c r="L30" s="120"/>
      <c r="M30" s="120"/>
      <c r="N30" s="120"/>
      <c r="O30" s="120"/>
      <c r="P30" s="120"/>
    </row>
    <row r="31" spans="1:17" x14ac:dyDescent="0.2">
      <c r="A31" s="120" t="s">
        <v>236</v>
      </c>
      <c r="B31" s="120"/>
      <c r="C31" s="120"/>
      <c r="D31" s="120"/>
      <c r="E31" s="120"/>
      <c r="F31" s="120"/>
      <c r="G31" s="120"/>
      <c r="H31" s="120"/>
      <c r="I31" s="120"/>
      <c r="J31" s="120"/>
      <c r="K31" s="120"/>
      <c r="L31" s="120"/>
      <c r="M31" s="120"/>
      <c r="N31" s="120"/>
      <c r="O31" s="120"/>
      <c r="P31" s="120"/>
    </row>
    <row r="32" spans="1:17" x14ac:dyDescent="0.2">
      <c r="A32" s="120" t="s">
        <v>237</v>
      </c>
      <c r="B32" s="120"/>
      <c r="C32" s="120"/>
      <c r="D32" s="120"/>
      <c r="E32" s="120"/>
      <c r="F32" s="120"/>
      <c r="G32" s="120"/>
      <c r="H32" s="120"/>
      <c r="I32" s="120"/>
      <c r="J32" s="120"/>
      <c r="K32" s="120"/>
      <c r="L32" s="120"/>
      <c r="M32" s="120"/>
      <c r="N32" s="120"/>
      <c r="O32" s="120"/>
      <c r="P32" s="120"/>
    </row>
    <row r="33" spans="1:16" x14ac:dyDescent="0.2">
      <c r="A33" s="120" t="s">
        <v>230</v>
      </c>
      <c r="B33" s="120"/>
      <c r="C33" s="120"/>
      <c r="D33" s="120"/>
      <c r="E33" s="120"/>
      <c r="F33" s="120"/>
      <c r="G33" s="120"/>
      <c r="H33" s="120"/>
      <c r="I33" s="120"/>
      <c r="J33" s="120"/>
      <c r="K33" s="120"/>
      <c r="L33" s="120"/>
      <c r="M33" s="120"/>
      <c r="N33" s="120"/>
      <c r="O33" s="120"/>
      <c r="P33" s="120"/>
    </row>
    <row r="34" spans="1:16" x14ac:dyDescent="0.2">
      <c r="A34" s="120" t="s">
        <v>228</v>
      </c>
      <c r="B34" s="120"/>
      <c r="C34" s="120"/>
      <c r="D34" s="120"/>
      <c r="E34" s="120"/>
      <c r="F34" s="120"/>
      <c r="G34" s="120"/>
      <c r="H34" s="120"/>
      <c r="I34" s="120"/>
      <c r="J34" s="120"/>
      <c r="K34" s="120"/>
      <c r="L34" s="120"/>
      <c r="M34" s="120"/>
      <c r="N34" s="120"/>
      <c r="O34" s="120"/>
      <c r="P34" s="120"/>
    </row>
    <row r="35" spans="1:16" x14ac:dyDescent="0.2">
      <c r="A35" s="120" t="s">
        <v>231</v>
      </c>
      <c r="B35" s="120"/>
      <c r="C35" s="120"/>
      <c r="D35" s="120"/>
      <c r="E35" s="120"/>
      <c r="F35" s="120"/>
      <c r="G35" s="120"/>
      <c r="H35" s="120"/>
      <c r="I35" s="120"/>
      <c r="J35" s="120"/>
      <c r="K35" s="120"/>
      <c r="L35" s="120"/>
      <c r="M35" s="120"/>
      <c r="N35" s="120"/>
      <c r="O35" s="120"/>
      <c r="P35" s="120"/>
    </row>
    <row r="36" spans="1:16" x14ac:dyDescent="0.2">
      <c r="A36" s="120" t="s">
        <v>229</v>
      </c>
      <c r="B36" s="120"/>
      <c r="C36" s="120"/>
      <c r="D36" s="120"/>
      <c r="E36" s="120"/>
      <c r="F36" s="120"/>
      <c r="G36" s="120"/>
      <c r="H36" s="120"/>
      <c r="I36" s="120"/>
      <c r="J36" s="120"/>
      <c r="K36" s="120"/>
      <c r="L36" s="120"/>
      <c r="M36" s="120"/>
      <c r="N36" s="120"/>
      <c r="O36" s="120"/>
      <c r="P36" s="120"/>
    </row>
    <row r="37" spans="1:16" x14ac:dyDescent="0.2">
      <c r="A37" s="120" t="s">
        <v>232</v>
      </c>
      <c r="B37" s="120"/>
      <c r="C37" s="120"/>
      <c r="D37" s="120"/>
      <c r="E37" s="120"/>
      <c r="F37" s="120"/>
      <c r="G37" s="120"/>
      <c r="H37" s="120"/>
      <c r="I37" s="120"/>
      <c r="J37" s="120"/>
      <c r="K37" s="120"/>
      <c r="L37" s="120"/>
      <c r="M37" s="120"/>
      <c r="N37" s="120"/>
      <c r="O37" s="120"/>
      <c r="P37" s="120"/>
    </row>
    <row r="38" spans="1:16" x14ac:dyDescent="0.2">
      <c r="A38" s="120"/>
      <c r="B38" s="120"/>
      <c r="C38" s="120"/>
      <c r="D38" s="120"/>
      <c r="E38" s="120"/>
      <c r="F38" s="120"/>
      <c r="G38" s="120"/>
      <c r="H38" s="120"/>
      <c r="I38" s="120"/>
      <c r="J38" s="120"/>
      <c r="K38" s="120"/>
      <c r="L38" s="120"/>
      <c r="M38" s="120"/>
      <c r="N38" s="120"/>
      <c r="O38" s="120"/>
      <c r="P38" s="120"/>
    </row>
    <row r="39" spans="1:16" x14ac:dyDescent="0.2">
      <c r="A39" s="120"/>
      <c r="B39" s="120"/>
      <c r="C39" s="120"/>
      <c r="D39" s="120"/>
      <c r="E39" s="120"/>
      <c r="F39" s="120"/>
      <c r="G39" s="120"/>
      <c r="H39" s="120"/>
      <c r="I39" s="120"/>
      <c r="J39" s="120"/>
      <c r="K39" s="120"/>
      <c r="L39" s="120"/>
      <c r="M39" s="120"/>
      <c r="N39" s="120"/>
      <c r="O39" s="120"/>
      <c r="P39" s="120"/>
    </row>
    <row r="40" spans="1:16" x14ac:dyDescent="0.2">
      <c r="A40" s="120"/>
      <c r="B40" s="120"/>
      <c r="C40" s="120"/>
      <c r="D40" s="120"/>
      <c r="E40" s="120"/>
      <c r="F40" s="120"/>
      <c r="G40" s="120"/>
      <c r="H40" s="120"/>
      <c r="I40" s="120"/>
      <c r="J40" s="120"/>
      <c r="K40" s="120"/>
      <c r="L40" s="120"/>
      <c r="M40" s="120"/>
      <c r="N40" s="120"/>
      <c r="O40" s="120"/>
      <c r="P40" s="120"/>
    </row>
  </sheetData>
  <mergeCells count="10">
    <mergeCell ref="A23:I23"/>
    <mergeCell ref="A22:B22"/>
    <mergeCell ref="C22:D22"/>
    <mergeCell ref="F22:G22"/>
    <mergeCell ref="H22:I22"/>
    <mergeCell ref="D2:K2"/>
    <mergeCell ref="D3:K3"/>
    <mergeCell ref="A6:O6"/>
    <mergeCell ref="A7:O7"/>
    <mergeCell ref="A8:O8"/>
  </mergeCells>
  <pageMargins left="0.7" right="0.7" top="0.75" bottom="0.75" header="0.3" footer="0.3"/>
  <pageSetup paperSize="9" scale="7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const!$B$40:$D$40</xm:f>
          </x14:formula1>
          <xm:sqref>C11:C20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2:P37"/>
  <sheetViews>
    <sheetView showGridLines="0" zoomScaleNormal="100" zoomScaleSheetLayoutView="80" workbookViewId="0"/>
  </sheetViews>
  <sheetFormatPr defaultColWidth="9.140625" defaultRowHeight="12.75" x14ac:dyDescent="0.2"/>
  <cols>
    <col min="1" max="1" width="12.7109375" style="2" customWidth="1"/>
    <col min="2" max="2" width="15.85546875" style="2" customWidth="1"/>
    <col min="3" max="3" width="10.7109375" style="2" customWidth="1"/>
    <col min="4" max="4" width="12.5703125" style="2" customWidth="1"/>
    <col min="5" max="5" width="11.5703125" style="2" customWidth="1"/>
    <col min="6" max="7" width="9.140625" style="2"/>
    <col min="8" max="8" width="6.5703125" style="2" customWidth="1"/>
    <col min="9" max="9" width="5.42578125" style="2" customWidth="1"/>
    <col min="10" max="10" width="8.5703125" style="2" customWidth="1"/>
    <col min="11" max="11" width="14.85546875" style="2" customWidth="1"/>
    <col min="12" max="12" width="14.5703125" style="2" customWidth="1"/>
    <col min="13" max="13" width="13.28515625" style="2" customWidth="1"/>
    <col min="14" max="16384" width="9.140625" style="2"/>
  </cols>
  <sheetData>
    <row r="2" spans="1:15" x14ac:dyDescent="0.2">
      <c r="D2" s="465" t="str">
        <f>CONCATENATE('Dane personalne'!D11," ",'Dane personalne'!D12)</f>
        <v xml:space="preserve"> </v>
      </c>
      <c r="E2" s="465"/>
      <c r="F2" s="465"/>
      <c r="G2" s="465"/>
      <c r="H2" s="465"/>
      <c r="I2" s="465"/>
      <c r="J2" s="465"/>
    </row>
    <row r="3" spans="1:15" x14ac:dyDescent="0.2">
      <c r="D3" s="458" t="s">
        <v>369</v>
      </c>
      <c r="E3" s="458"/>
      <c r="F3" s="458"/>
      <c r="G3" s="458"/>
      <c r="H3" s="458"/>
      <c r="I3" s="458"/>
      <c r="J3" s="458"/>
    </row>
    <row r="4" spans="1:15" x14ac:dyDescent="0.2">
      <c r="D4" s="16"/>
      <c r="E4" s="16"/>
      <c r="F4" s="16"/>
      <c r="G4" s="16"/>
      <c r="H4" s="16"/>
      <c r="I4" s="16"/>
      <c r="J4" s="16"/>
    </row>
    <row r="6" spans="1:15" x14ac:dyDescent="0.2">
      <c r="A6" s="575" t="s">
        <v>586</v>
      </c>
      <c r="B6" s="575"/>
      <c r="C6" s="575"/>
      <c r="D6" s="575"/>
      <c r="E6" s="575"/>
      <c r="F6" s="575"/>
      <c r="G6" s="575"/>
      <c r="H6" s="575"/>
      <c r="I6" s="575"/>
      <c r="J6" s="575"/>
      <c r="K6" s="575"/>
      <c r="L6" s="575"/>
      <c r="M6" s="575"/>
      <c r="N6" s="575"/>
    </row>
    <row r="7" spans="1:15" x14ac:dyDescent="0.2">
      <c r="A7" s="581"/>
      <c r="B7" s="581"/>
      <c r="C7" s="581"/>
      <c r="D7" s="581"/>
      <c r="E7" s="581"/>
      <c r="F7" s="581"/>
      <c r="G7" s="581"/>
      <c r="H7" s="581"/>
      <c r="I7" s="581"/>
      <c r="J7" s="581"/>
      <c r="K7" s="581"/>
      <c r="L7" s="581"/>
      <c r="M7" s="581"/>
      <c r="N7" s="581"/>
    </row>
    <row r="8" spans="1:15" x14ac:dyDescent="0.2">
      <c r="A8" s="581" t="s">
        <v>418</v>
      </c>
      <c r="B8" s="581"/>
      <c r="C8" s="581"/>
      <c r="D8" s="581"/>
      <c r="E8" s="581"/>
      <c r="F8" s="581"/>
      <c r="G8" s="581"/>
      <c r="H8" s="581"/>
      <c r="I8" s="581"/>
      <c r="J8" s="581"/>
      <c r="K8" s="581"/>
      <c r="L8" s="581"/>
      <c r="M8" s="581"/>
      <c r="N8" s="581"/>
    </row>
    <row r="9" spans="1:15" ht="8.4499999999999993" customHeight="1" x14ac:dyDescent="0.2"/>
    <row r="10" spans="1:15" ht="102" x14ac:dyDescent="0.2">
      <c r="A10" s="280" t="s">
        <v>252</v>
      </c>
      <c r="B10" s="280" t="s">
        <v>253</v>
      </c>
      <c r="C10" s="280" t="s">
        <v>2249</v>
      </c>
      <c r="D10" s="280" t="s">
        <v>77</v>
      </c>
      <c r="E10" s="280" t="s">
        <v>78</v>
      </c>
      <c r="F10" s="280" t="s">
        <v>2250</v>
      </c>
      <c r="G10" s="280" t="s">
        <v>383</v>
      </c>
      <c r="H10" s="280" t="s">
        <v>2251</v>
      </c>
      <c r="I10" s="280" t="s">
        <v>2256</v>
      </c>
      <c r="J10" s="280" t="s">
        <v>2252</v>
      </c>
      <c r="K10" s="281" t="s">
        <v>2253</v>
      </c>
      <c r="L10" s="280" t="s">
        <v>2254</v>
      </c>
      <c r="M10" s="280" t="s">
        <v>2255</v>
      </c>
      <c r="N10" s="281" t="s">
        <v>407</v>
      </c>
      <c r="O10" s="281" t="s">
        <v>408</v>
      </c>
    </row>
    <row r="11" spans="1:15" x14ac:dyDescent="0.2">
      <c r="A11" s="345" t="str">
        <f>IF('Dane personalne'!C70="","",'Dane personalne'!C70)</f>
        <v/>
      </c>
      <c r="B11" s="345" t="str">
        <f>IF('Dane personalne'!D70="","",'Dane personalne'!D70)</f>
        <v/>
      </c>
      <c r="C11" s="345"/>
      <c r="D11" s="345"/>
      <c r="E11" s="345"/>
      <c r="F11" s="345" t="str">
        <f>IF('Dane personalne'!F70="","",'Dane personalne'!F70)</f>
        <v/>
      </c>
      <c r="G11" s="345"/>
      <c r="H11" s="345"/>
      <c r="I11" s="345"/>
      <c r="J11" s="345"/>
      <c r="K11" s="346"/>
      <c r="L11" s="345"/>
      <c r="M11" s="345"/>
      <c r="N11" s="344"/>
      <c r="O11" s="344"/>
    </row>
    <row r="12" spans="1:15" x14ac:dyDescent="0.2">
      <c r="A12" s="345" t="str">
        <f>IF('Dane personalne'!C71="","",'Dane personalne'!C71)</f>
        <v/>
      </c>
      <c r="B12" s="345" t="str">
        <f>IF('Dane personalne'!D71="","",'Dane personalne'!D71)</f>
        <v/>
      </c>
      <c r="C12" s="345"/>
      <c r="D12" s="345"/>
      <c r="E12" s="345"/>
      <c r="F12" s="345" t="str">
        <f>IF('Dane personalne'!F71="","",'Dane personalne'!F71)</f>
        <v/>
      </c>
      <c r="G12" s="345"/>
      <c r="H12" s="345"/>
      <c r="I12" s="345"/>
      <c r="J12" s="345"/>
      <c r="K12" s="346"/>
      <c r="L12" s="345"/>
      <c r="M12" s="345"/>
      <c r="N12" s="344"/>
      <c r="O12" s="344"/>
    </row>
    <row r="13" spans="1:15" s="46" customFormat="1" x14ac:dyDescent="0.2">
      <c r="A13" s="345" t="str">
        <f>IF('Dane personalne'!C72="","",'Dane personalne'!C72)</f>
        <v/>
      </c>
      <c r="B13" s="345" t="str">
        <f>IF('Dane personalne'!D72="","",'Dane personalne'!D72)</f>
        <v/>
      </c>
      <c r="C13" s="345"/>
      <c r="D13" s="345"/>
      <c r="E13" s="345"/>
      <c r="F13" s="345" t="str">
        <f>IF('Dane personalne'!F72="","",'Dane personalne'!F72)</f>
        <v/>
      </c>
      <c r="G13" s="345"/>
      <c r="H13" s="345"/>
      <c r="I13" s="345"/>
      <c r="J13" s="345"/>
      <c r="K13" s="346"/>
      <c r="L13" s="345"/>
      <c r="M13" s="345"/>
      <c r="N13" s="344"/>
      <c r="O13" s="344"/>
    </row>
    <row r="14" spans="1:15" s="46" customFormat="1" x14ac:dyDescent="0.2">
      <c r="A14" s="345" t="str">
        <f>IF('Dane personalne'!C73="","",'Dane personalne'!C73)</f>
        <v/>
      </c>
      <c r="B14" s="345" t="str">
        <f>IF('Dane personalne'!D73="","",'Dane personalne'!D73)</f>
        <v/>
      </c>
      <c r="C14" s="345"/>
      <c r="D14" s="345"/>
      <c r="E14" s="345"/>
      <c r="F14" s="345" t="str">
        <f>IF('Dane personalne'!F73="","",'Dane personalne'!F73)</f>
        <v/>
      </c>
      <c r="G14" s="345"/>
      <c r="H14" s="345"/>
      <c r="I14" s="345"/>
      <c r="J14" s="345"/>
      <c r="K14" s="346"/>
      <c r="L14" s="345"/>
      <c r="M14" s="345"/>
      <c r="N14" s="344"/>
      <c r="O14" s="344"/>
    </row>
    <row r="15" spans="1:15" x14ac:dyDescent="0.2">
      <c r="A15" s="345" t="str">
        <f>IF('Dane personalne'!C74="","",'Dane personalne'!C74)</f>
        <v/>
      </c>
      <c r="B15" s="345" t="str">
        <f>IF('Dane personalne'!D74="","",'Dane personalne'!D74)</f>
        <v/>
      </c>
      <c r="C15" s="345"/>
      <c r="D15" s="345"/>
      <c r="E15" s="345"/>
      <c r="F15" s="345" t="str">
        <f>IF('Dane personalne'!F74="","",'Dane personalne'!F74)</f>
        <v/>
      </c>
      <c r="G15" s="345"/>
      <c r="H15" s="345"/>
      <c r="I15" s="345"/>
      <c r="J15" s="345"/>
      <c r="K15" s="346"/>
      <c r="L15" s="345"/>
      <c r="M15" s="345"/>
      <c r="N15" s="344"/>
      <c r="O15" s="344"/>
    </row>
    <row r="16" spans="1:15" x14ac:dyDescent="0.2">
      <c r="A16" s="345"/>
      <c r="B16" s="345"/>
      <c r="C16" s="345"/>
      <c r="D16" s="345"/>
      <c r="E16" s="345"/>
      <c r="F16" s="345"/>
      <c r="G16" s="345"/>
      <c r="H16" s="345"/>
      <c r="I16" s="345"/>
      <c r="J16" s="345"/>
      <c r="K16" s="346"/>
      <c r="L16" s="345"/>
      <c r="M16" s="345"/>
      <c r="N16" s="344"/>
      <c r="O16" s="344"/>
    </row>
    <row r="17" spans="1:16" x14ac:dyDescent="0.2">
      <c r="A17" s="345"/>
      <c r="B17" s="345"/>
      <c r="C17" s="345"/>
      <c r="D17" s="345"/>
      <c r="E17" s="345"/>
      <c r="F17" s="345"/>
      <c r="G17" s="345"/>
      <c r="H17" s="345"/>
      <c r="I17" s="345"/>
      <c r="J17" s="345"/>
      <c r="K17" s="346"/>
      <c r="L17" s="345"/>
      <c r="M17" s="345"/>
      <c r="N17" s="344"/>
      <c r="O17" s="344"/>
    </row>
    <row r="18" spans="1:16" x14ac:dyDescent="0.2">
      <c r="A18" s="345"/>
      <c r="B18" s="345"/>
      <c r="C18" s="345"/>
      <c r="D18" s="345"/>
      <c r="E18" s="345"/>
      <c r="F18" s="345"/>
      <c r="G18" s="345"/>
      <c r="H18" s="345"/>
      <c r="I18" s="345"/>
      <c r="J18" s="345"/>
      <c r="K18" s="346"/>
      <c r="L18" s="345"/>
      <c r="M18" s="345"/>
      <c r="N18" s="344"/>
      <c r="O18" s="344"/>
    </row>
    <row r="19" spans="1:16" x14ac:dyDescent="0.2">
      <c r="A19" s="345"/>
      <c r="B19" s="345"/>
      <c r="C19" s="345"/>
      <c r="D19" s="345"/>
      <c r="E19" s="345"/>
      <c r="F19" s="345"/>
      <c r="G19" s="345"/>
      <c r="H19" s="345"/>
      <c r="I19" s="345"/>
      <c r="J19" s="345"/>
      <c r="K19" s="346"/>
      <c r="L19" s="345"/>
      <c r="M19" s="345"/>
      <c r="N19" s="344"/>
      <c r="O19" s="344"/>
    </row>
    <row r="20" spans="1:16" x14ac:dyDescent="0.2">
      <c r="A20" s="345"/>
      <c r="B20" s="345"/>
      <c r="C20" s="345"/>
      <c r="D20" s="345"/>
      <c r="E20" s="345"/>
      <c r="F20" s="345"/>
      <c r="G20" s="345"/>
      <c r="H20" s="345"/>
      <c r="I20" s="345"/>
      <c r="J20" s="345"/>
      <c r="K20" s="346"/>
      <c r="L20" s="345"/>
      <c r="M20" s="345"/>
      <c r="N20" s="344"/>
      <c r="O20" s="344"/>
    </row>
    <row r="22" spans="1:16" x14ac:dyDescent="0.2">
      <c r="A22" s="466" t="str">
        <f>'Dane personalne'!$D$94&amp;""</f>
        <v/>
      </c>
      <c r="B22" s="466"/>
      <c r="C22" s="466" t="str">
        <f>'Dane personalne'!$F$94</f>
        <v/>
      </c>
      <c r="D22" s="466"/>
      <c r="E22" s="466"/>
      <c r="F22" s="466"/>
      <c r="G22" s="466"/>
      <c r="H22" s="466"/>
      <c r="K22" s="105"/>
      <c r="L22" s="105"/>
      <c r="M22" s="105"/>
    </row>
    <row r="23" spans="1:16" x14ac:dyDescent="0.2">
      <c r="A23" s="458" t="s">
        <v>355</v>
      </c>
      <c r="B23" s="458"/>
      <c r="C23" s="458"/>
      <c r="D23" s="458"/>
      <c r="E23" s="458"/>
      <c r="F23" s="458"/>
      <c r="G23" s="458"/>
      <c r="H23" s="458"/>
      <c r="L23" s="4"/>
      <c r="M23" s="4"/>
    </row>
    <row r="24" spans="1:16" x14ac:dyDescent="0.2">
      <c r="A24" s="16"/>
      <c r="B24" s="16"/>
      <c r="C24" s="16"/>
      <c r="D24" s="16"/>
      <c r="E24" s="16"/>
      <c r="F24" s="16"/>
      <c r="G24" s="16"/>
      <c r="H24" s="16"/>
      <c r="N24" s="16"/>
      <c r="O24" s="16"/>
      <c r="P24" s="16"/>
    </row>
    <row r="25" spans="1:16" x14ac:dyDescent="0.2">
      <c r="A25" s="2" t="s">
        <v>603</v>
      </c>
    </row>
    <row r="26" spans="1:16" x14ac:dyDescent="0.2">
      <c r="A26" s="2" t="s">
        <v>409</v>
      </c>
    </row>
    <row r="27" spans="1:16" x14ac:dyDescent="0.2">
      <c r="A27" s="2" t="s">
        <v>410</v>
      </c>
    </row>
    <row r="28" spans="1:16" x14ac:dyDescent="0.2">
      <c r="A28" s="2" t="s">
        <v>411</v>
      </c>
    </row>
    <row r="29" spans="1:16" x14ac:dyDescent="0.2">
      <c r="A29" s="2" t="s">
        <v>412</v>
      </c>
    </row>
    <row r="30" spans="1:16" x14ac:dyDescent="0.2">
      <c r="A30" s="2" t="s">
        <v>415</v>
      </c>
    </row>
    <row r="31" spans="1:16" x14ac:dyDescent="0.2">
      <c r="A31" s="2" t="s">
        <v>413</v>
      </c>
    </row>
    <row r="32" spans="1:16" x14ac:dyDescent="0.2">
      <c r="A32" s="2" t="s">
        <v>414</v>
      </c>
    </row>
    <row r="33" spans="1:1" x14ac:dyDescent="0.2">
      <c r="A33" s="2" t="s">
        <v>416</v>
      </c>
    </row>
    <row r="34" spans="1:1" x14ac:dyDescent="0.2">
      <c r="A34" s="2" t="s">
        <v>417</v>
      </c>
    </row>
    <row r="35" spans="1:1" x14ac:dyDescent="0.2">
      <c r="A35" s="2" t="s">
        <v>419</v>
      </c>
    </row>
    <row r="36" spans="1:1" x14ac:dyDescent="0.2">
      <c r="A36" s="2" t="s">
        <v>420</v>
      </c>
    </row>
    <row r="37" spans="1:1" x14ac:dyDescent="0.2">
      <c r="A37" s="2" t="s">
        <v>421</v>
      </c>
    </row>
  </sheetData>
  <mergeCells count="10">
    <mergeCell ref="A22:B22"/>
    <mergeCell ref="A23:H23"/>
    <mergeCell ref="C22:D22"/>
    <mergeCell ref="E22:F22"/>
    <mergeCell ref="G22:H22"/>
    <mergeCell ref="D2:J2"/>
    <mergeCell ref="D3:J3"/>
    <mergeCell ref="A6:N6"/>
    <mergeCell ref="A7:N7"/>
    <mergeCell ref="A8:N8"/>
  </mergeCells>
  <phoneticPr fontId="2" type="noConversion"/>
  <pageMargins left="0.23622047244094491" right="0.27559055118110237" top="0.35433070866141736" bottom="0.31496062992125984" header="0.31496062992125984" footer="0.27559055118110237"/>
  <pageSetup scale="83" orientation="landscape"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const!$B$40:$D$40+const!$B$39:$D$39</xm:f>
          </x14:formula1>
          <xm:sqref>C11:C20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13"/>
  <sheetViews>
    <sheetView topLeftCell="A4" zoomScaleNormal="100" zoomScaleSheetLayoutView="80" workbookViewId="0"/>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132</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133</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c r="E11" s="43" t="s">
        <v>88</v>
      </c>
      <c r="F11" s="43"/>
      <c r="G11" s="43"/>
      <c r="H11" s="43"/>
      <c r="I11" s="43"/>
      <c r="J11" s="43"/>
      <c r="K11" s="43"/>
      <c r="L11" s="43"/>
      <c r="M11" s="43" t="s">
        <v>134</v>
      </c>
      <c r="N11" s="43"/>
      <c r="O11" s="43"/>
      <c r="P11" s="43"/>
      <c r="Q11" s="35"/>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29" x14ac:dyDescent="0.2">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row>
    <row r="18" spans="1:29" x14ac:dyDescent="0.2">
      <c r="A18" s="27"/>
      <c r="B18" s="27"/>
      <c r="C18" s="27"/>
      <c r="D18" s="27"/>
      <c r="E18" s="27"/>
      <c r="F18" s="44" t="s">
        <v>131</v>
      </c>
      <c r="G18" s="27"/>
      <c r="H18" s="27"/>
      <c r="I18" s="27"/>
      <c r="J18" s="27"/>
      <c r="K18" s="27"/>
      <c r="L18" s="27"/>
      <c r="M18" s="27"/>
      <c r="N18" s="27"/>
      <c r="O18" s="27"/>
      <c r="P18" s="27"/>
      <c r="Q18" s="27"/>
      <c r="R18" s="27"/>
      <c r="S18" s="27"/>
      <c r="T18" s="27"/>
      <c r="U18" s="27"/>
      <c r="V18" s="27"/>
      <c r="W18" s="27"/>
      <c r="X18" s="27"/>
      <c r="Y18" s="27"/>
      <c r="Z18" s="27"/>
      <c r="AA18" s="27"/>
      <c r="AB18" s="27"/>
      <c r="AC18" s="27"/>
    </row>
    <row r="19" spans="1:29"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row>
    <row r="20" spans="1:29" x14ac:dyDescent="0.2">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row>
    <row r="21" spans="1:29" x14ac:dyDescent="0.2">
      <c r="A21" s="27"/>
      <c r="B21" s="27" t="s">
        <v>130</v>
      </c>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row>
    <row r="22" spans="1:29" x14ac:dyDescent="0.2">
      <c r="A22" s="27"/>
      <c r="B22" s="27" t="s">
        <v>135</v>
      </c>
      <c r="C22" s="27"/>
      <c r="D22" s="624"/>
      <c r="E22" s="625"/>
      <c r="F22" s="625"/>
      <c r="G22" s="626"/>
      <c r="H22" s="27" t="s">
        <v>136</v>
      </c>
      <c r="I22" s="27"/>
      <c r="J22" s="27"/>
      <c r="K22" s="27"/>
      <c r="L22" s="27"/>
      <c r="M22" s="27"/>
      <c r="N22" s="27"/>
      <c r="O22" s="27"/>
      <c r="P22" s="27"/>
      <c r="Q22" s="27"/>
      <c r="R22" s="27"/>
      <c r="S22" s="27"/>
      <c r="T22" s="27"/>
      <c r="U22" s="27"/>
      <c r="V22" s="27"/>
      <c r="W22" s="27"/>
      <c r="X22" s="27"/>
      <c r="Y22" s="27"/>
      <c r="Z22" s="27"/>
      <c r="AA22" s="27"/>
      <c r="AB22" s="27"/>
      <c r="AC22" s="27"/>
    </row>
    <row r="23" spans="1:29" x14ac:dyDescent="0.2">
      <c r="A23" s="27"/>
      <c r="B23" s="27" t="s">
        <v>610</v>
      </c>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row>
    <row r="24" spans="1:29" ht="25.15" customHeight="1" x14ac:dyDescent="0.2">
      <c r="A24" s="27"/>
      <c r="B24" s="630" t="str">
        <f>slownie(D22,"PL")</f>
        <v/>
      </c>
      <c r="C24" s="631"/>
      <c r="D24" s="631"/>
      <c r="E24" s="631"/>
      <c r="F24" s="631"/>
      <c r="G24" s="631"/>
      <c r="H24" s="631"/>
      <c r="I24" s="631"/>
      <c r="J24" s="631"/>
      <c r="K24" s="631"/>
      <c r="L24" s="631"/>
      <c r="M24" s="631"/>
      <c r="N24" s="631"/>
      <c r="O24" s="631"/>
      <c r="P24" s="631"/>
      <c r="Q24" s="632"/>
      <c r="R24" s="27"/>
      <c r="S24" s="27"/>
      <c r="T24" s="27"/>
      <c r="U24" s="27"/>
      <c r="V24" s="27"/>
      <c r="W24" s="27"/>
      <c r="X24" s="27"/>
      <c r="Y24" s="27"/>
      <c r="Z24" s="27"/>
      <c r="AA24" s="27"/>
      <c r="AB24" s="27"/>
      <c r="AC24" s="27"/>
    </row>
    <row r="25" spans="1:29" x14ac:dyDescent="0.2">
      <c r="A25" s="27"/>
      <c r="B25" s="27" t="s">
        <v>129</v>
      </c>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row>
    <row r="26" spans="1:29" x14ac:dyDescent="0.2">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row>
    <row r="27" spans="1:29" x14ac:dyDescent="0.2">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row>
    <row r="28" spans="1:29" x14ac:dyDescent="0.2">
      <c r="A28" s="27"/>
      <c r="B28" s="27"/>
      <c r="C28" s="27"/>
      <c r="D28" s="27"/>
      <c r="E28" s="27"/>
      <c r="F28" s="27"/>
      <c r="G28" s="27"/>
      <c r="H28" s="27"/>
      <c r="I28" s="27"/>
      <c r="J28" s="27"/>
      <c r="K28" s="27"/>
      <c r="L28" s="45" t="s">
        <v>554</v>
      </c>
      <c r="N28" s="27"/>
      <c r="O28" s="466" t="str">
        <f>'Dane personalne'!$D$94&amp;""</f>
        <v/>
      </c>
      <c r="P28" s="466"/>
      <c r="Q28" s="466" t="str">
        <f>'Dane personalne'!$F$94</f>
        <v/>
      </c>
      <c r="R28" s="466"/>
      <c r="S28" s="27"/>
      <c r="T28" s="27"/>
      <c r="U28" s="27"/>
      <c r="V28" s="27"/>
      <c r="W28" s="27"/>
      <c r="X28" s="27"/>
      <c r="Y28" s="27"/>
      <c r="Z28" s="27"/>
      <c r="AA28" s="27"/>
      <c r="AB28" s="27"/>
      <c r="AC28" s="27"/>
    </row>
    <row r="29" spans="1:29" x14ac:dyDescent="0.2">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row>
    <row r="30" spans="1:29" x14ac:dyDescent="0.2">
      <c r="A30" s="27"/>
      <c r="B30" s="27"/>
      <c r="C30" s="27"/>
      <c r="D30" s="27"/>
      <c r="E30" s="27"/>
      <c r="F30" s="27"/>
      <c r="G30" s="27"/>
      <c r="H30" s="27"/>
      <c r="I30" s="27"/>
      <c r="J30" s="27"/>
      <c r="K30" s="27"/>
      <c r="L30" s="27"/>
      <c r="M30" s="27"/>
      <c r="N30" s="40"/>
      <c r="O30" s="40"/>
      <c r="P30" s="40"/>
      <c r="Q30" s="40"/>
      <c r="R30" s="27"/>
      <c r="S30" s="27"/>
      <c r="T30" s="27"/>
      <c r="U30" s="27"/>
      <c r="V30" s="27"/>
      <c r="W30" s="27"/>
      <c r="X30" s="27"/>
      <c r="Y30" s="27"/>
      <c r="Z30" s="27"/>
      <c r="AA30" s="27"/>
      <c r="AB30" s="27"/>
      <c r="AC30" s="27"/>
    </row>
    <row r="31" spans="1:29" x14ac:dyDescent="0.2">
      <c r="A31" s="27"/>
      <c r="B31" s="27"/>
      <c r="C31" s="27"/>
      <c r="D31" s="27"/>
      <c r="E31" s="27"/>
      <c r="F31" s="27"/>
      <c r="G31" s="27"/>
      <c r="H31" s="27"/>
      <c r="I31" s="27"/>
      <c r="J31" s="27"/>
      <c r="K31" s="27"/>
      <c r="L31" s="27"/>
      <c r="M31" s="27"/>
      <c r="N31" s="43" t="s">
        <v>137</v>
      </c>
      <c r="O31" s="35"/>
      <c r="P31" s="35"/>
      <c r="Q31" s="35"/>
      <c r="R31" s="27"/>
      <c r="S31" s="27"/>
      <c r="T31" s="27"/>
      <c r="U31" s="27"/>
      <c r="V31" s="27"/>
      <c r="W31" s="27"/>
      <c r="X31" s="27"/>
      <c r="Y31" s="27"/>
      <c r="Z31" s="27"/>
      <c r="AA31" s="27"/>
      <c r="AB31" s="27"/>
      <c r="AC31" s="27"/>
    </row>
    <row r="32" spans="1:29" x14ac:dyDescent="0.2">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row>
    <row r="33" spans="1:29" x14ac:dyDescent="0.2">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row>
    <row r="34" spans="1:29"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row>
    <row r="35" spans="1:29"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row>
    <row r="36" spans="1:29"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row>
    <row r="37" spans="1:29"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sheetData>
  <mergeCells count="7">
    <mergeCell ref="O28:P28"/>
    <mergeCell ref="Q28:R28"/>
    <mergeCell ref="D22:G22"/>
    <mergeCell ref="I8:Q8"/>
    <mergeCell ref="C10:K10"/>
    <mergeCell ref="L10:P10"/>
    <mergeCell ref="B24:Q24"/>
  </mergeCells>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AC113"/>
  <sheetViews>
    <sheetView zoomScaleNormal="100" zoomScaleSheetLayoutView="80" workbookViewId="0"/>
  </sheetViews>
  <sheetFormatPr defaultColWidth="9.140625" defaultRowHeight="12.75" x14ac:dyDescent="0.2"/>
  <cols>
    <col min="1" max="1" width="4.5703125" style="2" customWidth="1"/>
    <col min="2" max="2" width="13" style="2" customWidth="1"/>
    <col min="3" max="4" width="3" style="2" customWidth="1"/>
    <col min="5" max="5" width="3.7109375" style="2" bestFit="1" customWidth="1"/>
    <col min="6" max="6" width="1" style="2" customWidth="1"/>
    <col min="7" max="7" width="3" style="2" customWidth="1"/>
    <col min="8" max="8" width="1.42578125" style="2" customWidth="1"/>
    <col min="9" max="9" width="1.7109375" style="2" customWidth="1"/>
    <col min="10" max="10" width="1" style="2" customWidth="1"/>
    <col min="11"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428</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429</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c r="E11" s="43" t="s">
        <v>382</v>
      </c>
      <c r="F11" s="43"/>
      <c r="G11" s="43"/>
      <c r="H11" s="43"/>
      <c r="I11" s="43"/>
      <c r="J11" s="43"/>
      <c r="K11" s="43"/>
      <c r="L11" s="43"/>
      <c r="M11" s="43" t="s">
        <v>430</v>
      </c>
      <c r="N11" s="43"/>
      <c r="O11" s="43"/>
      <c r="P11" s="43"/>
      <c r="Q11" s="35"/>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29" x14ac:dyDescent="0.2">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row>
    <row r="18" spans="1:29" x14ac:dyDescent="0.2">
      <c r="A18" s="27"/>
      <c r="B18" s="27"/>
      <c r="C18" s="27"/>
      <c r="D18" s="27"/>
      <c r="E18" s="27"/>
      <c r="F18" s="44" t="s">
        <v>431</v>
      </c>
      <c r="G18" s="27"/>
      <c r="H18" s="27"/>
      <c r="I18" s="27"/>
      <c r="J18" s="27"/>
      <c r="K18" s="27"/>
      <c r="L18" s="27"/>
      <c r="M18" s="27"/>
      <c r="N18" s="27"/>
      <c r="O18" s="27"/>
      <c r="P18" s="27"/>
      <c r="Q18" s="27"/>
      <c r="R18" s="27"/>
      <c r="S18" s="27"/>
      <c r="T18" s="27"/>
      <c r="U18" s="27"/>
      <c r="V18" s="27"/>
      <c r="W18" s="27"/>
      <c r="X18" s="27"/>
      <c r="Y18" s="27"/>
      <c r="Z18" s="27"/>
      <c r="AA18" s="27"/>
      <c r="AB18" s="27"/>
      <c r="AC18" s="27"/>
    </row>
    <row r="19" spans="1:29"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row>
    <row r="20" spans="1:29" x14ac:dyDescent="0.2">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row>
    <row r="21" spans="1:29" x14ac:dyDescent="0.2">
      <c r="A21" s="27"/>
      <c r="B21" s="27" t="s">
        <v>433</v>
      </c>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row>
    <row r="22" spans="1:29" x14ac:dyDescent="0.2">
      <c r="B22" s="27" t="s">
        <v>432</v>
      </c>
      <c r="D22" s="624"/>
      <c r="E22" s="625"/>
      <c r="F22" s="625"/>
      <c r="G22" s="626"/>
      <c r="H22" s="31"/>
      <c r="I22" s="27"/>
      <c r="J22" s="27"/>
      <c r="L22" s="27"/>
      <c r="M22" s="27"/>
      <c r="N22" s="27"/>
      <c r="O22" s="27"/>
      <c r="P22" s="27"/>
      <c r="Q22" s="27"/>
      <c r="R22" s="27"/>
      <c r="S22" s="27"/>
      <c r="T22" s="27"/>
      <c r="U22" s="27"/>
      <c r="V22" s="27"/>
      <c r="W22" s="27"/>
      <c r="X22" s="27"/>
      <c r="Y22" s="27"/>
      <c r="Z22" s="27"/>
      <c r="AA22" s="27"/>
      <c r="AB22" s="27"/>
      <c r="AC22" s="27"/>
    </row>
    <row r="23" spans="1:29" x14ac:dyDescent="0.2">
      <c r="A23" s="27"/>
      <c r="B23" s="27" t="s">
        <v>611</v>
      </c>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row>
    <row r="24" spans="1:29" ht="25.15" customHeight="1" x14ac:dyDescent="0.2">
      <c r="A24" s="27"/>
      <c r="B24" s="630" t="str">
        <f>slownie(D22,"EN")</f>
        <v/>
      </c>
      <c r="C24" s="631"/>
      <c r="D24" s="631"/>
      <c r="E24" s="631"/>
      <c r="F24" s="631"/>
      <c r="G24" s="631"/>
      <c r="H24" s="631"/>
      <c r="I24" s="631"/>
      <c r="J24" s="631"/>
      <c r="K24" s="631"/>
      <c r="L24" s="631"/>
      <c r="M24" s="631"/>
      <c r="N24" s="631"/>
      <c r="O24" s="631"/>
      <c r="P24" s="631"/>
      <c r="Q24" s="632"/>
      <c r="R24" s="27"/>
      <c r="S24" s="27"/>
      <c r="T24" s="27"/>
      <c r="U24" s="27"/>
      <c r="V24" s="27"/>
      <c r="W24" s="27"/>
      <c r="X24" s="27"/>
      <c r="Y24" s="27"/>
      <c r="Z24" s="27"/>
      <c r="AA24" s="27"/>
      <c r="AB24" s="27"/>
      <c r="AC24" s="27"/>
    </row>
    <row r="25" spans="1:29" x14ac:dyDescent="0.2">
      <c r="A25" s="27"/>
      <c r="B25" s="27" t="s">
        <v>434</v>
      </c>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row>
    <row r="26" spans="1:29" x14ac:dyDescent="0.2">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row>
    <row r="27" spans="1:29" x14ac:dyDescent="0.2">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row>
    <row r="28" spans="1:29" x14ac:dyDescent="0.2">
      <c r="A28" s="27"/>
      <c r="B28" s="27"/>
      <c r="C28" s="27"/>
      <c r="D28" s="27"/>
      <c r="E28" s="27"/>
      <c r="F28" s="27"/>
      <c r="G28" s="27"/>
      <c r="H28" s="27"/>
      <c r="I28" s="27"/>
      <c r="J28" s="27"/>
      <c r="K28" s="201" t="s">
        <v>555</v>
      </c>
      <c r="M28" s="45"/>
      <c r="N28" s="27"/>
      <c r="O28" s="466" t="str">
        <f>'Dane personalne'!$D$94&amp;""</f>
        <v/>
      </c>
      <c r="P28" s="466"/>
      <c r="Q28" s="466" t="str">
        <f>'Dane personalne'!$F$94</f>
        <v/>
      </c>
      <c r="R28" s="466"/>
      <c r="S28" s="27"/>
      <c r="T28" s="27"/>
      <c r="U28" s="27"/>
      <c r="V28" s="27"/>
      <c r="W28" s="27"/>
      <c r="X28" s="27"/>
      <c r="Y28" s="27"/>
      <c r="Z28" s="27"/>
      <c r="AA28" s="27"/>
      <c r="AB28" s="27"/>
      <c r="AC28" s="27"/>
    </row>
    <row r="29" spans="1:29" x14ac:dyDescent="0.2">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row>
    <row r="30" spans="1:29" x14ac:dyDescent="0.2">
      <c r="A30" s="27"/>
      <c r="B30" s="27"/>
      <c r="C30" s="27"/>
      <c r="D30" s="27"/>
      <c r="E30" s="27"/>
      <c r="F30" s="27"/>
      <c r="G30" s="27"/>
      <c r="H30" s="27"/>
      <c r="I30" s="27"/>
      <c r="J30" s="27"/>
      <c r="K30" s="27"/>
      <c r="L30" s="27"/>
      <c r="M30" s="27"/>
      <c r="N30" s="40"/>
      <c r="O30" s="40"/>
      <c r="P30" s="40"/>
      <c r="Q30" s="40"/>
      <c r="R30" s="27"/>
      <c r="S30" s="27"/>
      <c r="T30" s="27"/>
      <c r="U30" s="27"/>
      <c r="V30" s="27"/>
      <c r="W30" s="27"/>
      <c r="X30" s="27"/>
      <c r="Y30" s="27"/>
      <c r="Z30" s="27"/>
      <c r="AA30" s="27"/>
      <c r="AB30" s="27"/>
      <c r="AC30" s="27"/>
    </row>
    <row r="31" spans="1:29" x14ac:dyDescent="0.2">
      <c r="A31" s="27"/>
      <c r="B31" s="27"/>
      <c r="C31" s="27"/>
      <c r="D31" s="27"/>
      <c r="E31" s="27"/>
      <c r="F31" s="27"/>
      <c r="G31" s="27"/>
      <c r="H31" s="27"/>
      <c r="I31" s="27"/>
      <c r="J31" s="27"/>
      <c r="K31" s="27"/>
      <c r="L31" s="27"/>
      <c r="M31" s="27"/>
      <c r="N31" s="43" t="s">
        <v>349</v>
      </c>
      <c r="O31" s="35"/>
      <c r="P31" s="35"/>
      <c r="Q31" s="35"/>
      <c r="R31" s="27"/>
      <c r="S31" s="27"/>
      <c r="T31" s="27"/>
      <c r="U31" s="27"/>
      <c r="V31" s="27"/>
      <c r="W31" s="27"/>
      <c r="X31" s="27"/>
      <c r="Y31" s="27"/>
      <c r="Z31" s="27"/>
      <c r="AA31" s="27"/>
      <c r="AB31" s="27"/>
      <c r="AC31" s="27"/>
    </row>
    <row r="32" spans="1:29" x14ac:dyDescent="0.2">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row>
    <row r="33" spans="1:29" x14ac:dyDescent="0.2">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row>
    <row r="34" spans="1:29"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row>
    <row r="35" spans="1:29"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row>
    <row r="36" spans="1:29"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row>
    <row r="37" spans="1:29"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sheetData>
  <mergeCells count="7">
    <mergeCell ref="O28:P28"/>
    <mergeCell ref="Q28:R28"/>
    <mergeCell ref="B24:Q24"/>
    <mergeCell ref="I8:Q8"/>
    <mergeCell ref="C10:K10"/>
    <mergeCell ref="L10:P10"/>
    <mergeCell ref="D22:G22"/>
  </mergeCells>
  <pageMargins left="0.70866141732283472" right="0.70866141732283472" top="0.74803149606299213" bottom="0.74803149606299213" header="0.31496062992125984" footer="0.31496062992125984"/>
  <pageSetup paperSize="9" scale="97"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C120"/>
  <sheetViews>
    <sheetView zoomScaleNormal="100" zoomScaleSheetLayoutView="80" workbookViewId="0"/>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132</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133</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c r="E11" s="43" t="s">
        <v>88</v>
      </c>
      <c r="F11" s="43"/>
      <c r="G11" s="43"/>
      <c r="H11" s="43"/>
      <c r="I11" s="43"/>
      <c r="J11" s="43"/>
      <c r="K11" s="43"/>
      <c r="L11" s="43"/>
      <c r="M11" s="43" t="s">
        <v>134</v>
      </c>
      <c r="N11" s="43"/>
      <c r="O11" s="43"/>
      <c r="P11" s="43"/>
      <c r="Q11" s="35"/>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29" x14ac:dyDescent="0.2">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row>
    <row r="18" spans="1:29" x14ac:dyDescent="0.2">
      <c r="A18" s="27"/>
      <c r="B18" s="27"/>
      <c r="C18" s="27"/>
      <c r="D18" s="27"/>
      <c r="E18" s="27"/>
      <c r="F18" s="44" t="s">
        <v>241</v>
      </c>
      <c r="G18" s="27"/>
      <c r="H18" s="27"/>
      <c r="I18" s="27"/>
      <c r="J18" s="27"/>
      <c r="K18" s="27"/>
      <c r="L18" s="27"/>
      <c r="M18" s="27"/>
      <c r="N18" s="27"/>
      <c r="O18" s="27"/>
      <c r="P18" s="27"/>
      <c r="Q18" s="27"/>
      <c r="R18" s="27"/>
      <c r="S18" s="27"/>
      <c r="T18" s="27"/>
      <c r="U18" s="27"/>
      <c r="V18" s="27"/>
      <c r="W18" s="27"/>
      <c r="X18" s="27"/>
      <c r="Y18" s="27"/>
      <c r="Z18" s="27"/>
      <c r="AA18" s="27"/>
      <c r="AB18" s="27"/>
      <c r="AC18" s="27"/>
    </row>
    <row r="19" spans="1:29" x14ac:dyDescent="0.2">
      <c r="A19" s="633" t="s">
        <v>242</v>
      </c>
      <c r="B19" s="634"/>
      <c r="C19" s="634"/>
      <c r="D19" s="634"/>
      <c r="E19" s="634"/>
      <c r="F19" s="634"/>
      <c r="G19" s="634"/>
      <c r="H19" s="634"/>
      <c r="I19" s="634"/>
      <c r="J19" s="634"/>
      <c r="K19" s="634"/>
      <c r="L19" s="634"/>
      <c r="M19" s="634"/>
      <c r="N19" s="634"/>
      <c r="O19" s="634"/>
      <c r="P19" s="634"/>
      <c r="Q19" s="634"/>
      <c r="R19" s="635"/>
      <c r="S19" s="27"/>
      <c r="T19" s="27"/>
      <c r="U19" s="27"/>
      <c r="V19" s="27"/>
      <c r="W19" s="27"/>
      <c r="X19" s="27"/>
      <c r="Y19" s="27"/>
      <c r="Z19" s="27"/>
      <c r="AA19" s="27"/>
      <c r="AB19" s="27"/>
      <c r="AC19" s="27"/>
    </row>
    <row r="20" spans="1:29" x14ac:dyDescent="0.2">
      <c r="A20" s="636"/>
      <c r="B20" s="471"/>
      <c r="C20" s="471"/>
      <c r="D20" s="471"/>
      <c r="E20" s="471"/>
      <c r="F20" s="471"/>
      <c r="G20" s="471"/>
      <c r="H20" s="471"/>
      <c r="I20" s="471"/>
      <c r="J20" s="471"/>
      <c r="K20" s="471"/>
      <c r="L20" s="471"/>
      <c r="M20" s="471"/>
      <c r="N20" s="471"/>
      <c r="O20" s="471"/>
      <c r="P20" s="471"/>
      <c r="Q20" s="471"/>
      <c r="R20" s="637"/>
      <c r="S20" s="27"/>
      <c r="T20" s="27"/>
      <c r="U20" s="27"/>
      <c r="V20" s="27"/>
      <c r="W20" s="27"/>
      <c r="X20" s="27"/>
      <c r="Y20" s="27"/>
      <c r="Z20" s="27"/>
      <c r="AA20" s="27"/>
      <c r="AB20" s="27"/>
      <c r="AC20" s="27"/>
    </row>
    <row r="21" spans="1:29" x14ac:dyDescent="0.2">
      <c r="A21" s="636"/>
      <c r="B21" s="471"/>
      <c r="C21" s="471"/>
      <c r="D21" s="471"/>
      <c r="E21" s="471"/>
      <c r="F21" s="471"/>
      <c r="G21" s="471"/>
      <c r="H21" s="471"/>
      <c r="I21" s="471"/>
      <c r="J21" s="471"/>
      <c r="K21" s="471"/>
      <c r="L21" s="471"/>
      <c r="M21" s="471"/>
      <c r="N21" s="471"/>
      <c r="O21" s="471"/>
      <c r="P21" s="471"/>
      <c r="Q21" s="471"/>
      <c r="R21" s="637"/>
      <c r="S21" s="27"/>
      <c r="T21" s="27"/>
      <c r="U21" s="27"/>
      <c r="V21" s="27"/>
      <c r="W21" s="27"/>
      <c r="X21" s="27"/>
      <c r="Y21" s="27"/>
      <c r="Z21" s="27"/>
      <c r="AA21" s="27"/>
      <c r="AB21" s="27"/>
      <c r="AC21" s="27"/>
    </row>
    <row r="22" spans="1:29" x14ac:dyDescent="0.2">
      <c r="A22" s="636"/>
      <c r="B22" s="471"/>
      <c r="C22" s="471"/>
      <c r="D22" s="471"/>
      <c r="E22" s="471"/>
      <c r="F22" s="471"/>
      <c r="G22" s="471"/>
      <c r="H22" s="471"/>
      <c r="I22" s="471"/>
      <c r="J22" s="471"/>
      <c r="K22" s="471"/>
      <c r="L22" s="471"/>
      <c r="M22" s="471"/>
      <c r="N22" s="471"/>
      <c r="O22" s="471"/>
      <c r="P22" s="471"/>
      <c r="Q22" s="471"/>
      <c r="R22" s="637"/>
      <c r="S22" s="27"/>
      <c r="T22" s="27"/>
      <c r="U22" s="27"/>
      <c r="V22" s="27"/>
      <c r="W22" s="27"/>
      <c r="X22" s="27"/>
      <c r="Y22" s="27"/>
      <c r="Z22" s="27"/>
      <c r="AA22" s="27"/>
      <c r="AB22" s="27"/>
      <c r="AC22" s="27"/>
    </row>
    <row r="23" spans="1:29" x14ac:dyDescent="0.2">
      <c r="A23" s="636"/>
      <c r="B23" s="471"/>
      <c r="C23" s="471"/>
      <c r="D23" s="471"/>
      <c r="E23" s="471"/>
      <c r="F23" s="471"/>
      <c r="G23" s="471"/>
      <c r="H23" s="471"/>
      <c r="I23" s="471"/>
      <c r="J23" s="471"/>
      <c r="K23" s="471"/>
      <c r="L23" s="471"/>
      <c r="M23" s="471"/>
      <c r="N23" s="471"/>
      <c r="O23" s="471"/>
      <c r="P23" s="471"/>
      <c r="Q23" s="471"/>
      <c r="R23" s="637"/>
      <c r="S23" s="27"/>
      <c r="T23" s="27"/>
      <c r="U23" s="27"/>
      <c r="V23" s="27"/>
      <c r="W23" s="27"/>
      <c r="X23" s="27"/>
      <c r="Y23" s="27"/>
      <c r="Z23" s="27"/>
      <c r="AA23" s="27"/>
      <c r="AB23" s="27"/>
      <c r="AC23" s="27"/>
    </row>
    <row r="24" spans="1:29" x14ac:dyDescent="0.2">
      <c r="A24" s="636"/>
      <c r="B24" s="471"/>
      <c r="C24" s="471"/>
      <c r="D24" s="471"/>
      <c r="E24" s="471"/>
      <c r="F24" s="471"/>
      <c r="G24" s="471"/>
      <c r="H24" s="471"/>
      <c r="I24" s="471"/>
      <c r="J24" s="471"/>
      <c r="K24" s="471"/>
      <c r="L24" s="471"/>
      <c r="M24" s="471"/>
      <c r="N24" s="471"/>
      <c r="O24" s="471"/>
      <c r="P24" s="471"/>
      <c r="Q24" s="471"/>
      <c r="R24" s="637"/>
      <c r="S24" s="27"/>
      <c r="T24" s="27"/>
      <c r="U24" s="27"/>
      <c r="V24" s="27"/>
      <c r="W24" s="27"/>
      <c r="X24" s="27"/>
      <c r="Y24" s="27"/>
      <c r="Z24" s="27"/>
      <c r="AA24" s="27"/>
      <c r="AB24" s="27"/>
      <c r="AC24" s="27"/>
    </row>
    <row r="25" spans="1:29" x14ac:dyDescent="0.2">
      <c r="A25" s="636"/>
      <c r="B25" s="471"/>
      <c r="C25" s="471"/>
      <c r="D25" s="471"/>
      <c r="E25" s="471"/>
      <c r="F25" s="471"/>
      <c r="G25" s="471"/>
      <c r="H25" s="471"/>
      <c r="I25" s="471"/>
      <c r="J25" s="471"/>
      <c r="K25" s="471"/>
      <c r="L25" s="471"/>
      <c r="M25" s="471"/>
      <c r="N25" s="471"/>
      <c r="O25" s="471"/>
      <c r="P25" s="471"/>
      <c r="Q25" s="471"/>
      <c r="R25" s="637"/>
      <c r="S25" s="27"/>
      <c r="T25" s="27"/>
      <c r="U25" s="27"/>
      <c r="V25" s="27"/>
      <c r="W25" s="27"/>
      <c r="X25" s="27"/>
      <c r="Y25" s="27"/>
      <c r="Z25" s="27"/>
      <c r="AA25" s="27"/>
      <c r="AB25" s="27"/>
      <c r="AC25" s="27"/>
    </row>
    <row r="26" spans="1:29" x14ac:dyDescent="0.2">
      <c r="A26" s="636"/>
      <c r="B26" s="471"/>
      <c r="C26" s="471"/>
      <c r="D26" s="471"/>
      <c r="E26" s="471"/>
      <c r="F26" s="471"/>
      <c r="G26" s="471"/>
      <c r="H26" s="471"/>
      <c r="I26" s="471"/>
      <c r="J26" s="471"/>
      <c r="K26" s="471"/>
      <c r="L26" s="471"/>
      <c r="M26" s="471"/>
      <c r="N26" s="471"/>
      <c r="O26" s="471"/>
      <c r="P26" s="471"/>
      <c r="Q26" s="471"/>
      <c r="R26" s="637"/>
      <c r="S26" s="27"/>
      <c r="T26" s="27"/>
      <c r="U26" s="27"/>
      <c r="V26" s="27"/>
      <c r="W26" s="27"/>
      <c r="X26" s="27"/>
      <c r="Y26" s="27"/>
      <c r="Z26" s="27"/>
      <c r="AA26" s="27"/>
      <c r="AB26" s="27"/>
      <c r="AC26" s="27"/>
    </row>
    <row r="27" spans="1:29" x14ac:dyDescent="0.2">
      <c r="A27" s="636"/>
      <c r="B27" s="471"/>
      <c r="C27" s="471"/>
      <c r="D27" s="471"/>
      <c r="E27" s="471"/>
      <c r="F27" s="471"/>
      <c r="G27" s="471"/>
      <c r="H27" s="471"/>
      <c r="I27" s="471"/>
      <c r="J27" s="471"/>
      <c r="K27" s="471"/>
      <c r="L27" s="471"/>
      <c r="M27" s="471"/>
      <c r="N27" s="471"/>
      <c r="O27" s="471"/>
      <c r="P27" s="471"/>
      <c r="Q27" s="471"/>
      <c r="R27" s="637"/>
      <c r="S27" s="27"/>
      <c r="T27" s="27"/>
      <c r="U27" s="27"/>
      <c r="V27" s="27"/>
      <c r="W27" s="27"/>
      <c r="X27" s="27"/>
      <c r="Y27" s="27"/>
      <c r="Z27" s="27"/>
      <c r="AA27" s="27"/>
      <c r="AB27" s="27"/>
      <c r="AC27" s="27"/>
    </row>
    <row r="28" spans="1:29" x14ac:dyDescent="0.2">
      <c r="A28" s="636"/>
      <c r="B28" s="471"/>
      <c r="C28" s="471"/>
      <c r="D28" s="471"/>
      <c r="E28" s="471"/>
      <c r="F28" s="471"/>
      <c r="G28" s="471"/>
      <c r="H28" s="471"/>
      <c r="I28" s="471"/>
      <c r="J28" s="471"/>
      <c r="K28" s="471"/>
      <c r="L28" s="471"/>
      <c r="M28" s="471"/>
      <c r="N28" s="471"/>
      <c r="O28" s="471"/>
      <c r="P28" s="471"/>
      <c r="Q28" s="471"/>
      <c r="R28" s="637"/>
      <c r="S28" s="27"/>
      <c r="T28" s="27"/>
      <c r="U28" s="27"/>
      <c r="V28" s="27"/>
      <c r="W28" s="27"/>
      <c r="X28" s="27"/>
      <c r="Y28" s="27"/>
      <c r="Z28" s="27"/>
      <c r="AA28" s="27"/>
      <c r="AB28" s="27"/>
      <c r="AC28" s="27"/>
    </row>
    <row r="29" spans="1:29" x14ac:dyDescent="0.2">
      <c r="A29" s="636"/>
      <c r="B29" s="471"/>
      <c r="C29" s="471"/>
      <c r="D29" s="471"/>
      <c r="E29" s="471"/>
      <c r="F29" s="471"/>
      <c r="G29" s="471"/>
      <c r="H29" s="471"/>
      <c r="I29" s="471"/>
      <c r="J29" s="471"/>
      <c r="K29" s="471"/>
      <c r="L29" s="471"/>
      <c r="M29" s="471"/>
      <c r="N29" s="471"/>
      <c r="O29" s="471"/>
      <c r="P29" s="471"/>
      <c r="Q29" s="471"/>
      <c r="R29" s="637"/>
      <c r="S29" s="27"/>
      <c r="T29" s="27"/>
      <c r="U29" s="27"/>
      <c r="V29" s="27"/>
      <c r="W29" s="27"/>
      <c r="X29" s="27"/>
      <c r="Y29" s="27"/>
      <c r="Z29" s="27"/>
      <c r="AA29" s="27"/>
      <c r="AB29" s="27"/>
      <c r="AC29" s="27"/>
    </row>
    <row r="30" spans="1:29" x14ac:dyDescent="0.2">
      <c r="A30" s="636"/>
      <c r="B30" s="471"/>
      <c r="C30" s="471"/>
      <c r="D30" s="471"/>
      <c r="E30" s="471"/>
      <c r="F30" s="471"/>
      <c r="G30" s="471"/>
      <c r="H30" s="471"/>
      <c r="I30" s="471"/>
      <c r="J30" s="471"/>
      <c r="K30" s="471"/>
      <c r="L30" s="471"/>
      <c r="M30" s="471"/>
      <c r="N30" s="471"/>
      <c r="O30" s="471"/>
      <c r="P30" s="471"/>
      <c r="Q30" s="471"/>
      <c r="R30" s="637"/>
      <c r="S30" s="27"/>
      <c r="T30" s="27"/>
      <c r="U30" s="27"/>
      <c r="V30" s="27"/>
      <c r="W30" s="27"/>
      <c r="X30" s="27"/>
      <c r="Y30" s="27"/>
      <c r="Z30" s="27"/>
      <c r="AA30" s="27"/>
      <c r="AB30" s="27"/>
      <c r="AC30" s="27"/>
    </row>
    <row r="31" spans="1:29" x14ac:dyDescent="0.2">
      <c r="A31" s="636"/>
      <c r="B31" s="471"/>
      <c r="C31" s="471"/>
      <c r="D31" s="471"/>
      <c r="E31" s="471"/>
      <c r="F31" s="471"/>
      <c r="G31" s="471"/>
      <c r="H31" s="471"/>
      <c r="I31" s="471"/>
      <c r="J31" s="471"/>
      <c r="K31" s="471"/>
      <c r="L31" s="471"/>
      <c r="M31" s="471"/>
      <c r="N31" s="471"/>
      <c r="O31" s="471"/>
      <c r="P31" s="471"/>
      <c r="Q31" s="471"/>
      <c r="R31" s="637"/>
      <c r="S31" s="27"/>
      <c r="T31" s="27"/>
      <c r="U31" s="27"/>
      <c r="V31" s="27"/>
      <c r="W31" s="27"/>
      <c r="X31" s="27"/>
      <c r="Y31" s="27"/>
      <c r="Z31" s="27"/>
      <c r="AA31" s="27"/>
      <c r="AB31" s="27"/>
      <c r="AC31" s="27"/>
    </row>
    <row r="32" spans="1:29" x14ac:dyDescent="0.2">
      <c r="A32" s="636"/>
      <c r="B32" s="471"/>
      <c r="C32" s="471"/>
      <c r="D32" s="471"/>
      <c r="E32" s="471"/>
      <c r="F32" s="471"/>
      <c r="G32" s="471"/>
      <c r="H32" s="471"/>
      <c r="I32" s="471"/>
      <c r="J32" s="471"/>
      <c r="K32" s="471"/>
      <c r="L32" s="471"/>
      <c r="M32" s="471"/>
      <c r="N32" s="471"/>
      <c r="O32" s="471"/>
      <c r="P32" s="471"/>
      <c r="Q32" s="471"/>
      <c r="R32" s="637"/>
      <c r="S32" s="27"/>
      <c r="T32" s="27"/>
      <c r="U32" s="27"/>
      <c r="V32" s="27"/>
      <c r="W32" s="27"/>
      <c r="X32" s="27"/>
      <c r="Y32" s="27"/>
      <c r="Z32" s="27"/>
      <c r="AA32" s="27"/>
      <c r="AB32" s="27"/>
      <c r="AC32" s="27"/>
    </row>
    <row r="33" spans="1:29" x14ac:dyDescent="0.2">
      <c r="A33" s="636"/>
      <c r="B33" s="471"/>
      <c r="C33" s="471"/>
      <c r="D33" s="471"/>
      <c r="E33" s="471"/>
      <c r="F33" s="471"/>
      <c r="G33" s="471"/>
      <c r="H33" s="471"/>
      <c r="I33" s="471"/>
      <c r="J33" s="471"/>
      <c r="K33" s="471"/>
      <c r="L33" s="471"/>
      <c r="M33" s="471"/>
      <c r="N33" s="471"/>
      <c r="O33" s="471"/>
      <c r="P33" s="471"/>
      <c r="Q33" s="471"/>
      <c r="R33" s="637"/>
      <c r="S33" s="27"/>
      <c r="T33" s="27"/>
      <c r="U33" s="27"/>
      <c r="V33" s="27"/>
      <c r="W33" s="27"/>
      <c r="X33" s="27"/>
      <c r="Y33" s="27"/>
      <c r="Z33" s="27"/>
      <c r="AA33" s="27"/>
      <c r="AB33" s="27"/>
      <c r="AC33" s="27"/>
    </row>
    <row r="34" spans="1:29" x14ac:dyDescent="0.2">
      <c r="A34" s="636"/>
      <c r="B34" s="471"/>
      <c r="C34" s="471"/>
      <c r="D34" s="471"/>
      <c r="E34" s="471"/>
      <c r="F34" s="471"/>
      <c r="G34" s="471"/>
      <c r="H34" s="471"/>
      <c r="I34" s="471"/>
      <c r="J34" s="471"/>
      <c r="K34" s="471"/>
      <c r="L34" s="471"/>
      <c r="M34" s="471"/>
      <c r="N34" s="471"/>
      <c r="O34" s="471"/>
      <c r="P34" s="471"/>
      <c r="Q34" s="471"/>
      <c r="R34" s="637"/>
      <c r="S34" s="27"/>
      <c r="T34" s="27"/>
      <c r="U34" s="27"/>
      <c r="V34" s="27"/>
      <c r="W34" s="27"/>
      <c r="X34" s="27"/>
      <c r="Y34" s="27"/>
      <c r="Z34" s="27"/>
      <c r="AA34" s="27"/>
      <c r="AB34" s="27"/>
      <c r="AC34" s="27"/>
    </row>
    <row r="35" spans="1:29" x14ac:dyDescent="0.2">
      <c r="A35" s="638"/>
      <c r="B35" s="639"/>
      <c r="C35" s="639"/>
      <c r="D35" s="639"/>
      <c r="E35" s="639"/>
      <c r="F35" s="639"/>
      <c r="G35" s="639"/>
      <c r="H35" s="639"/>
      <c r="I35" s="639"/>
      <c r="J35" s="639"/>
      <c r="K35" s="639"/>
      <c r="L35" s="639"/>
      <c r="M35" s="639"/>
      <c r="N35" s="639"/>
      <c r="O35" s="639"/>
      <c r="P35" s="639"/>
      <c r="Q35" s="639"/>
      <c r="R35" s="640"/>
      <c r="S35" s="27"/>
      <c r="T35" s="27"/>
      <c r="U35" s="27"/>
      <c r="V35" s="27"/>
      <c r="W35" s="27"/>
      <c r="X35" s="27"/>
      <c r="Y35" s="27"/>
      <c r="Z35" s="27"/>
      <c r="AA35" s="27"/>
      <c r="AB35" s="27"/>
      <c r="AC35" s="27"/>
    </row>
    <row r="36" spans="1:29"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row>
    <row r="37" spans="1:29" x14ac:dyDescent="0.2">
      <c r="A37" s="27"/>
      <c r="B37" s="27"/>
      <c r="C37" s="27"/>
      <c r="D37" s="27"/>
      <c r="E37" s="27"/>
      <c r="F37" s="27"/>
      <c r="G37" s="27"/>
      <c r="H37" s="27"/>
      <c r="I37" s="27"/>
      <c r="J37" s="27"/>
      <c r="K37" s="27"/>
      <c r="L37" s="27"/>
      <c r="M37" s="27"/>
      <c r="N37" s="466" t="str">
        <f>'Dane personalne'!$D$94&amp;""</f>
        <v/>
      </c>
      <c r="O37" s="466"/>
      <c r="P37" s="466" t="str">
        <f>'Dane personalne'!$F$94</f>
        <v/>
      </c>
      <c r="Q37" s="466"/>
      <c r="R37" s="27"/>
      <c r="S37" s="27"/>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43" t="s">
        <v>240</v>
      </c>
      <c r="O38" s="35"/>
      <c r="P38" s="35"/>
      <c r="Q38" s="35"/>
      <c r="R38" s="27"/>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row r="114" spans="1:29"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row>
    <row r="115" spans="1:29"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row>
    <row r="116" spans="1:29"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row>
    <row r="117" spans="1:29"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row>
    <row r="118" spans="1:29"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row>
    <row r="119" spans="1:29"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row>
    <row r="120" spans="1:29"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row>
  </sheetData>
  <mergeCells count="6">
    <mergeCell ref="A19:R35"/>
    <mergeCell ref="I8:Q8"/>
    <mergeCell ref="C10:K10"/>
    <mergeCell ref="L10:P10"/>
    <mergeCell ref="N37:O37"/>
    <mergeCell ref="P37:Q37"/>
  </mergeCells>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AC120"/>
  <sheetViews>
    <sheetView zoomScaleNormal="100" zoomScaleSheetLayoutView="80" workbookViewId="0"/>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436</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429</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t="s">
        <v>382</v>
      </c>
      <c r="E11" s="43"/>
      <c r="F11" s="43"/>
      <c r="G11" s="43"/>
      <c r="H11" s="43"/>
      <c r="I11" s="43"/>
      <c r="J11" s="43"/>
      <c r="K11" s="43"/>
      <c r="L11" s="120"/>
      <c r="M11" s="167" t="s">
        <v>430</v>
      </c>
      <c r="N11" s="167"/>
      <c r="O11" s="120"/>
      <c r="P11" s="120"/>
      <c r="Q11" s="168"/>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169"/>
      <c r="M12" s="169"/>
      <c r="N12" s="120"/>
      <c r="O12" s="120"/>
      <c r="P12" s="169"/>
      <c r="Q12" s="169"/>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169"/>
      <c r="M13" s="169"/>
      <c r="N13" s="169"/>
      <c r="O13" s="169"/>
      <c r="P13" s="169"/>
      <c r="Q13" s="169"/>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169"/>
      <c r="M14" s="169"/>
      <c r="N14" s="169"/>
      <c r="O14" s="169"/>
      <c r="P14" s="169"/>
      <c r="Q14" s="169"/>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29" x14ac:dyDescent="0.2">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row>
    <row r="18" spans="1:29" x14ac:dyDescent="0.2">
      <c r="A18" s="27"/>
      <c r="B18" s="27"/>
      <c r="C18" s="27"/>
      <c r="D18" s="27"/>
      <c r="E18" s="27"/>
      <c r="F18" s="44" t="s">
        <v>435</v>
      </c>
      <c r="G18" s="27"/>
      <c r="H18" s="27"/>
      <c r="I18" s="27"/>
      <c r="J18" s="27"/>
      <c r="K18" s="27"/>
      <c r="L18" s="27"/>
      <c r="M18" s="27"/>
      <c r="N18" s="27"/>
      <c r="O18" s="27"/>
      <c r="P18" s="27"/>
      <c r="Q18" s="27"/>
      <c r="R18" s="27"/>
      <c r="S18" s="27"/>
      <c r="T18" s="27"/>
      <c r="U18" s="27"/>
      <c r="V18" s="27"/>
      <c r="W18" s="27"/>
      <c r="X18" s="27"/>
      <c r="Y18" s="27"/>
      <c r="Z18" s="27"/>
      <c r="AA18" s="27"/>
      <c r="AB18" s="27"/>
      <c r="AC18" s="27"/>
    </row>
    <row r="19" spans="1:29" ht="14.25" customHeight="1" x14ac:dyDescent="0.2">
      <c r="A19" s="633" t="s">
        <v>602</v>
      </c>
      <c r="B19" s="634"/>
      <c r="C19" s="634"/>
      <c r="D19" s="634"/>
      <c r="E19" s="634"/>
      <c r="F19" s="634"/>
      <c r="G19" s="634"/>
      <c r="H19" s="634"/>
      <c r="I19" s="634"/>
      <c r="J19" s="634"/>
      <c r="K19" s="634"/>
      <c r="L19" s="634"/>
      <c r="M19" s="634"/>
      <c r="N19" s="634"/>
      <c r="O19" s="634"/>
      <c r="P19" s="634"/>
      <c r="Q19" s="634"/>
      <c r="R19" s="635"/>
      <c r="S19" s="27"/>
      <c r="T19" s="27"/>
      <c r="U19" s="27"/>
      <c r="V19" s="27"/>
      <c r="W19" s="27"/>
      <c r="X19" s="27"/>
      <c r="Y19" s="27"/>
      <c r="Z19" s="27"/>
      <c r="AA19" s="27"/>
      <c r="AB19" s="27"/>
      <c r="AC19" s="27"/>
    </row>
    <row r="20" spans="1:29" x14ac:dyDescent="0.2">
      <c r="A20" s="636"/>
      <c r="B20" s="471"/>
      <c r="C20" s="471"/>
      <c r="D20" s="471"/>
      <c r="E20" s="471"/>
      <c r="F20" s="471"/>
      <c r="G20" s="471"/>
      <c r="H20" s="471"/>
      <c r="I20" s="471"/>
      <c r="J20" s="471"/>
      <c r="K20" s="471"/>
      <c r="L20" s="471"/>
      <c r="M20" s="471"/>
      <c r="N20" s="471"/>
      <c r="O20" s="471"/>
      <c r="P20" s="471"/>
      <c r="Q20" s="471"/>
      <c r="R20" s="637"/>
      <c r="S20" s="27"/>
      <c r="T20" s="27"/>
      <c r="U20" s="27"/>
      <c r="V20" s="27"/>
      <c r="W20" s="27"/>
      <c r="X20" s="27"/>
      <c r="Y20" s="27"/>
      <c r="Z20" s="27"/>
      <c r="AA20" s="27"/>
      <c r="AB20" s="27"/>
      <c r="AC20" s="27"/>
    </row>
    <row r="21" spans="1:29" x14ac:dyDescent="0.2">
      <c r="A21" s="636"/>
      <c r="B21" s="471"/>
      <c r="C21" s="471"/>
      <c r="D21" s="471"/>
      <c r="E21" s="471"/>
      <c r="F21" s="471"/>
      <c r="G21" s="471"/>
      <c r="H21" s="471"/>
      <c r="I21" s="471"/>
      <c r="J21" s="471"/>
      <c r="K21" s="471"/>
      <c r="L21" s="471"/>
      <c r="M21" s="471"/>
      <c r="N21" s="471"/>
      <c r="O21" s="471"/>
      <c r="P21" s="471"/>
      <c r="Q21" s="471"/>
      <c r="R21" s="637"/>
      <c r="S21" s="27"/>
      <c r="T21" s="27"/>
      <c r="U21" s="27"/>
      <c r="V21" s="27"/>
      <c r="W21" s="27"/>
      <c r="X21" s="27"/>
      <c r="Y21" s="27"/>
      <c r="Z21" s="27"/>
      <c r="AA21" s="27"/>
      <c r="AB21" s="27"/>
      <c r="AC21" s="27"/>
    </row>
    <row r="22" spans="1:29" x14ac:dyDescent="0.2">
      <c r="A22" s="636"/>
      <c r="B22" s="471"/>
      <c r="C22" s="471"/>
      <c r="D22" s="471"/>
      <c r="E22" s="471"/>
      <c r="F22" s="471"/>
      <c r="G22" s="471"/>
      <c r="H22" s="471"/>
      <c r="I22" s="471"/>
      <c r="J22" s="471"/>
      <c r="K22" s="471"/>
      <c r="L22" s="471"/>
      <c r="M22" s="471"/>
      <c r="N22" s="471"/>
      <c r="O22" s="471"/>
      <c r="P22" s="471"/>
      <c r="Q22" s="471"/>
      <c r="R22" s="637"/>
      <c r="S22" s="27"/>
      <c r="T22" s="27"/>
      <c r="U22" s="27"/>
      <c r="V22" s="27"/>
      <c r="W22" s="27"/>
      <c r="X22" s="27"/>
      <c r="Y22" s="27"/>
      <c r="Z22" s="27"/>
      <c r="AA22" s="27"/>
      <c r="AB22" s="27"/>
      <c r="AC22" s="27"/>
    </row>
    <row r="23" spans="1:29" x14ac:dyDescent="0.2">
      <c r="A23" s="636"/>
      <c r="B23" s="471"/>
      <c r="C23" s="471"/>
      <c r="D23" s="471"/>
      <c r="E23" s="471"/>
      <c r="F23" s="471"/>
      <c r="G23" s="471"/>
      <c r="H23" s="471"/>
      <c r="I23" s="471"/>
      <c r="J23" s="471"/>
      <c r="K23" s="471"/>
      <c r="L23" s="471"/>
      <c r="M23" s="471"/>
      <c r="N23" s="471"/>
      <c r="O23" s="471"/>
      <c r="P23" s="471"/>
      <c r="Q23" s="471"/>
      <c r="R23" s="637"/>
      <c r="S23" s="27"/>
      <c r="T23" s="27"/>
      <c r="U23" s="27"/>
      <c r="V23" s="27"/>
      <c r="W23" s="27"/>
      <c r="X23" s="27"/>
      <c r="Y23" s="27"/>
      <c r="Z23" s="27"/>
      <c r="AA23" s="27"/>
      <c r="AB23" s="27"/>
      <c r="AC23" s="27"/>
    </row>
    <row r="24" spans="1:29" x14ac:dyDescent="0.2">
      <c r="A24" s="636"/>
      <c r="B24" s="471"/>
      <c r="C24" s="471"/>
      <c r="D24" s="471"/>
      <c r="E24" s="471"/>
      <c r="F24" s="471"/>
      <c r="G24" s="471"/>
      <c r="H24" s="471"/>
      <c r="I24" s="471"/>
      <c r="J24" s="471"/>
      <c r="K24" s="471"/>
      <c r="L24" s="471"/>
      <c r="M24" s="471"/>
      <c r="N24" s="471"/>
      <c r="O24" s="471"/>
      <c r="P24" s="471"/>
      <c r="Q24" s="471"/>
      <c r="R24" s="637"/>
      <c r="S24" s="27"/>
      <c r="T24" s="27"/>
      <c r="U24" s="27"/>
      <c r="V24" s="27"/>
      <c r="W24" s="27"/>
      <c r="X24" s="27"/>
      <c r="Y24" s="27"/>
      <c r="Z24" s="27"/>
      <c r="AA24" s="27"/>
      <c r="AB24" s="27"/>
      <c r="AC24" s="27"/>
    </row>
    <row r="25" spans="1:29" x14ac:dyDescent="0.2">
      <c r="A25" s="636"/>
      <c r="B25" s="471"/>
      <c r="C25" s="471"/>
      <c r="D25" s="471"/>
      <c r="E25" s="471"/>
      <c r="F25" s="471"/>
      <c r="G25" s="471"/>
      <c r="H25" s="471"/>
      <c r="I25" s="471"/>
      <c r="J25" s="471"/>
      <c r="K25" s="471"/>
      <c r="L25" s="471"/>
      <c r="M25" s="471"/>
      <c r="N25" s="471"/>
      <c r="O25" s="471"/>
      <c r="P25" s="471"/>
      <c r="Q25" s="471"/>
      <c r="R25" s="637"/>
      <c r="S25" s="27"/>
      <c r="T25" s="27"/>
      <c r="U25" s="27"/>
      <c r="V25" s="27"/>
      <c r="W25" s="27"/>
      <c r="X25" s="27"/>
      <c r="Y25" s="27"/>
      <c r="Z25" s="27"/>
      <c r="AA25" s="27"/>
      <c r="AB25" s="27"/>
      <c r="AC25" s="27"/>
    </row>
    <row r="26" spans="1:29" x14ac:dyDescent="0.2">
      <c r="A26" s="636"/>
      <c r="B26" s="471"/>
      <c r="C26" s="471"/>
      <c r="D26" s="471"/>
      <c r="E26" s="471"/>
      <c r="F26" s="471"/>
      <c r="G26" s="471"/>
      <c r="H26" s="471"/>
      <c r="I26" s="471"/>
      <c r="J26" s="471"/>
      <c r="K26" s="471"/>
      <c r="L26" s="471"/>
      <c r="M26" s="471"/>
      <c r="N26" s="471"/>
      <c r="O26" s="471"/>
      <c r="P26" s="471"/>
      <c r="Q26" s="471"/>
      <c r="R26" s="637"/>
      <c r="S26" s="27"/>
      <c r="T26" s="27"/>
      <c r="U26" s="27"/>
      <c r="V26" s="27"/>
      <c r="W26" s="27"/>
      <c r="X26" s="27"/>
      <c r="Y26" s="27"/>
      <c r="Z26" s="27"/>
      <c r="AA26" s="27"/>
      <c r="AB26" s="27"/>
      <c r="AC26" s="27"/>
    </row>
    <row r="27" spans="1:29" x14ac:dyDescent="0.2">
      <c r="A27" s="636"/>
      <c r="B27" s="471"/>
      <c r="C27" s="471"/>
      <c r="D27" s="471"/>
      <c r="E27" s="471"/>
      <c r="F27" s="471"/>
      <c r="G27" s="471"/>
      <c r="H27" s="471"/>
      <c r="I27" s="471"/>
      <c r="J27" s="471"/>
      <c r="K27" s="471"/>
      <c r="L27" s="471"/>
      <c r="M27" s="471"/>
      <c r="N27" s="471"/>
      <c r="O27" s="471"/>
      <c r="P27" s="471"/>
      <c r="Q27" s="471"/>
      <c r="R27" s="637"/>
      <c r="S27" s="27"/>
      <c r="T27" s="27"/>
      <c r="U27" s="27"/>
      <c r="V27" s="27"/>
      <c r="W27" s="27"/>
      <c r="X27" s="27"/>
      <c r="Y27" s="27"/>
      <c r="Z27" s="27"/>
      <c r="AA27" s="27"/>
      <c r="AB27" s="27"/>
      <c r="AC27" s="27"/>
    </row>
    <row r="28" spans="1:29" x14ac:dyDescent="0.2">
      <c r="A28" s="636"/>
      <c r="B28" s="471"/>
      <c r="C28" s="471"/>
      <c r="D28" s="471"/>
      <c r="E28" s="471"/>
      <c r="F28" s="471"/>
      <c r="G28" s="471"/>
      <c r="H28" s="471"/>
      <c r="I28" s="471"/>
      <c r="J28" s="471"/>
      <c r="K28" s="471"/>
      <c r="L28" s="471"/>
      <c r="M28" s="471"/>
      <c r="N28" s="471"/>
      <c r="O28" s="471"/>
      <c r="P28" s="471"/>
      <c r="Q28" s="471"/>
      <c r="R28" s="637"/>
      <c r="S28" s="27"/>
      <c r="T28" s="27"/>
      <c r="U28" s="27"/>
      <c r="V28" s="27"/>
      <c r="W28" s="27"/>
      <c r="X28" s="27"/>
      <c r="Y28" s="27"/>
      <c r="Z28" s="27"/>
      <c r="AA28" s="27"/>
      <c r="AB28" s="27"/>
      <c r="AC28" s="27"/>
    </row>
    <row r="29" spans="1:29" x14ac:dyDescent="0.2">
      <c r="A29" s="636"/>
      <c r="B29" s="471"/>
      <c r="C29" s="471"/>
      <c r="D29" s="471"/>
      <c r="E29" s="471"/>
      <c r="F29" s="471"/>
      <c r="G29" s="471"/>
      <c r="H29" s="471"/>
      <c r="I29" s="471"/>
      <c r="J29" s="471"/>
      <c r="K29" s="471"/>
      <c r="L29" s="471"/>
      <c r="M29" s="471"/>
      <c r="N29" s="471"/>
      <c r="O29" s="471"/>
      <c r="P29" s="471"/>
      <c r="Q29" s="471"/>
      <c r="R29" s="637"/>
      <c r="S29" s="27"/>
      <c r="T29" s="27"/>
      <c r="U29" s="27"/>
      <c r="V29" s="27"/>
      <c r="W29" s="27"/>
      <c r="X29" s="27"/>
      <c r="Y29" s="27"/>
      <c r="Z29" s="27"/>
      <c r="AA29" s="27"/>
      <c r="AB29" s="27"/>
      <c r="AC29" s="27"/>
    </row>
    <row r="30" spans="1:29" x14ac:dyDescent="0.2">
      <c r="A30" s="636"/>
      <c r="B30" s="471"/>
      <c r="C30" s="471"/>
      <c r="D30" s="471"/>
      <c r="E30" s="471"/>
      <c r="F30" s="471"/>
      <c r="G30" s="471"/>
      <c r="H30" s="471"/>
      <c r="I30" s="471"/>
      <c r="J30" s="471"/>
      <c r="K30" s="471"/>
      <c r="L30" s="471"/>
      <c r="M30" s="471"/>
      <c r="N30" s="471"/>
      <c r="O30" s="471"/>
      <c r="P30" s="471"/>
      <c r="Q30" s="471"/>
      <c r="R30" s="637"/>
      <c r="S30" s="27"/>
      <c r="T30" s="27"/>
      <c r="U30" s="27"/>
      <c r="V30" s="27"/>
      <c r="W30" s="27"/>
      <c r="X30" s="27"/>
      <c r="Y30" s="27"/>
      <c r="Z30" s="27"/>
      <c r="AA30" s="27"/>
      <c r="AB30" s="27"/>
      <c r="AC30" s="27"/>
    </row>
    <row r="31" spans="1:29" x14ac:dyDescent="0.2">
      <c r="A31" s="636"/>
      <c r="B31" s="471"/>
      <c r="C31" s="471"/>
      <c r="D31" s="471"/>
      <c r="E31" s="471"/>
      <c r="F31" s="471"/>
      <c r="G31" s="471"/>
      <c r="H31" s="471"/>
      <c r="I31" s="471"/>
      <c r="J31" s="471"/>
      <c r="K31" s="471"/>
      <c r="L31" s="471"/>
      <c r="M31" s="471"/>
      <c r="N31" s="471"/>
      <c r="O31" s="471"/>
      <c r="P31" s="471"/>
      <c r="Q31" s="471"/>
      <c r="R31" s="637"/>
      <c r="S31" s="27"/>
      <c r="T31" s="27"/>
      <c r="U31" s="27"/>
      <c r="V31" s="27"/>
      <c r="W31" s="27"/>
      <c r="X31" s="27"/>
      <c r="Y31" s="27"/>
      <c r="Z31" s="27"/>
      <c r="AA31" s="27"/>
      <c r="AB31" s="27"/>
      <c r="AC31" s="27"/>
    </row>
    <row r="32" spans="1:29" x14ac:dyDescent="0.2">
      <c r="A32" s="636"/>
      <c r="B32" s="471"/>
      <c r="C32" s="471"/>
      <c r="D32" s="471"/>
      <c r="E32" s="471"/>
      <c r="F32" s="471"/>
      <c r="G32" s="471"/>
      <c r="H32" s="471"/>
      <c r="I32" s="471"/>
      <c r="J32" s="471"/>
      <c r="K32" s="471"/>
      <c r="L32" s="471"/>
      <c r="M32" s="471"/>
      <c r="N32" s="471"/>
      <c r="O32" s="471"/>
      <c r="P32" s="471"/>
      <c r="Q32" s="471"/>
      <c r="R32" s="637"/>
      <c r="S32" s="27"/>
      <c r="T32" s="27"/>
      <c r="U32" s="27"/>
      <c r="V32" s="27"/>
      <c r="W32" s="27"/>
      <c r="X32" s="27"/>
      <c r="Y32" s="27"/>
      <c r="Z32" s="27"/>
      <c r="AA32" s="27"/>
      <c r="AB32" s="27"/>
      <c r="AC32" s="27"/>
    </row>
    <row r="33" spans="1:29" x14ac:dyDescent="0.2">
      <c r="A33" s="636"/>
      <c r="B33" s="471"/>
      <c r="C33" s="471"/>
      <c r="D33" s="471"/>
      <c r="E33" s="471"/>
      <c r="F33" s="471"/>
      <c r="G33" s="471"/>
      <c r="H33" s="471"/>
      <c r="I33" s="471"/>
      <c r="J33" s="471"/>
      <c r="K33" s="471"/>
      <c r="L33" s="471"/>
      <c r="M33" s="471"/>
      <c r="N33" s="471"/>
      <c r="O33" s="471"/>
      <c r="P33" s="471"/>
      <c r="Q33" s="471"/>
      <c r="R33" s="637"/>
      <c r="S33" s="27"/>
      <c r="T33" s="27"/>
      <c r="U33" s="27"/>
      <c r="V33" s="27"/>
      <c r="W33" s="27"/>
      <c r="X33" s="27"/>
      <c r="Y33" s="27"/>
      <c r="Z33" s="27"/>
      <c r="AA33" s="27"/>
      <c r="AB33" s="27"/>
      <c r="AC33" s="27"/>
    </row>
    <row r="34" spans="1:29" x14ac:dyDescent="0.2">
      <c r="A34" s="636"/>
      <c r="B34" s="471"/>
      <c r="C34" s="471"/>
      <c r="D34" s="471"/>
      <c r="E34" s="471"/>
      <c r="F34" s="471"/>
      <c r="G34" s="471"/>
      <c r="H34" s="471"/>
      <c r="I34" s="471"/>
      <c r="J34" s="471"/>
      <c r="K34" s="471"/>
      <c r="L34" s="471"/>
      <c r="M34" s="471"/>
      <c r="N34" s="471"/>
      <c r="O34" s="471"/>
      <c r="P34" s="471"/>
      <c r="Q34" s="471"/>
      <c r="R34" s="637"/>
      <c r="S34" s="27"/>
      <c r="T34" s="27"/>
      <c r="U34" s="27"/>
      <c r="V34" s="27"/>
      <c r="W34" s="27"/>
      <c r="X34" s="27"/>
      <c r="Y34" s="27"/>
      <c r="Z34" s="27"/>
      <c r="AA34" s="27"/>
      <c r="AB34" s="27"/>
      <c r="AC34" s="27"/>
    </row>
    <row r="35" spans="1:29" x14ac:dyDescent="0.2">
      <c r="A35" s="638"/>
      <c r="B35" s="639"/>
      <c r="C35" s="639"/>
      <c r="D35" s="639"/>
      <c r="E35" s="639"/>
      <c r="F35" s="639"/>
      <c r="G35" s="639"/>
      <c r="H35" s="639"/>
      <c r="I35" s="639"/>
      <c r="J35" s="639"/>
      <c r="K35" s="639"/>
      <c r="L35" s="639"/>
      <c r="M35" s="639"/>
      <c r="N35" s="639"/>
      <c r="O35" s="639"/>
      <c r="P35" s="639"/>
      <c r="Q35" s="639"/>
      <c r="R35" s="640"/>
      <c r="S35" s="27"/>
      <c r="T35" s="27"/>
      <c r="U35" s="27"/>
      <c r="V35" s="27"/>
      <c r="W35" s="27"/>
      <c r="X35" s="27"/>
      <c r="Y35" s="27"/>
      <c r="Z35" s="27"/>
      <c r="AA35" s="27"/>
      <c r="AB35" s="27"/>
      <c r="AC35" s="27"/>
    </row>
    <row r="36" spans="1:29"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row>
    <row r="37" spans="1:29" x14ac:dyDescent="0.2">
      <c r="A37" s="27"/>
      <c r="B37" s="27"/>
      <c r="C37" s="27"/>
      <c r="D37" s="27"/>
      <c r="E37" s="27"/>
      <c r="F37" s="27"/>
      <c r="G37" s="27"/>
      <c r="H37" s="27"/>
      <c r="I37" s="27"/>
      <c r="J37" s="27"/>
      <c r="K37" s="27"/>
      <c r="L37" s="27"/>
      <c r="M37" s="27"/>
      <c r="N37" s="466" t="str">
        <f>'Dane personalne'!$D$94&amp;""</f>
        <v/>
      </c>
      <c r="O37" s="466"/>
      <c r="P37" s="466" t="str">
        <f>'Dane personalne'!$F$94</f>
        <v/>
      </c>
      <c r="Q37" s="466"/>
      <c r="R37" s="27"/>
      <c r="S37" s="27"/>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43" t="s">
        <v>470</v>
      </c>
      <c r="O38" s="35"/>
      <c r="P38" s="35"/>
      <c r="Q38" s="35"/>
      <c r="R38" s="27"/>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row r="114" spans="1:29"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row>
    <row r="115" spans="1:29"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row>
    <row r="116" spans="1:29"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row>
    <row r="117" spans="1:29"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row>
    <row r="118" spans="1:29"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row>
    <row r="119" spans="1:29"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row>
    <row r="120" spans="1:29"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row>
  </sheetData>
  <mergeCells count="6">
    <mergeCell ref="I8:Q8"/>
    <mergeCell ref="C10:K10"/>
    <mergeCell ref="L10:P10"/>
    <mergeCell ref="A19:R35"/>
    <mergeCell ref="N37:O37"/>
    <mergeCell ref="P37:Q37"/>
  </mergeCells>
  <pageMargins left="0.70866141732283472" right="0.70866141732283472" top="0.74803149606299213" bottom="0.74803149606299213" header="0.31496062992125984" footer="0.31496062992125984"/>
  <pageSetup paperSize="9" orientation="portrait" r:id="rId1"/>
  <rowBreaks count="1" manualBreakCount="1">
    <brk id="59" max="17"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C112"/>
  <sheetViews>
    <sheetView zoomScaleNormal="100" zoomScaleSheetLayoutView="80" workbookViewId="0"/>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8.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132</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133</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c r="E11" s="43" t="s">
        <v>88</v>
      </c>
      <c r="F11" s="43"/>
      <c r="G11" s="43"/>
      <c r="H11" s="43"/>
      <c r="I11" s="43"/>
      <c r="J11" s="43"/>
      <c r="K11" s="43"/>
      <c r="L11" s="43"/>
      <c r="M11" s="43" t="s">
        <v>134</v>
      </c>
      <c r="N11" s="43"/>
      <c r="O11" s="43"/>
      <c r="P11" s="43"/>
      <c r="Q11" s="35"/>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29" x14ac:dyDescent="0.2">
      <c r="A17" s="27"/>
      <c r="B17" s="27"/>
      <c r="C17" s="27"/>
      <c r="D17" s="27"/>
      <c r="E17" s="27"/>
      <c r="F17" s="44" t="s">
        <v>441</v>
      </c>
      <c r="G17" s="27"/>
      <c r="H17" s="27"/>
      <c r="I17" s="27"/>
      <c r="J17" s="27"/>
      <c r="K17" s="27"/>
      <c r="L17" s="27"/>
      <c r="M17" s="27"/>
      <c r="N17" s="27"/>
      <c r="O17" s="27"/>
      <c r="P17" s="27"/>
      <c r="Q17" s="27"/>
      <c r="R17" s="27"/>
      <c r="S17" s="27"/>
      <c r="T17" s="27"/>
      <c r="U17" s="27"/>
      <c r="V17" s="27"/>
      <c r="W17" s="27"/>
      <c r="X17" s="27"/>
      <c r="Y17" s="27"/>
      <c r="Z17" s="27"/>
      <c r="AA17" s="27"/>
      <c r="AB17" s="27"/>
      <c r="AC17" s="27"/>
    </row>
    <row r="18" spans="1:29" x14ac:dyDescent="0.2">
      <c r="A18" s="27"/>
      <c r="B18" s="27"/>
      <c r="C18" s="27"/>
      <c r="D18" s="27"/>
      <c r="E18" s="27"/>
      <c r="F18" s="44" t="s">
        <v>442</v>
      </c>
      <c r="G18" s="27"/>
      <c r="H18" s="27"/>
      <c r="I18" s="27"/>
      <c r="J18" s="27"/>
      <c r="K18" s="27"/>
      <c r="L18" s="27"/>
      <c r="M18" s="27"/>
      <c r="N18" s="27"/>
      <c r="O18" s="27"/>
      <c r="P18" s="27"/>
      <c r="Q18" s="27"/>
      <c r="R18" s="27"/>
      <c r="S18" s="27"/>
      <c r="T18" s="27"/>
      <c r="U18" s="27"/>
      <c r="V18" s="27"/>
      <c r="W18" s="27"/>
      <c r="X18" s="27"/>
      <c r="Y18" s="27"/>
      <c r="Z18" s="27"/>
      <c r="AA18" s="27"/>
      <c r="AB18" s="27"/>
      <c r="AC18" s="27"/>
    </row>
    <row r="19" spans="1:29"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row>
    <row r="20" spans="1:29" x14ac:dyDescent="0.2">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row>
    <row r="21" spans="1:29" x14ac:dyDescent="0.2">
      <c r="A21" s="27"/>
      <c r="B21" s="642" t="s">
        <v>440</v>
      </c>
      <c r="C21" s="643"/>
      <c r="D21" s="643"/>
      <c r="E21" s="643"/>
      <c r="F21" s="643"/>
      <c r="G21" s="643"/>
      <c r="H21" s="643"/>
      <c r="I21" s="643"/>
      <c r="J21" s="643"/>
      <c r="K21" s="643"/>
      <c r="L21" s="643"/>
      <c r="M21" s="643"/>
      <c r="N21" s="643"/>
      <c r="O21" s="643"/>
      <c r="P21" s="643"/>
      <c r="Q21" s="643"/>
      <c r="R21" s="643"/>
      <c r="S21" s="644"/>
      <c r="T21" s="27"/>
      <c r="U21" s="27"/>
      <c r="V21" s="27"/>
      <c r="W21" s="27"/>
      <c r="X21" s="27"/>
      <c r="Y21" s="27"/>
      <c r="Z21" s="27"/>
      <c r="AA21" s="27"/>
      <c r="AB21" s="27"/>
      <c r="AC21" s="27"/>
    </row>
    <row r="22" spans="1:29" x14ac:dyDescent="0.2">
      <c r="A22" s="27"/>
      <c r="B22" s="645"/>
      <c r="C22" s="563"/>
      <c r="D22" s="563"/>
      <c r="E22" s="563"/>
      <c r="F22" s="563"/>
      <c r="G22" s="563"/>
      <c r="H22" s="563"/>
      <c r="I22" s="563"/>
      <c r="J22" s="563"/>
      <c r="K22" s="563"/>
      <c r="L22" s="563"/>
      <c r="M22" s="563"/>
      <c r="N22" s="563"/>
      <c r="O22" s="563"/>
      <c r="P22" s="563"/>
      <c r="Q22" s="563"/>
      <c r="R22" s="563"/>
      <c r="S22" s="646"/>
      <c r="T22" s="27"/>
      <c r="U22" s="27"/>
      <c r="V22" s="27"/>
      <c r="W22" s="27"/>
      <c r="X22" s="27"/>
      <c r="Y22" s="27"/>
      <c r="Z22" s="27"/>
      <c r="AA22" s="27"/>
      <c r="AB22" s="27"/>
      <c r="AC22" s="27"/>
    </row>
    <row r="23" spans="1:29" x14ac:dyDescent="0.2">
      <c r="A23" s="27"/>
      <c r="B23" s="645"/>
      <c r="C23" s="563"/>
      <c r="D23" s="563"/>
      <c r="E23" s="563"/>
      <c r="F23" s="563"/>
      <c r="G23" s="563"/>
      <c r="H23" s="563"/>
      <c r="I23" s="563"/>
      <c r="J23" s="563"/>
      <c r="K23" s="563"/>
      <c r="L23" s="563"/>
      <c r="M23" s="563"/>
      <c r="N23" s="563"/>
      <c r="O23" s="563"/>
      <c r="P23" s="563"/>
      <c r="Q23" s="563"/>
      <c r="R23" s="563"/>
      <c r="S23" s="646"/>
      <c r="T23" s="27"/>
      <c r="U23" s="27"/>
      <c r="V23" s="27"/>
      <c r="W23" s="27"/>
      <c r="X23" s="27"/>
      <c r="Y23" s="27"/>
      <c r="Z23" s="27"/>
      <c r="AA23" s="27"/>
      <c r="AB23" s="27"/>
      <c r="AC23" s="27"/>
    </row>
    <row r="24" spans="1:29" x14ac:dyDescent="0.2">
      <c r="A24" s="27"/>
      <c r="B24" s="645"/>
      <c r="C24" s="563"/>
      <c r="D24" s="563"/>
      <c r="E24" s="563"/>
      <c r="F24" s="563"/>
      <c r="G24" s="563"/>
      <c r="H24" s="563"/>
      <c r="I24" s="563"/>
      <c r="J24" s="563"/>
      <c r="K24" s="563"/>
      <c r="L24" s="563"/>
      <c r="M24" s="563"/>
      <c r="N24" s="563"/>
      <c r="O24" s="563"/>
      <c r="P24" s="563"/>
      <c r="Q24" s="563"/>
      <c r="R24" s="563"/>
      <c r="S24" s="646"/>
      <c r="T24" s="27"/>
      <c r="U24" s="27"/>
      <c r="V24" s="27"/>
      <c r="W24" s="27"/>
      <c r="X24" s="27"/>
      <c r="Y24" s="27"/>
      <c r="Z24" s="27"/>
      <c r="AA24" s="27"/>
      <c r="AB24" s="27"/>
      <c r="AC24" s="27"/>
    </row>
    <row r="25" spans="1:29" x14ac:dyDescent="0.2">
      <c r="A25" s="27"/>
      <c r="B25" s="645"/>
      <c r="C25" s="563"/>
      <c r="D25" s="563"/>
      <c r="E25" s="563"/>
      <c r="F25" s="563"/>
      <c r="G25" s="563"/>
      <c r="H25" s="563"/>
      <c r="I25" s="563"/>
      <c r="J25" s="563"/>
      <c r="K25" s="563"/>
      <c r="L25" s="563"/>
      <c r="M25" s="563"/>
      <c r="N25" s="563"/>
      <c r="O25" s="563"/>
      <c r="P25" s="563"/>
      <c r="Q25" s="563"/>
      <c r="R25" s="563"/>
      <c r="S25" s="646"/>
      <c r="T25" s="27"/>
      <c r="U25" s="27"/>
      <c r="V25" s="27"/>
      <c r="W25" s="27"/>
      <c r="X25" s="27"/>
      <c r="Y25" s="27"/>
      <c r="Z25" s="27"/>
      <c r="AA25" s="27"/>
      <c r="AB25" s="27"/>
      <c r="AC25" s="27"/>
    </row>
    <row r="26" spans="1:29" x14ac:dyDescent="0.2">
      <c r="A26" s="27"/>
      <c r="B26" s="645"/>
      <c r="C26" s="563"/>
      <c r="D26" s="563"/>
      <c r="E26" s="563"/>
      <c r="F26" s="563"/>
      <c r="G26" s="563"/>
      <c r="H26" s="563"/>
      <c r="I26" s="563"/>
      <c r="J26" s="563"/>
      <c r="K26" s="563"/>
      <c r="L26" s="563"/>
      <c r="M26" s="563"/>
      <c r="N26" s="563"/>
      <c r="O26" s="563"/>
      <c r="P26" s="563"/>
      <c r="Q26" s="563"/>
      <c r="R26" s="563"/>
      <c r="S26" s="646"/>
      <c r="T26" s="27"/>
      <c r="U26" s="27"/>
      <c r="V26" s="27"/>
      <c r="W26" s="27"/>
      <c r="X26" s="27"/>
      <c r="Y26" s="27"/>
      <c r="Z26" s="27"/>
      <c r="AA26" s="27"/>
      <c r="AB26" s="27"/>
      <c r="AC26" s="27"/>
    </row>
    <row r="27" spans="1:29" x14ac:dyDescent="0.2">
      <c r="A27" s="27"/>
      <c r="B27" s="645"/>
      <c r="C27" s="563"/>
      <c r="D27" s="563"/>
      <c r="E27" s="563"/>
      <c r="F27" s="563"/>
      <c r="G27" s="563"/>
      <c r="H27" s="563"/>
      <c r="I27" s="563"/>
      <c r="J27" s="563"/>
      <c r="K27" s="563"/>
      <c r="L27" s="563"/>
      <c r="M27" s="563"/>
      <c r="N27" s="563"/>
      <c r="O27" s="563"/>
      <c r="P27" s="563"/>
      <c r="Q27" s="563"/>
      <c r="R27" s="563"/>
      <c r="S27" s="646"/>
      <c r="T27" s="27"/>
      <c r="U27" s="27"/>
      <c r="V27" s="27"/>
      <c r="W27" s="27"/>
      <c r="X27" s="27"/>
      <c r="Y27" s="27"/>
      <c r="Z27" s="27"/>
      <c r="AA27" s="27"/>
      <c r="AB27" s="27"/>
      <c r="AC27" s="27"/>
    </row>
    <row r="28" spans="1:29" x14ac:dyDescent="0.2">
      <c r="A28" s="27"/>
      <c r="B28" s="645"/>
      <c r="C28" s="563"/>
      <c r="D28" s="563"/>
      <c r="E28" s="563"/>
      <c r="F28" s="563"/>
      <c r="G28" s="563"/>
      <c r="H28" s="563"/>
      <c r="I28" s="563"/>
      <c r="J28" s="563"/>
      <c r="K28" s="563"/>
      <c r="L28" s="563"/>
      <c r="M28" s="563"/>
      <c r="N28" s="563"/>
      <c r="O28" s="563"/>
      <c r="P28" s="563"/>
      <c r="Q28" s="563"/>
      <c r="R28" s="563"/>
      <c r="S28" s="646"/>
      <c r="T28" s="27"/>
      <c r="U28" s="27"/>
      <c r="V28" s="27"/>
      <c r="W28" s="27"/>
      <c r="X28" s="27"/>
      <c r="Y28" s="27"/>
      <c r="Z28" s="27"/>
      <c r="AA28" s="27"/>
      <c r="AB28" s="27"/>
      <c r="AC28" s="27"/>
    </row>
    <row r="29" spans="1:29" x14ac:dyDescent="0.2">
      <c r="A29" s="27"/>
      <c r="B29" s="645"/>
      <c r="C29" s="563"/>
      <c r="D29" s="563"/>
      <c r="E29" s="563"/>
      <c r="F29" s="563"/>
      <c r="G29" s="563"/>
      <c r="H29" s="563"/>
      <c r="I29" s="563"/>
      <c r="J29" s="563"/>
      <c r="K29" s="563"/>
      <c r="L29" s="563"/>
      <c r="M29" s="563"/>
      <c r="N29" s="563"/>
      <c r="O29" s="563"/>
      <c r="P29" s="563"/>
      <c r="Q29" s="563"/>
      <c r="R29" s="563"/>
      <c r="S29" s="646"/>
      <c r="T29" s="27"/>
      <c r="U29" s="27"/>
      <c r="V29" s="27"/>
      <c r="W29" s="27"/>
      <c r="X29" s="27"/>
      <c r="Y29" s="27"/>
      <c r="Z29" s="27"/>
      <c r="AA29" s="27"/>
      <c r="AB29" s="27"/>
      <c r="AC29" s="27"/>
    </row>
    <row r="30" spans="1:29" x14ac:dyDescent="0.2">
      <c r="A30" s="27"/>
      <c r="B30" s="647"/>
      <c r="C30" s="648"/>
      <c r="D30" s="648"/>
      <c r="E30" s="648"/>
      <c r="F30" s="648"/>
      <c r="G30" s="648"/>
      <c r="H30" s="648"/>
      <c r="I30" s="648"/>
      <c r="J30" s="648"/>
      <c r="K30" s="648"/>
      <c r="L30" s="648"/>
      <c r="M30" s="648"/>
      <c r="N30" s="648"/>
      <c r="O30" s="648"/>
      <c r="P30" s="648"/>
      <c r="Q30" s="648"/>
      <c r="R30" s="648"/>
      <c r="S30" s="649"/>
      <c r="T30" s="27"/>
      <c r="U30" s="27"/>
      <c r="V30" s="27"/>
      <c r="W30" s="27"/>
      <c r="X30" s="27"/>
      <c r="Y30" s="27"/>
      <c r="Z30" s="27"/>
      <c r="AA30" s="27"/>
      <c r="AB30" s="27"/>
      <c r="AC30" s="27"/>
    </row>
    <row r="31" spans="1:29" x14ac:dyDescent="0.2">
      <c r="A31" s="27"/>
      <c r="B31" s="27"/>
      <c r="C31" s="181"/>
      <c r="D31" s="181"/>
      <c r="E31" s="181"/>
      <c r="F31" s="181"/>
      <c r="G31" s="181"/>
      <c r="H31" s="181"/>
      <c r="I31" s="181"/>
      <c r="J31" s="181"/>
      <c r="K31" s="181"/>
      <c r="L31" s="181"/>
      <c r="M31" s="181"/>
      <c r="N31" s="181"/>
      <c r="O31" s="181"/>
      <c r="P31" s="181"/>
      <c r="Q31" s="181"/>
      <c r="R31" s="181"/>
      <c r="S31" s="181"/>
      <c r="T31" s="181"/>
      <c r="U31" s="181"/>
      <c r="V31" s="27"/>
      <c r="W31" s="27"/>
      <c r="X31" s="27"/>
      <c r="Y31" s="27"/>
      <c r="Z31" s="27"/>
      <c r="AA31" s="27"/>
      <c r="AB31" s="27"/>
      <c r="AC31" s="27"/>
    </row>
    <row r="32" spans="1:29" x14ac:dyDescent="0.2">
      <c r="A32" s="27"/>
      <c r="B32" s="27"/>
      <c r="C32" s="181"/>
      <c r="D32" s="181"/>
      <c r="E32" s="181"/>
      <c r="F32" s="181"/>
      <c r="G32" s="181"/>
      <c r="H32" s="181"/>
      <c r="I32" s="181"/>
      <c r="J32" s="181"/>
      <c r="K32" s="181"/>
      <c r="L32" s="181"/>
      <c r="M32" s="181"/>
      <c r="N32" s="181"/>
      <c r="O32" s="181"/>
      <c r="P32" s="181"/>
      <c r="Q32" s="181"/>
      <c r="R32" s="181"/>
      <c r="S32" s="181"/>
      <c r="T32" s="181"/>
      <c r="U32" s="181"/>
      <c r="V32" s="27"/>
      <c r="W32" s="27"/>
      <c r="X32" s="27"/>
      <c r="Y32" s="27"/>
      <c r="Z32" s="27"/>
      <c r="AA32" s="27"/>
      <c r="AB32" s="27"/>
      <c r="AC32" s="27"/>
    </row>
    <row r="33" spans="1:29" x14ac:dyDescent="0.2">
      <c r="A33" s="27"/>
      <c r="B33" s="27"/>
      <c r="C33" s="181"/>
      <c r="D33" s="181"/>
      <c r="E33" s="181"/>
      <c r="F33" s="181"/>
      <c r="G33" s="181"/>
      <c r="H33" s="181"/>
      <c r="I33" s="181"/>
      <c r="J33" s="181"/>
      <c r="K33" s="181"/>
      <c r="L33" s="181"/>
      <c r="M33" s="181"/>
      <c r="N33" s="181"/>
      <c r="O33" s="181"/>
      <c r="P33" s="181"/>
      <c r="Q33" s="181"/>
      <c r="R33" s="181"/>
      <c r="S33" s="181"/>
      <c r="T33" s="181"/>
      <c r="U33" s="181"/>
      <c r="V33" s="27"/>
      <c r="W33" s="27"/>
      <c r="X33" s="27"/>
      <c r="Y33" s="27"/>
      <c r="Z33" s="27"/>
      <c r="AA33" s="27"/>
      <c r="AB33" s="27"/>
      <c r="AC33" s="27"/>
    </row>
    <row r="34" spans="1:29" x14ac:dyDescent="0.2">
      <c r="A34" s="27"/>
      <c r="B34" s="27"/>
      <c r="C34" s="181"/>
      <c r="D34" s="181"/>
      <c r="E34" s="169"/>
      <c r="F34" s="182"/>
      <c r="G34" s="183"/>
      <c r="H34" s="183"/>
      <c r="I34" s="184"/>
      <c r="J34" s="169"/>
      <c r="K34" s="169"/>
      <c r="L34" s="169"/>
      <c r="M34" s="169"/>
      <c r="N34" s="169"/>
      <c r="O34" s="182"/>
      <c r="P34" s="183"/>
      <c r="Q34" s="183"/>
      <c r="R34" s="183"/>
      <c r="S34" s="184"/>
      <c r="T34" s="169"/>
      <c r="U34" s="181"/>
      <c r="V34" s="27"/>
      <c r="W34" s="27"/>
      <c r="X34" s="27"/>
      <c r="Y34" s="27"/>
      <c r="Z34" s="27"/>
      <c r="AA34" s="27"/>
      <c r="AB34" s="27"/>
      <c r="AC34" s="27"/>
    </row>
    <row r="35" spans="1:29" x14ac:dyDescent="0.2">
      <c r="A35" s="27"/>
      <c r="B35" s="27"/>
      <c r="C35" s="181"/>
      <c r="D35" s="181"/>
      <c r="E35" s="183"/>
      <c r="F35" s="183"/>
      <c r="G35" s="183"/>
      <c r="H35" s="183"/>
      <c r="I35" s="183"/>
      <c r="J35" s="183"/>
      <c r="K35" s="183"/>
      <c r="L35" s="183"/>
      <c r="M35" s="183"/>
      <c r="N35" s="183"/>
      <c r="O35" s="183"/>
      <c r="P35" s="183"/>
      <c r="Q35" s="183"/>
      <c r="R35" s="183"/>
      <c r="S35" s="184"/>
      <c r="T35" s="169"/>
      <c r="U35" s="181"/>
      <c r="V35" s="27"/>
      <c r="W35" s="27"/>
      <c r="X35" s="27"/>
      <c r="Y35" s="27"/>
      <c r="Z35" s="27"/>
      <c r="AA35" s="27"/>
      <c r="AB35" s="27"/>
      <c r="AC35" s="27"/>
    </row>
    <row r="36" spans="1:29" x14ac:dyDescent="0.2">
      <c r="A36" s="27"/>
      <c r="B36" s="27"/>
      <c r="C36" s="181"/>
      <c r="D36" s="46"/>
      <c r="E36" s="169"/>
      <c r="F36" s="169"/>
      <c r="G36" s="169"/>
      <c r="H36" s="169"/>
      <c r="I36" s="169"/>
      <c r="J36" s="169"/>
      <c r="K36" s="169"/>
      <c r="L36" s="169"/>
      <c r="M36" s="169"/>
      <c r="N36" s="169"/>
      <c r="O36" s="169"/>
      <c r="P36" s="169"/>
      <c r="Q36" s="169"/>
      <c r="R36" s="169"/>
      <c r="S36" s="169"/>
      <c r="T36" s="169"/>
      <c r="U36" s="181"/>
      <c r="V36" s="27"/>
      <c r="W36" s="27"/>
      <c r="X36" s="27"/>
      <c r="Y36" s="27"/>
      <c r="Z36" s="27"/>
      <c r="AA36" s="27"/>
      <c r="AB36" s="27"/>
      <c r="AC36" s="27"/>
    </row>
    <row r="37" spans="1:29"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27"/>
      <c r="P39" s="45" t="s">
        <v>554</v>
      </c>
      <c r="Q39" s="181"/>
      <c r="R39" s="641" t="str">
        <f>'Dane personalne'!$D$94&amp;""</f>
        <v/>
      </c>
      <c r="S39" s="641"/>
      <c r="T39" s="641" t="str">
        <f>'Dane personalne'!$F$94</f>
        <v/>
      </c>
      <c r="U39" s="641"/>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27"/>
      <c r="O41" s="27"/>
      <c r="P41" s="40"/>
      <c r="Q41" s="40"/>
      <c r="R41" s="40"/>
      <c r="S41" s="40"/>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43" t="s">
        <v>349</v>
      </c>
      <c r="Q42" s="35"/>
      <c r="R42" s="35"/>
      <c r="S42" s="35"/>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sheetData>
  <mergeCells count="6">
    <mergeCell ref="T39:U39"/>
    <mergeCell ref="I8:Q8"/>
    <mergeCell ref="C10:K10"/>
    <mergeCell ref="L10:P10"/>
    <mergeCell ref="B21:S30"/>
    <mergeCell ref="R39:S39"/>
  </mergeCells>
  <pageMargins left="0.75" right="0.75" top="1" bottom="1" header="0.5" footer="0.5"/>
  <pageSetup paperSize="9" scale="8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F122"/>
  <sheetViews>
    <sheetView zoomScaleNormal="100" zoomScaleSheetLayoutView="80" workbookViewId="0"/>
  </sheetViews>
  <sheetFormatPr defaultColWidth="9.140625" defaultRowHeight="12.75" x14ac:dyDescent="0.2"/>
  <cols>
    <col min="1" max="1" width="9.140625" style="2"/>
    <col min="2" max="13" width="3" style="2" customWidth="1"/>
    <col min="14" max="14" width="3.7109375" style="2" customWidth="1"/>
    <col min="15" max="15" width="9.7109375" style="2" customWidth="1"/>
    <col min="16" max="16" width="4.5703125" style="2" customWidth="1"/>
    <col min="17" max="17" width="9.140625" style="2"/>
    <col min="18" max="18" width="10.7109375" style="2" customWidth="1"/>
    <col min="19" max="19" width="7.5703125" style="2" customWidth="1"/>
    <col min="20" max="20" width="3.28515625" style="2" customWidth="1"/>
    <col min="21" max="21" width="3.42578125" style="2" customWidth="1"/>
    <col min="22" max="22" width="3" style="2" customWidth="1"/>
    <col min="23" max="16384" width="9.140625" style="2"/>
  </cols>
  <sheetData>
    <row r="1" spans="1:29" x14ac:dyDescent="0.2">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x14ac:dyDescent="0.2">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row>
    <row r="3" spans="1:29" x14ac:dyDescent="0.2">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row>
    <row r="4" spans="1:29" x14ac:dyDescent="0.2">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row>
    <row r="5" spans="1:29" ht="13.5" thickBot="1" x14ac:dyDescent="0.25">
      <c r="A5" s="28"/>
      <c r="B5" s="28"/>
      <c r="C5" s="28"/>
      <c r="D5" s="28"/>
      <c r="E5" s="28"/>
      <c r="F5" s="28"/>
      <c r="G5" s="28"/>
      <c r="H5" s="28"/>
      <c r="I5" s="28"/>
      <c r="J5" s="28"/>
      <c r="K5" s="28"/>
      <c r="L5" s="28"/>
      <c r="M5" s="28"/>
      <c r="N5" s="28"/>
      <c r="O5" s="28"/>
      <c r="P5" s="28"/>
      <c r="Q5" s="28"/>
      <c r="R5" s="28"/>
      <c r="S5" s="27"/>
      <c r="T5" s="27"/>
      <c r="U5" s="27"/>
      <c r="V5" s="27"/>
      <c r="W5" s="27"/>
      <c r="X5" s="27"/>
      <c r="Y5" s="27"/>
      <c r="Z5" s="27"/>
      <c r="AA5" s="27"/>
      <c r="AB5" s="27"/>
      <c r="AC5" s="27"/>
    </row>
    <row r="6" spans="1:29" x14ac:dyDescent="0.2">
      <c r="A6" s="29"/>
      <c r="B6" s="29"/>
      <c r="C6" s="29"/>
      <c r="D6" s="29"/>
      <c r="E6" s="29"/>
      <c r="F6" s="29"/>
      <c r="G6" s="29"/>
      <c r="H6" s="29"/>
      <c r="I6" s="29"/>
      <c r="J6" s="29"/>
      <c r="K6" s="29"/>
      <c r="L6" s="29"/>
      <c r="M6" s="29"/>
      <c r="N6" s="29"/>
      <c r="O6" s="29"/>
      <c r="P6" s="29"/>
      <c r="Q6" s="29"/>
      <c r="R6" s="29"/>
      <c r="S6" s="27"/>
      <c r="T6" s="27"/>
      <c r="U6" s="27"/>
      <c r="V6" s="27"/>
      <c r="W6" s="27"/>
      <c r="X6" s="27"/>
      <c r="Y6" s="27"/>
      <c r="Z6" s="27"/>
      <c r="AA6" s="27"/>
      <c r="AB6" s="27"/>
      <c r="AC6" s="27"/>
    </row>
    <row r="7" spans="1:29" x14ac:dyDescent="0.2">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row>
    <row r="8" spans="1:29" x14ac:dyDescent="0.2">
      <c r="A8" s="27" t="s">
        <v>436</v>
      </c>
      <c r="B8" s="27"/>
      <c r="C8" s="27"/>
      <c r="D8" s="27"/>
      <c r="E8" s="27"/>
      <c r="F8" s="27"/>
      <c r="G8" s="40"/>
      <c r="H8" s="41"/>
      <c r="I8" s="627" t="str">
        <f>CONCATENATE('Dane personalne'!D11," ",'Dane personalne'!D12)</f>
        <v xml:space="preserve"> </v>
      </c>
      <c r="J8" s="628"/>
      <c r="K8" s="628"/>
      <c r="L8" s="628"/>
      <c r="M8" s="628"/>
      <c r="N8" s="628"/>
      <c r="O8" s="628"/>
      <c r="P8" s="628"/>
      <c r="Q8" s="629"/>
      <c r="R8" s="27"/>
      <c r="S8" s="27"/>
      <c r="T8" s="27"/>
      <c r="U8" s="27"/>
      <c r="V8" s="27"/>
      <c r="W8" s="27"/>
      <c r="X8" s="27"/>
      <c r="Y8" s="27"/>
      <c r="Z8" s="27"/>
      <c r="AA8" s="27"/>
      <c r="AB8" s="27"/>
      <c r="AC8" s="27"/>
    </row>
    <row r="9" spans="1:29" x14ac:dyDescent="0.2">
      <c r="A9" s="27"/>
      <c r="B9" s="27"/>
      <c r="C9" s="27"/>
      <c r="D9" s="27"/>
      <c r="E9" s="27"/>
      <c r="F9" s="27"/>
      <c r="G9" s="35"/>
      <c r="H9" s="35"/>
      <c r="I9" s="35"/>
      <c r="J9" s="35"/>
      <c r="K9" s="35"/>
      <c r="L9" s="35"/>
      <c r="M9" s="35"/>
      <c r="N9" s="35"/>
      <c r="O9" s="35"/>
      <c r="P9" s="35"/>
      <c r="Q9" s="35"/>
      <c r="R9" s="27"/>
      <c r="S9" s="27"/>
      <c r="T9" s="27"/>
      <c r="U9" s="27"/>
      <c r="V9" s="27"/>
      <c r="W9" s="27"/>
      <c r="X9" s="27"/>
      <c r="Y9" s="27"/>
      <c r="Z9" s="27"/>
      <c r="AA9" s="27"/>
      <c r="AB9" s="27"/>
      <c r="AC9" s="27"/>
    </row>
    <row r="10" spans="1:29" x14ac:dyDescent="0.2">
      <c r="A10" s="27" t="s">
        <v>429</v>
      </c>
      <c r="B10" s="40"/>
      <c r="C10" s="627" t="str">
        <f>'1.Kwestionariusz'!L65</f>
        <v/>
      </c>
      <c r="D10" s="628"/>
      <c r="E10" s="628"/>
      <c r="F10" s="628"/>
      <c r="G10" s="628"/>
      <c r="H10" s="628"/>
      <c r="I10" s="628"/>
      <c r="J10" s="628"/>
      <c r="K10" s="628"/>
      <c r="L10" s="627" t="str">
        <f>'1.Kwestionariusz'!A68</f>
        <v/>
      </c>
      <c r="M10" s="628"/>
      <c r="N10" s="628"/>
      <c r="O10" s="628"/>
      <c r="P10" s="628"/>
      <c r="Q10" s="70" t="str">
        <f>'1.Kwestionariusz'!P68&amp;"  "&amp;'1.Kwestionariusz'!U68</f>
        <v xml:space="preserve">  </v>
      </c>
      <c r="R10" s="42"/>
      <c r="S10" s="27"/>
      <c r="T10" s="27"/>
      <c r="U10" s="27"/>
      <c r="V10" s="27"/>
      <c r="W10" s="27"/>
      <c r="X10" s="27"/>
      <c r="Y10" s="27"/>
      <c r="Z10" s="27"/>
      <c r="AA10" s="27"/>
      <c r="AB10" s="27"/>
      <c r="AC10" s="27"/>
    </row>
    <row r="11" spans="1:29" x14ac:dyDescent="0.2">
      <c r="A11" s="27"/>
      <c r="B11" s="35"/>
      <c r="C11" s="35"/>
      <c r="D11" s="43" t="s">
        <v>382</v>
      </c>
      <c r="E11" s="43"/>
      <c r="F11" s="43"/>
      <c r="G11" s="43"/>
      <c r="H11" s="43"/>
      <c r="I11" s="43"/>
      <c r="J11" s="43"/>
      <c r="K11" s="43"/>
      <c r="L11" s="120"/>
      <c r="M11" s="167" t="s">
        <v>430</v>
      </c>
      <c r="N11" s="167"/>
      <c r="O11" s="120"/>
      <c r="P11" s="120"/>
      <c r="Q11" s="168"/>
      <c r="R11" s="27"/>
      <c r="S11" s="27"/>
      <c r="T11" s="27"/>
      <c r="U11" s="27"/>
      <c r="V11" s="27"/>
      <c r="W11" s="27"/>
      <c r="X11" s="27"/>
      <c r="Y11" s="27"/>
      <c r="Z11" s="27"/>
      <c r="AA11" s="27"/>
      <c r="AB11" s="27"/>
      <c r="AC11" s="27"/>
    </row>
    <row r="12" spans="1:29" x14ac:dyDescent="0.2">
      <c r="A12" s="27"/>
      <c r="B12" s="27"/>
      <c r="C12" s="27"/>
      <c r="D12" s="27"/>
      <c r="E12" s="27"/>
      <c r="F12" s="27"/>
      <c r="G12" s="27"/>
      <c r="H12" s="27"/>
      <c r="I12" s="27"/>
      <c r="J12" s="27"/>
      <c r="K12" s="27"/>
      <c r="L12" s="169"/>
      <c r="M12" s="169"/>
      <c r="N12" s="120"/>
      <c r="O12" s="120"/>
      <c r="P12" s="169"/>
      <c r="Q12" s="169"/>
      <c r="R12" s="27"/>
      <c r="S12" s="27"/>
      <c r="T12" s="27"/>
      <c r="U12" s="27"/>
      <c r="V12" s="27"/>
      <c r="W12" s="27"/>
      <c r="X12" s="27"/>
      <c r="Y12" s="27"/>
      <c r="Z12" s="27"/>
      <c r="AA12" s="27"/>
      <c r="AB12" s="27"/>
      <c r="AC12" s="27"/>
    </row>
    <row r="13" spans="1:29" x14ac:dyDescent="0.2">
      <c r="A13" s="27"/>
      <c r="B13" s="27"/>
      <c r="C13" s="27"/>
      <c r="D13" s="27"/>
      <c r="E13" s="27"/>
      <c r="F13" s="27"/>
      <c r="G13" s="27"/>
      <c r="H13" s="27"/>
      <c r="I13" s="27"/>
      <c r="J13" s="27"/>
      <c r="K13" s="27"/>
      <c r="L13" s="169"/>
      <c r="M13" s="169"/>
      <c r="N13" s="169"/>
      <c r="O13" s="169"/>
      <c r="P13" s="169"/>
      <c r="Q13" s="169"/>
      <c r="R13" s="27"/>
      <c r="S13" s="27"/>
      <c r="T13" s="27"/>
      <c r="U13" s="27"/>
      <c r="V13" s="27"/>
      <c r="W13" s="27"/>
      <c r="X13" s="27"/>
      <c r="Y13" s="27"/>
      <c r="Z13" s="27"/>
      <c r="AA13" s="27"/>
      <c r="AB13" s="27"/>
      <c r="AC13" s="27"/>
    </row>
    <row r="14" spans="1:29" x14ac:dyDescent="0.2">
      <c r="A14" s="27"/>
      <c r="B14" s="27"/>
      <c r="C14" s="27"/>
      <c r="D14" s="27"/>
      <c r="E14" s="27"/>
      <c r="F14" s="27"/>
      <c r="G14" s="27"/>
      <c r="H14" s="27"/>
      <c r="I14" s="27"/>
      <c r="J14" s="27"/>
      <c r="K14" s="27"/>
      <c r="L14" s="169"/>
      <c r="M14" s="169"/>
      <c r="N14" s="169"/>
      <c r="O14" s="169"/>
      <c r="P14" s="169"/>
      <c r="Q14" s="169"/>
      <c r="R14" s="27"/>
      <c r="S14" s="27"/>
      <c r="T14" s="27"/>
      <c r="U14" s="27"/>
      <c r="V14" s="27"/>
      <c r="W14" s="27"/>
      <c r="X14" s="27"/>
      <c r="Y14" s="27"/>
      <c r="Z14" s="27"/>
      <c r="AA14" s="27"/>
      <c r="AB14" s="27"/>
      <c r="AC14" s="27"/>
    </row>
    <row r="15" spans="1:29" x14ac:dyDescent="0.2">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row>
    <row r="16" spans="1:29" x14ac:dyDescent="0.2">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row>
    <row r="17" spans="1:32" x14ac:dyDescent="0.2">
      <c r="A17" s="27"/>
      <c r="B17" s="27"/>
      <c r="C17" s="27"/>
      <c r="D17" s="27"/>
      <c r="E17" s="27"/>
      <c r="F17" s="44" t="s">
        <v>437</v>
      </c>
      <c r="G17" s="27"/>
      <c r="H17" s="27"/>
      <c r="I17" s="27"/>
      <c r="J17" s="27"/>
      <c r="K17" s="27"/>
      <c r="L17" s="27"/>
      <c r="M17" s="27"/>
      <c r="N17" s="27"/>
      <c r="O17" s="27"/>
      <c r="P17" s="27"/>
      <c r="Q17" s="27"/>
      <c r="R17" s="27"/>
      <c r="S17" s="27"/>
      <c r="T17" s="27"/>
      <c r="U17" s="27"/>
      <c r="V17" s="27"/>
      <c r="W17" s="27"/>
      <c r="X17" s="27"/>
      <c r="Y17" s="27"/>
      <c r="Z17" s="27"/>
      <c r="AA17" s="27"/>
      <c r="AB17" s="27"/>
      <c r="AC17" s="27"/>
    </row>
    <row r="18" spans="1:32" x14ac:dyDescent="0.2">
      <c r="A18" s="27"/>
      <c r="B18" s="27"/>
      <c r="C18" s="27"/>
      <c r="D18" s="27"/>
      <c r="E18" s="27"/>
      <c r="F18" s="44" t="s">
        <v>438</v>
      </c>
      <c r="G18" s="27"/>
      <c r="H18" s="27"/>
      <c r="I18" s="27"/>
      <c r="J18" s="27"/>
      <c r="K18" s="27"/>
      <c r="L18" s="27"/>
      <c r="M18" s="27"/>
      <c r="N18" s="27"/>
      <c r="O18" s="27"/>
      <c r="P18" s="27"/>
      <c r="Q18" s="27"/>
      <c r="R18" s="27"/>
      <c r="S18" s="27"/>
      <c r="T18" s="27"/>
      <c r="U18" s="27"/>
      <c r="V18" s="27"/>
      <c r="W18" s="27"/>
      <c r="X18" s="27"/>
      <c r="Y18" s="27"/>
      <c r="Z18" s="27"/>
      <c r="AA18" s="27"/>
      <c r="AB18" s="27"/>
      <c r="AC18" s="27"/>
    </row>
    <row r="19" spans="1:32" x14ac:dyDescent="0.2">
      <c r="A19" s="206"/>
      <c r="B19" s="207"/>
      <c r="C19" s="207"/>
      <c r="D19" s="207"/>
      <c r="E19" s="207"/>
      <c r="F19" s="208"/>
      <c r="G19" s="207"/>
      <c r="H19" s="207"/>
      <c r="I19" s="207"/>
      <c r="J19" s="207"/>
      <c r="K19" s="207"/>
      <c r="L19" s="207"/>
      <c r="M19" s="207"/>
      <c r="N19" s="207"/>
      <c r="O19" s="207"/>
      <c r="P19" s="207"/>
      <c r="Q19" s="207"/>
      <c r="R19" s="209"/>
      <c r="S19" s="169"/>
      <c r="T19" s="169"/>
      <c r="U19" s="169"/>
      <c r="V19" s="169"/>
      <c r="W19" s="169"/>
      <c r="X19" s="169"/>
      <c r="Y19" s="169"/>
      <c r="Z19" s="169"/>
      <c r="AA19" s="169"/>
      <c r="AB19" s="169"/>
      <c r="AC19" s="169"/>
    </row>
    <row r="20" spans="1:32" x14ac:dyDescent="0.2">
      <c r="A20" s="206"/>
      <c r="B20" s="207"/>
      <c r="C20" s="207"/>
      <c r="D20" s="207"/>
      <c r="E20" s="207"/>
      <c r="F20" s="208"/>
      <c r="G20" s="207"/>
      <c r="H20" s="207"/>
      <c r="I20" s="207"/>
      <c r="J20" s="207"/>
      <c r="K20" s="207"/>
      <c r="L20" s="207"/>
      <c r="M20" s="207"/>
      <c r="N20" s="207"/>
      <c r="O20" s="207"/>
      <c r="P20" s="207"/>
      <c r="Q20" s="207"/>
      <c r="R20" s="209"/>
      <c r="S20" s="169"/>
      <c r="T20" s="169"/>
      <c r="U20" s="169"/>
      <c r="V20" s="169"/>
      <c r="W20" s="169"/>
      <c r="X20" s="169"/>
      <c r="Y20" s="169"/>
      <c r="Z20" s="169"/>
      <c r="AA20" s="169"/>
      <c r="AB20" s="169"/>
      <c r="AC20" s="169"/>
    </row>
    <row r="21" spans="1:32" ht="12.75" customHeight="1" x14ac:dyDescent="0.2">
      <c r="A21" s="178" t="s">
        <v>439</v>
      </c>
      <c r="B21" s="179"/>
      <c r="C21" s="179"/>
      <c r="D21" s="179"/>
      <c r="E21" s="179"/>
      <c r="F21" s="179"/>
      <c r="G21" s="179"/>
      <c r="H21" s="179"/>
      <c r="I21" s="179"/>
      <c r="J21" s="179"/>
      <c r="K21" s="179"/>
      <c r="L21" s="179"/>
      <c r="M21" s="179"/>
      <c r="N21" s="179"/>
      <c r="O21" s="179"/>
      <c r="P21" s="179"/>
      <c r="Q21" s="179"/>
      <c r="R21" s="180"/>
      <c r="S21" s="169"/>
      <c r="T21" s="169"/>
      <c r="U21" s="27"/>
      <c r="V21" s="27"/>
      <c r="W21" s="27"/>
      <c r="X21" s="27"/>
      <c r="Y21" s="27"/>
      <c r="Z21" s="27"/>
      <c r="AA21" s="27"/>
      <c r="AB21" s="27"/>
      <c r="AC21" s="27"/>
    </row>
    <row r="22" spans="1:32" x14ac:dyDescent="0.2">
      <c r="A22" s="650" t="s">
        <v>587</v>
      </c>
      <c r="B22" s="650"/>
      <c r="C22" s="650"/>
      <c r="D22" s="650"/>
      <c r="E22" s="650"/>
      <c r="F22" s="650"/>
      <c r="G22" s="650"/>
      <c r="H22" s="650"/>
      <c r="I22" s="650"/>
      <c r="J22" s="650"/>
      <c r="K22" s="650"/>
      <c r="L22" s="650"/>
      <c r="M22" s="650"/>
      <c r="N22" s="650"/>
      <c r="O22" s="650"/>
      <c r="P22" s="650"/>
      <c r="Q22" s="650"/>
      <c r="R22" s="651"/>
      <c r="S22" s="27"/>
      <c r="T22" s="27"/>
      <c r="U22" s="27"/>
      <c r="V22" s="27"/>
      <c r="W22" s="27"/>
      <c r="X22" s="27"/>
      <c r="Y22" s="27"/>
      <c r="Z22" s="27"/>
      <c r="AA22" s="27"/>
      <c r="AB22" s="27"/>
      <c r="AC22" s="27"/>
      <c r="AD22" s="9"/>
      <c r="AE22" s="9"/>
      <c r="AF22" s="9"/>
    </row>
    <row r="23" spans="1:32" x14ac:dyDescent="0.2">
      <c r="A23" s="650"/>
      <c r="B23" s="650"/>
      <c r="C23" s="650"/>
      <c r="D23" s="650"/>
      <c r="E23" s="650"/>
      <c r="F23" s="650"/>
      <c r="G23" s="650"/>
      <c r="H23" s="650"/>
      <c r="I23" s="650"/>
      <c r="J23" s="650"/>
      <c r="K23" s="650"/>
      <c r="L23" s="650"/>
      <c r="M23" s="650"/>
      <c r="N23" s="650"/>
      <c r="O23" s="650"/>
      <c r="P23" s="650"/>
      <c r="Q23" s="650"/>
      <c r="R23" s="651"/>
      <c r="S23" s="27"/>
      <c r="T23" s="27"/>
      <c r="U23" s="27"/>
      <c r="V23" s="27"/>
      <c r="W23" s="27"/>
      <c r="X23" s="27"/>
      <c r="Y23" s="27"/>
      <c r="Z23" s="27"/>
      <c r="AA23" s="27"/>
      <c r="AB23" s="27"/>
      <c r="AC23" s="27"/>
      <c r="AD23" s="9"/>
      <c r="AE23" s="9"/>
      <c r="AF23" s="9"/>
    </row>
    <row r="24" spans="1:32" x14ac:dyDescent="0.2">
      <c r="A24" s="650"/>
      <c r="B24" s="650"/>
      <c r="C24" s="650"/>
      <c r="D24" s="650"/>
      <c r="E24" s="650"/>
      <c r="F24" s="650"/>
      <c r="G24" s="650"/>
      <c r="H24" s="650"/>
      <c r="I24" s="650"/>
      <c r="J24" s="650"/>
      <c r="K24" s="650"/>
      <c r="L24" s="650"/>
      <c r="M24" s="650"/>
      <c r="N24" s="650"/>
      <c r="O24" s="650"/>
      <c r="P24" s="650"/>
      <c r="Q24" s="650"/>
      <c r="R24" s="651"/>
      <c r="S24" s="27"/>
      <c r="T24" s="27"/>
      <c r="U24" s="27"/>
      <c r="V24" s="27"/>
      <c r="W24" s="27"/>
      <c r="X24" s="27"/>
      <c r="Y24" s="27"/>
      <c r="Z24" s="27"/>
      <c r="AA24" s="27"/>
      <c r="AB24" s="27"/>
      <c r="AC24" s="27"/>
      <c r="AD24" s="9"/>
      <c r="AE24" s="9"/>
      <c r="AF24" s="9"/>
    </row>
    <row r="25" spans="1:32" x14ac:dyDescent="0.2">
      <c r="A25" s="650"/>
      <c r="B25" s="650"/>
      <c r="C25" s="650"/>
      <c r="D25" s="650"/>
      <c r="E25" s="650"/>
      <c r="F25" s="650"/>
      <c r="G25" s="650"/>
      <c r="H25" s="650"/>
      <c r="I25" s="650"/>
      <c r="J25" s="650"/>
      <c r="K25" s="650"/>
      <c r="L25" s="650"/>
      <c r="M25" s="650"/>
      <c r="N25" s="650"/>
      <c r="O25" s="650"/>
      <c r="P25" s="650"/>
      <c r="Q25" s="650"/>
      <c r="R25" s="651"/>
      <c r="S25" s="27"/>
      <c r="T25" s="27"/>
      <c r="U25" s="27"/>
      <c r="V25" s="27"/>
      <c r="W25" s="27"/>
      <c r="X25" s="27"/>
      <c r="Y25" s="27"/>
      <c r="Z25" s="27"/>
      <c r="AA25" s="27"/>
      <c r="AB25" s="27"/>
      <c r="AC25" s="27"/>
      <c r="AD25" s="9"/>
      <c r="AE25" s="9"/>
      <c r="AF25" s="9"/>
    </row>
    <row r="26" spans="1:32" x14ac:dyDescent="0.2">
      <c r="A26" s="650"/>
      <c r="B26" s="650"/>
      <c r="C26" s="650"/>
      <c r="D26" s="650"/>
      <c r="E26" s="650"/>
      <c r="F26" s="650"/>
      <c r="G26" s="650"/>
      <c r="H26" s="650"/>
      <c r="I26" s="650"/>
      <c r="J26" s="650"/>
      <c r="K26" s="650"/>
      <c r="L26" s="650"/>
      <c r="M26" s="650"/>
      <c r="N26" s="650"/>
      <c r="O26" s="650"/>
      <c r="P26" s="650"/>
      <c r="Q26" s="650"/>
      <c r="R26" s="651"/>
      <c r="S26" s="27"/>
      <c r="T26" s="27"/>
      <c r="U26" s="27"/>
      <c r="V26" s="27"/>
      <c r="W26" s="27"/>
      <c r="X26" s="27"/>
      <c r="Y26" s="27"/>
      <c r="Z26" s="27"/>
      <c r="AA26" s="27"/>
      <c r="AB26" s="27"/>
      <c r="AC26" s="27"/>
    </row>
    <row r="27" spans="1:32" x14ac:dyDescent="0.2">
      <c r="A27" s="650"/>
      <c r="B27" s="650"/>
      <c r="C27" s="650"/>
      <c r="D27" s="650"/>
      <c r="E27" s="650"/>
      <c r="F27" s="650"/>
      <c r="G27" s="650"/>
      <c r="H27" s="650"/>
      <c r="I27" s="650"/>
      <c r="J27" s="650"/>
      <c r="K27" s="650"/>
      <c r="L27" s="650"/>
      <c r="M27" s="650"/>
      <c r="N27" s="650"/>
      <c r="O27" s="650"/>
      <c r="P27" s="650"/>
      <c r="Q27" s="650"/>
      <c r="R27" s="651"/>
      <c r="S27" s="27"/>
      <c r="T27" s="27"/>
      <c r="U27" s="27"/>
      <c r="V27" s="27"/>
      <c r="W27" s="27"/>
      <c r="X27" s="27"/>
      <c r="Y27" s="27"/>
      <c r="Z27" s="27"/>
      <c r="AA27" s="27"/>
      <c r="AB27" s="27"/>
      <c r="AC27" s="27"/>
    </row>
    <row r="28" spans="1:32" x14ac:dyDescent="0.2">
      <c r="A28" s="650"/>
      <c r="B28" s="650"/>
      <c r="C28" s="650"/>
      <c r="D28" s="650"/>
      <c r="E28" s="650"/>
      <c r="F28" s="650"/>
      <c r="G28" s="650"/>
      <c r="H28" s="650"/>
      <c r="I28" s="650"/>
      <c r="J28" s="650"/>
      <c r="K28" s="650"/>
      <c r="L28" s="650"/>
      <c r="M28" s="650"/>
      <c r="N28" s="650"/>
      <c r="O28" s="650"/>
      <c r="P28" s="650"/>
      <c r="Q28" s="650"/>
      <c r="R28" s="651"/>
      <c r="S28" s="169"/>
      <c r="T28" s="27"/>
      <c r="U28" s="27"/>
      <c r="V28" s="27"/>
      <c r="W28" s="27"/>
      <c r="X28" s="27"/>
      <c r="Y28" s="27"/>
      <c r="Z28" s="27"/>
      <c r="AA28" s="27"/>
      <c r="AB28" s="27"/>
      <c r="AC28" s="27"/>
    </row>
    <row r="29" spans="1:32" x14ac:dyDescent="0.2">
      <c r="A29" s="170"/>
      <c r="B29" s="155"/>
      <c r="C29" s="155"/>
      <c r="D29" s="155"/>
      <c r="E29" s="155"/>
      <c r="F29" s="155"/>
      <c r="G29" s="155"/>
      <c r="H29" s="155"/>
      <c r="I29" s="155"/>
      <c r="J29" s="155"/>
      <c r="K29" s="155"/>
      <c r="L29" s="155"/>
      <c r="M29" s="155"/>
      <c r="N29" s="155"/>
      <c r="O29" s="155"/>
      <c r="P29" s="155"/>
      <c r="Q29" s="155"/>
      <c r="R29" s="171"/>
      <c r="S29" s="169"/>
      <c r="T29" s="27"/>
      <c r="U29" s="27"/>
      <c r="V29" s="27"/>
      <c r="W29" s="27"/>
      <c r="X29" s="27"/>
      <c r="Y29" s="27"/>
      <c r="Z29" s="27"/>
      <c r="AA29" s="27"/>
      <c r="AB29" s="27"/>
      <c r="AC29" s="27"/>
    </row>
    <row r="30" spans="1:32" x14ac:dyDescent="0.2">
      <c r="A30" s="170"/>
      <c r="B30" s="155"/>
      <c r="C30" s="155"/>
      <c r="D30" s="155"/>
      <c r="E30" s="155"/>
      <c r="F30" s="155"/>
      <c r="G30" s="155"/>
      <c r="H30" s="155"/>
      <c r="I30" s="155"/>
      <c r="J30" s="155"/>
      <c r="K30" s="155"/>
      <c r="L30" s="155"/>
      <c r="M30" s="155"/>
      <c r="N30" s="155"/>
      <c r="O30" s="155"/>
      <c r="P30" s="155"/>
      <c r="Q30" s="155"/>
      <c r="R30" s="171"/>
      <c r="S30" s="169"/>
      <c r="T30" s="27"/>
      <c r="U30" s="27"/>
      <c r="V30" s="27"/>
      <c r="W30" s="27"/>
      <c r="X30" s="27"/>
      <c r="Y30" s="27"/>
      <c r="Z30" s="27"/>
      <c r="AA30" s="27"/>
      <c r="AB30" s="27"/>
      <c r="AC30" s="27"/>
    </row>
    <row r="31" spans="1:32" x14ac:dyDescent="0.2">
      <c r="A31" s="170"/>
      <c r="B31" s="155"/>
      <c r="C31" s="155"/>
      <c r="D31" s="155"/>
      <c r="E31" s="155"/>
      <c r="F31" s="155"/>
      <c r="G31" s="155"/>
      <c r="H31" s="155"/>
      <c r="I31" s="155"/>
      <c r="J31" s="155"/>
      <c r="K31" s="155"/>
      <c r="L31" s="155"/>
      <c r="M31" s="155"/>
      <c r="N31" s="155"/>
      <c r="O31" s="155"/>
      <c r="P31" s="155"/>
      <c r="Q31" s="155"/>
      <c r="R31" s="171"/>
      <c r="S31" s="169"/>
      <c r="T31" s="27"/>
      <c r="U31" s="27"/>
      <c r="V31" s="27"/>
      <c r="W31" s="27"/>
      <c r="X31" s="27"/>
      <c r="Y31" s="27"/>
      <c r="Z31" s="27"/>
      <c r="AA31" s="27"/>
      <c r="AB31" s="27"/>
      <c r="AC31" s="27"/>
    </row>
    <row r="32" spans="1:32" x14ac:dyDescent="0.2">
      <c r="A32" s="170"/>
      <c r="B32" s="155"/>
      <c r="C32" s="155"/>
      <c r="D32" s="155"/>
      <c r="E32" s="155"/>
      <c r="F32" s="155"/>
      <c r="G32" s="155"/>
      <c r="H32" s="155"/>
      <c r="I32" s="155"/>
      <c r="J32" s="155"/>
      <c r="K32" s="155"/>
      <c r="L32" s="155"/>
      <c r="M32" s="155"/>
      <c r="N32" s="155"/>
      <c r="O32" s="155"/>
      <c r="P32" s="155"/>
      <c r="Q32" s="155"/>
      <c r="R32" s="171"/>
      <c r="S32" s="169"/>
      <c r="T32" s="27"/>
      <c r="U32" s="27"/>
      <c r="V32" s="27"/>
      <c r="W32" s="27"/>
      <c r="X32" s="27"/>
      <c r="Y32" s="27"/>
      <c r="Z32" s="27"/>
      <c r="AA32" s="27"/>
      <c r="AB32" s="27"/>
      <c r="AC32" s="27"/>
    </row>
    <row r="33" spans="1:29" x14ac:dyDescent="0.2">
      <c r="A33" s="170"/>
      <c r="B33" s="155"/>
      <c r="C33" s="155"/>
      <c r="D33" s="155"/>
      <c r="E33" s="155"/>
      <c r="F33" s="155"/>
      <c r="G33" s="155"/>
      <c r="H33" s="155"/>
      <c r="I33" s="155"/>
      <c r="J33" s="155"/>
      <c r="K33" s="155"/>
      <c r="L33" s="155"/>
      <c r="M33" s="155"/>
      <c r="N33" s="155"/>
      <c r="O33" s="155"/>
      <c r="P33" s="155"/>
      <c r="Q33" s="155"/>
      <c r="R33" s="171"/>
      <c r="S33" s="169"/>
      <c r="T33" s="27"/>
      <c r="U33" s="27"/>
      <c r="V33" s="27"/>
      <c r="W33" s="27"/>
      <c r="X33" s="27"/>
      <c r="Y33" s="27"/>
      <c r="Z33" s="27"/>
      <c r="AA33" s="27"/>
      <c r="AB33" s="27"/>
      <c r="AC33" s="27"/>
    </row>
    <row r="34" spans="1:29" x14ac:dyDescent="0.2">
      <c r="A34" s="172"/>
      <c r="B34" s="173"/>
      <c r="C34" s="173"/>
      <c r="D34" s="173"/>
      <c r="E34" s="173"/>
      <c r="F34" s="173"/>
      <c r="G34" s="173"/>
      <c r="H34" s="173"/>
      <c r="I34" s="173"/>
      <c r="J34" s="173"/>
      <c r="K34" s="173"/>
      <c r="L34" s="173"/>
      <c r="M34" s="173"/>
      <c r="N34" s="173"/>
      <c r="O34" s="173"/>
      <c r="P34" s="173"/>
      <c r="Q34" s="173"/>
      <c r="R34" s="174"/>
      <c r="S34" s="169"/>
      <c r="T34" s="27"/>
      <c r="U34" s="27"/>
      <c r="V34" s="27"/>
      <c r="W34" s="27"/>
      <c r="X34" s="27"/>
      <c r="Y34" s="27"/>
      <c r="Z34" s="27"/>
      <c r="AA34" s="27"/>
      <c r="AB34" s="27"/>
      <c r="AC34" s="27"/>
    </row>
    <row r="35" spans="1:29" x14ac:dyDescent="0.2">
      <c r="A35" s="172"/>
      <c r="B35" s="173"/>
      <c r="C35" s="173"/>
      <c r="D35" s="173"/>
      <c r="E35" s="173"/>
      <c r="F35" s="173"/>
      <c r="G35" s="173"/>
      <c r="H35" s="173"/>
      <c r="I35" s="173"/>
      <c r="J35" s="173"/>
      <c r="K35" s="173"/>
      <c r="L35" s="173"/>
      <c r="M35" s="173"/>
      <c r="N35" s="173"/>
      <c r="O35" s="173"/>
      <c r="P35" s="173"/>
      <c r="Q35" s="173"/>
      <c r="R35" s="174"/>
      <c r="S35" s="169"/>
      <c r="T35" s="27"/>
      <c r="U35" s="27"/>
      <c r="V35" s="27"/>
      <c r="W35" s="27"/>
      <c r="X35" s="27"/>
      <c r="Y35" s="27"/>
      <c r="Z35" s="27"/>
      <c r="AA35" s="27"/>
      <c r="AB35" s="27"/>
      <c r="AC35" s="27"/>
    </row>
    <row r="36" spans="1:29" x14ac:dyDescent="0.2">
      <c r="A36" s="172"/>
      <c r="B36" s="173"/>
      <c r="C36" s="173"/>
      <c r="D36" s="173"/>
      <c r="E36" s="173"/>
      <c r="F36" s="173"/>
      <c r="G36" s="173"/>
      <c r="H36" s="173"/>
      <c r="I36" s="173"/>
      <c r="J36" s="173"/>
      <c r="K36" s="173"/>
      <c r="L36" s="173"/>
      <c r="M36" s="173"/>
      <c r="N36" s="173"/>
      <c r="O36" s="173"/>
      <c r="P36" s="173"/>
      <c r="Q36" s="173"/>
      <c r="R36" s="174"/>
      <c r="S36" s="169"/>
      <c r="T36" s="27"/>
      <c r="U36" s="27"/>
      <c r="V36" s="27"/>
      <c r="W36" s="27"/>
      <c r="X36" s="27"/>
      <c r="Y36" s="27"/>
      <c r="Z36" s="27"/>
      <c r="AA36" s="27"/>
      <c r="AB36" s="27"/>
      <c r="AC36" s="27"/>
    </row>
    <row r="37" spans="1:29" x14ac:dyDescent="0.2">
      <c r="A37" s="175"/>
      <c r="B37" s="176"/>
      <c r="C37" s="176"/>
      <c r="D37" s="176"/>
      <c r="E37" s="176"/>
      <c r="F37" s="176"/>
      <c r="G37" s="176"/>
      <c r="H37" s="176"/>
      <c r="I37" s="176"/>
      <c r="J37" s="176"/>
      <c r="K37" s="176"/>
      <c r="L37" s="176"/>
      <c r="M37" s="176"/>
      <c r="N37" s="176"/>
      <c r="O37" s="176"/>
      <c r="P37" s="176"/>
      <c r="Q37" s="176"/>
      <c r="R37" s="177"/>
      <c r="S37" s="169"/>
      <c r="T37" s="27"/>
      <c r="U37" s="27"/>
      <c r="V37" s="27"/>
      <c r="W37" s="27"/>
      <c r="X37" s="27"/>
      <c r="Y37" s="27"/>
      <c r="Z37" s="27"/>
      <c r="AA37" s="27"/>
      <c r="AB37" s="27"/>
      <c r="AC37" s="27"/>
    </row>
    <row r="38" spans="1:29" x14ac:dyDescent="0.2">
      <c r="A38" s="27"/>
      <c r="B38" s="27"/>
      <c r="C38" s="27"/>
      <c r="D38" s="27"/>
      <c r="E38" s="27"/>
      <c r="F38" s="27"/>
      <c r="G38" s="27"/>
      <c r="H38" s="27"/>
      <c r="I38" s="27"/>
      <c r="J38" s="27"/>
      <c r="K38" s="27"/>
      <c r="L38" s="27"/>
      <c r="M38" s="27"/>
      <c r="N38" s="120"/>
      <c r="O38" s="169"/>
      <c r="P38" s="169"/>
      <c r="Q38" s="169"/>
      <c r="R38" s="169"/>
      <c r="S38" s="27"/>
      <c r="T38" s="27"/>
      <c r="U38" s="27"/>
      <c r="V38" s="27"/>
      <c r="W38" s="27"/>
      <c r="X38" s="27"/>
      <c r="Y38" s="27"/>
      <c r="Z38" s="27"/>
      <c r="AA38" s="27"/>
      <c r="AB38" s="27"/>
      <c r="AC38" s="27"/>
    </row>
    <row r="39" spans="1:29" x14ac:dyDescent="0.2">
      <c r="A39" s="27"/>
      <c r="B39" s="27"/>
      <c r="C39" s="27"/>
      <c r="D39" s="27"/>
      <c r="E39" s="27"/>
      <c r="F39" s="27"/>
      <c r="G39" s="27"/>
      <c r="H39" s="27"/>
      <c r="I39" s="27"/>
      <c r="J39" s="27"/>
      <c r="K39" s="27"/>
      <c r="L39" s="27"/>
      <c r="M39" s="27"/>
      <c r="N39" s="120"/>
      <c r="O39" s="120"/>
      <c r="P39" s="120"/>
      <c r="Q39" s="120"/>
      <c r="R39" s="169"/>
      <c r="S39" s="27"/>
      <c r="T39" s="27"/>
      <c r="U39" s="27"/>
      <c r="V39" s="27"/>
      <c r="W39" s="27"/>
      <c r="X39" s="27"/>
      <c r="Y39" s="27"/>
      <c r="Z39" s="27"/>
      <c r="AA39" s="27"/>
      <c r="AB39" s="27"/>
      <c r="AC39" s="27"/>
    </row>
    <row r="40" spans="1:29" x14ac:dyDescent="0.2">
      <c r="A40" s="27"/>
      <c r="B40" s="27"/>
      <c r="C40" s="27"/>
      <c r="D40" s="27"/>
      <c r="E40" s="27"/>
      <c r="F40" s="27"/>
      <c r="G40" s="27"/>
      <c r="H40" s="27"/>
      <c r="I40" s="27"/>
      <c r="J40" s="27"/>
      <c r="K40" s="27"/>
      <c r="L40" s="27"/>
      <c r="M40" s="27"/>
      <c r="N40" s="120"/>
      <c r="O40" s="120"/>
      <c r="P40" s="120"/>
      <c r="Q40" s="120"/>
      <c r="R40" s="169"/>
      <c r="S40" s="27"/>
      <c r="T40" s="27"/>
      <c r="U40" s="27"/>
      <c r="V40" s="27"/>
      <c r="W40" s="27"/>
      <c r="X40" s="27"/>
      <c r="Y40" s="27"/>
      <c r="Z40" s="27"/>
      <c r="AA40" s="27"/>
      <c r="AB40" s="27"/>
      <c r="AC40" s="27"/>
    </row>
    <row r="41" spans="1:29" x14ac:dyDescent="0.2">
      <c r="A41" s="27"/>
      <c r="B41" s="27"/>
      <c r="C41" s="27"/>
      <c r="D41" s="27"/>
      <c r="E41" s="27"/>
      <c r="F41" s="27"/>
      <c r="G41" s="27"/>
      <c r="H41" s="27"/>
      <c r="I41" s="27"/>
      <c r="J41" s="27"/>
      <c r="K41" s="27"/>
      <c r="L41" s="27"/>
      <c r="M41" s="27"/>
      <c r="N41" s="167" t="s">
        <v>555</v>
      </c>
      <c r="O41" s="169"/>
      <c r="P41" s="641" t="str">
        <f>'Dane personalne'!$D$94&amp;""</f>
        <v/>
      </c>
      <c r="Q41" s="641"/>
      <c r="R41" s="641" t="str">
        <f>'Dane personalne'!$F$94</f>
        <v/>
      </c>
      <c r="S41" s="641"/>
      <c r="T41" s="27"/>
      <c r="U41" s="27"/>
      <c r="V41" s="27"/>
      <c r="W41" s="27"/>
      <c r="X41" s="27"/>
      <c r="Y41" s="27"/>
      <c r="Z41" s="27"/>
      <c r="AA41" s="27"/>
      <c r="AB41" s="27"/>
      <c r="AC41" s="27"/>
    </row>
    <row r="42" spans="1:29"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row>
    <row r="43" spans="1:29"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row>
    <row r="44" spans="1:29" x14ac:dyDescent="0.2">
      <c r="A44" s="27"/>
      <c r="B44" s="27"/>
      <c r="C44" s="27"/>
      <c r="D44" s="27"/>
      <c r="E44" s="27"/>
      <c r="F44" s="27"/>
      <c r="G44" s="27"/>
      <c r="H44" s="27"/>
      <c r="I44" s="27"/>
      <c r="J44" s="27"/>
      <c r="K44" s="27"/>
      <c r="L44" s="27"/>
      <c r="M44" s="27"/>
      <c r="N44" s="40"/>
      <c r="O44" s="40"/>
      <c r="P44" s="40"/>
      <c r="Q44" s="40"/>
      <c r="R44" s="27"/>
      <c r="S44" s="27"/>
      <c r="T44" s="27"/>
      <c r="U44" s="27"/>
      <c r="V44" s="27"/>
      <c r="W44" s="27"/>
      <c r="X44" s="27"/>
      <c r="Y44" s="27"/>
      <c r="Z44" s="27"/>
      <c r="AA44" s="27"/>
      <c r="AB44" s="27"/>
      <c r="AC44" s="27"/>
    </row>
    <row r="45" spans="1:29" x14ac:dyDescent="0.2">
      <c r="A45" s="27"/>
      <c r="B45" s="27"/>
      <c r="C45" s="27"/>
      <c r="D45" s="27"/>
      <c r="E45" s="27"/>
      <c r="F45" s="27"/>
      <c r="G45" s="27"/>
      <c r="H45" s="27"/>
      <c r="I45" s="27"/>
      <c r="J45" s="27"/>
      <c r="K45" s="27"/>
      <c r="L45" s="27"/>
      <c r="M45" s="27"/>
      <c r="N45" s="43" t="s">
        <v>349</v>
      </c>
      <c r="O45" s="35"/>
      <c r="P45" s="35"/>
      <c r="Q45" s="35"/>
      <c r="R45" s="27"/>
      <c r="S45" s="27"/>
      <c r="T45" s="27"/>
      <c r="U45" s="27"/>
      <c r="V45" s="27"/>
      <c r="W45" s="27"/>
      <c r="X45" s="27"/>
      <c r="Y45" s="27"/>
      <c r="Z45" s="27"/>
      <c r="AA45" s="27"/>
      <c r="AB45" s="27"/>
      <c r="AC45" s="27"/>
    </row>
    <row r="46" spans="1:29"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row>
    <row r="47" spans="1:29"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row>
    <row r="48" spans="1:29"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row>
    <row r="49" spans="1:29"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row>
    <row r="50" spans="1:29"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row>
    <row r="51" spans="1:29"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row>
    <row r="52" spans="1:29"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row>
    <row r="53" spans="1:29"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row>
    <row r="54" spans="1:29"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row>
    <row r="55" spans="1:29"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row>
    <row r="56" spans="1:29"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row>
    <row r="57" spans="1:29"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row>
    <row r="58" spans="1:29"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row>
    <row r="59" spans="1:29"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row>
    <row r="60" spans="1:29"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row>
    <row r="61" spans="1:29"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row r="114" spans="1:29"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row>
    <row r="115" spans="1:29"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row>
    <row r="116" spans="1:29"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row>
    <row r="117" spans="1:29"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row>
    <row r="118" spans="1:29"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row>
    <row r="119" spans="1:29"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row>
    <row r="120" spans="1:29"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row>
    <row r="121" spans="1:29" x14ac:dyDescent="0.2">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row>
    <row r="122" spans="1:29" x14ac:dyDescent="0.2">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row>
  </sheetData>
  <mergeCells count="6">
    <mergeCell ref="I8:Q8"/>
    <mergeCell ref="C10:K10"/>
    <mergeCell ref="L10:P10"/>
    <mergeCell ref="A22:R28"/>
    <mergeCell ref="P41:Q41"/>
    <mergeCell ref="R41:S41"/>
  </mergeCells>
  <pageMargins left="0.7" right="0.7" top="0.75" bottom="0.75" header="0.3" footer="0.3"/>
  <pageSetup paperSize="9" scale="97"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67"/>
  <sheetViews>
    <sheetView showGridLines="0" topLeftCell="A58" zoomScale="70" zoomScaleNormal="70" zoomScaleSheetLayoutView="80" workbookViewId="0"/>
  </sheetViews>
  <sheetFormatPr defaultColWidth="9" defaultRowHeight="12.75" x14ac:dyDescent="0.2"/>
  <cols>
    <col min="1" max="1" width="201.28515625" style="189" customWidth="1"/>
  </cols>
  <sheetData>
    <row r="1" spans="1:1" ht="15.75" thickBot="1" x14ac:dyDescent="0.25">
      <c r="A1" s="236" t="s">
        <v>476</v>
      </c>
    </row>
    <row r="2" spans="1:1" ht="15" x14ac:dyDescent="0.2">
      <c r="A2" s="234"/>
    </row>
    <row r="3" spans="1:1" ht="15" x14ac:dyDescent="0.2">
      <c r="A3" s="234" t="s">
        <v>477</v>
      </c>
    </row>
    <row r="4" spans="1:1" ht="15" x14ac:dyDescent="0.2">
      <c r="A4" s="234"/>
    </row>
    <row r="5" spans="1:1" ht="15" x14ac:dyDescent="0.2">
      <c r="A5" s="234" t="s">
        <v>478</v>
      </c>
    </row>
    <row r="6" spans="1:1" ht="15" x14ac:dyDescent="0.2">
      <c r="A6" s="234" t="s">
        <v>479</v>
      </c>
    </row>
    <row r="7" spans="1:1" ht="30" x14ac:dyDescent="0.2">
      <c r="A7" s="234" t="s">
        <v>480</v>
      </c>
    </row>
    <row r="8" spans="1:1" ht="15" x14ac:dyDescent="0.2">
      <c r="A8" s="234"/>
    </row>
    <row r="9" spans="1:1" ht="15" x14ac:dyDescent="0.2">
      <c r="A9" s="234" t="s">
        <v>481</v>
      </c>
    </row>
    <row r="10" spans="1:1" ht="15" x14ac:dyDescent="0.2">
      <c r="A10" s="234" t="s">
        <v>482</v>
      </c>
    </row>
    <row r="11" spans="1:1" ht="15" x14ac:dyDescent="0.2">
      <c r="A11" s="234"/>
    </row>
    <row r="12" spans="1:1" ht="15" x14ac:dyDescent="0.2">
      <c r="A12" s="234" t="s">
        <v>483</v>
      </c>
    </row>
    <row r="13" spans="1:1" ht="30" x14ac:dyDescent="0.2">
      <c r="A13" s="234" t="s">
        <v>484</v>
      </c>
    </row>
    <row r="14" spans="1:1" ht="15" x14ac:dyDescent="0.2">
      <c r="A14" s="234"/>
    </row>
    <row r="15" spans="1:1" ht="15" x14ac:dyDescent="0.2">
      <c r="A15" s="234" t="s">
        <v>485</v>
      </c>
    </row>
    <row r="16" spans="1:1" ht="15" x14ac:dyDescent="0.2">
      <c r="A16" s="234" t="s">
        <v>479</v>
      </c>
    </row>
    <row r="17" spans="1:1" ht="30" x14ac:dyDescent="0.2">
      <c r="A17" s="234" t="s">
        <v>486</v>
      </c>
    </row>
    <row r="18" spans="1:1" ht="15" x14ac:dyDescent="0.2">
      <c r="A18" s="234"/>
    </row>
    <row r="19" spans="1:1" ht="15" x14ac:dyDescent="0.2">
      <c r="A19" s="234" t="s">
        <v>487</v>
      </c>
    </row>
    <row r="20" spans="1:1" ht="15" x14ac:dyDescent="0.2">
      <c r="A20" s="234" t="s">
        <v>488</v>
      </c>
    </row>
    <row r="21" spans="1:1" ht="15" x14ac:dyDescent="0.2">
      <c r="A21" s="234"/>
    </row>
    <row r="22" spans="1:1" ht="15" x14ac:dyDescent="0.2">
      <c r="A22" s="234" t="s">
        <v>489</v>
      </c>
    </row>
    <row r="23" spans="1:1" ht="45" x14ac:dyDescent="0.2">
      <c r="A23" s="234" t="s">
        <v>490</v>
      </c>
    </row>
    <row r="24" spans="1:1" ht="15" x14ac:dyDescent="0.2">
      <c r="A24" s="234" t="s">
        <v>491</v>
      </c>
    </row>
    <row r="25" spans="1:1" ht="15" x14ac:dyDescent="0.2">
      <c r="A25" s="234" t="s">
        <v>492</v>
      </c>
    </row>
    <row r="26" spans="1:1" ht="45" x14ac:dyDescent="0.2">
      <c r="A26" s="234" t="s">
        <v>493</v>
      </c>
    </row>
    <row r="27" spans="1:1" ht="15" x14ac:dyDescent="0.2">
      <c r="A27" s="234" t="s">
        <v>494</v>
      </c>
    </row>
    <row r="28" spans="1:1" ht="15" x14ac:dyDescent="0.2">
      <c r="A28" s="234" t="s">
        <v>495</v>
      </c>
    </row>
    <row r="29" spans="1:1" ht="15" x14ac:dyDescent="0.2">
      <c r="A29" s="234" t="s">
        <v>496</v>
      </c>
    </row>
    <row r="30" spans="1:1" ht="30" x14ac:dyDescent="0.2">
      <c r="A30" s="234" t="s">
        <v>497</v>
      </c>
    </row>
    <row r="31" spans="1:1" ht="15" x14ac:dyDescent="0.2">
      <c r="A31" s="234"/>
    </row>
    <row r="32" spans="1:1" ht="15" x14ac:dyDescent="0.2">
      <c r="A32" s="234" t="s">
        <v>498</v>
      </c>
    </row>
    <row r="33" spans="1:1" ht="30" x14ac:dyDescent="0.2">
      <c r="A33" s="234" t="s">
        <v>499</v>
      </c>
    </row>
    <row r="34" spans="1:1" ht="15" x14ac:dyDescent="0.2">
      <c r="A34" s="234" t="s">
        <v>500</v>
      </c>
    </row>
    <row r="35" spans="1:1" ht="15" x14ac:dyDescent="0.2">
      <c r="A35" s="234" t="s">
        <v>501</v>
      </c>
    </row>
    <row r="36" spans="1:1" ht="15" x14ac:dyDescent="0.2">
      <c r="A36" s="234" t="s">
        <v>502</v>
      </c>
    </row>
    <row r="37" spans="1:1" ht="15" x14ac:dyDescent="0.2">
      <c r="A37" s="234" t="s">
        <v>503</v>
      </c>
    </row>
    <row r="38" spans="1:1" ht="15" x14ac:dyDescent="0.2">
      <c r="A38" s="234" t="s">
        <v>504</v>
      </c>
    </row>
    <row r="39" spans="1:1" ht="15" x14ac:dyDescent="0.2">
      <c r="A39" s="234" t="s">
        <v>505</v>
      </c>
    </row>
    <row r="40" spans="1:1" ht="15" x14ac:dyDescent="0.2">
      <c r="A40" s="234" t="s">
        <v>506</v>
      </c>
    </row>
    <row r="41" spans="1:1" ht="15" x14ac:dyDescent="0.2">
      <c r="A41" s="234" t="s">
        <v>507</v>
      </c>
    </row>
    <row r="42" spans="1:1" ht="15" x14ac:dyDescent="0.2">
      <c r="A42" s="234" t="s">
        <v>508</v>
      </c>
    </row>
    <row r="43" spans="1:1" ht="30" x14ac:dyDescent="0.2">
      <c r="A43" s="234" t="s">
        <v>509</v>
      </c>
    </row>
    <row r="44" spans="1:1" ht="45" x14ac:dyDescent="0.2">
      <c r="A44" s="234" t="s">
        <v>510</v>
      </c>
    </row>
    <row r="45" spans="1:1" ht="15" x14ac:dyDescent="0.2">
      <c r="A45" s="234" t="s">
        <v>511</v>
      </c>
    </row>
    <row r="46" spans="1:1" ht="15" x14ac:dyDescent="0.2">
      <c r="A46" s="234" t="s">
        <v>512</v>
      </c>
    </row>
    <row r="47" spans="1:1" ht="30" x14ac:dyDescent="0.2">
      <c r="A47" s="234" t="s">
        <v>513</v>
      </c>
    </row>
    <row r="48" spans="1:1" ht="30" x14ac:dyDescent="0.2">
      <c r="A48" s="234" t="s">
        <v>514</v>
      </c>
    </row>
    <row r="49" spans="1:1" ht="15" x14ac:dyDescent="0.2">
      <c r="A49" s="234"/>
    </row>
    <row r="50" spans="1:1" ht="15" x14ac:dyDescent="0.2">
      <c r="A50" s="234" t="s">
        <v>515</v>
      </c>
    </row>
    <row r="51" spans="1:1" ht="30" x14ac:dyDescent="0.2">
      <c r="A51" s="234" t="s">
        <v>516</v>
      </c>
    </row>
    <row r="52" spans="1:1" ht="15" x14ac:dyDescent="0.2">
      <c r="A52" s="234"/>
    </row>
    <row r="53" spans="1:1" ht="15" x14ac:dyDescent="0.2">
      <c r="A53" s="234" t="s">
        <v>517</v>
      </c>
    </row>
    <row r="54" spans="1:1" ht="30" x14ac:dyDescent="0.2">
      <c r="A54" s="234" t="s">
        <v>518</v>
      </c>
    </row>
    <row r="55" spans="1:1" ht="15" x14ac:dyDescent="0.2">
      <c r="A55" s="234"/>
    </row>
    <row r="56" spans="1:1" ht="15" x14ac:dyDescent="0.2">
      <c r="A56" s="234" t="s">
        <v>519</v>
      </c>
    </row>
    <row r="57" spans="1:1" ht="45.75" customHeight="1" x14ac:dyDescent="0.2">
      <c r="A57" s="234" t="s">
        <v>520</v>
      </c>
    </row>
    <row r="58" spans="1:1" ht="15" x14ac:dyDescent="0.2">
      <c r="A58" s="234" t="s">
        <v>521</v>
      </c>
    </row>
    <row r="59" spans="1:1" ht="15" x14ac:dyDescent="0.2">
      <c r="A59" s="234"/>
    </row>
    <row r="60" spans="1:1" ht="15" x14ac:dyDescent="0.2">
      <c r="A60" s="234" t="s">
        <v>522</v>
      </c>
    </row>
    <row r="61" spans="1:1" ht="15" x14ac:dyDescent="0.2">
      <c r="A61" s="234" t="s">
        <v>523</v>
      </c>
    </row>
    <row r="62" spans="1:1" ht="15" x14ac:dyDescent="0.2">
      <c r="A62" s="234" t="s">
        <v>524</v>
      </c>
    </row>
    <row r="63" spans="1:1" ht="30" x14ac:dyDescent="0.2">
      <c r="A63" s="234" t="s">
        <v>525</v>
      </c>
    </row>
    <row r="64" spans="1:1" ht="15" x14ac:dyDescent="0.2">
      <c r="A64" s="234" t="s">
        <v>524</v>
      </c>
    </row>
    <row r="65" spans="1:1" ht="15" x14ac:dyDescent="0.2">
      <c r="A65" s="234"/>
    </row>
    <row r="66" spans="1:1" ht="15" x14ac:dyDescent="0.2">
      <c r="A66" s="234" t="s">
        <v>526</v>
      </c>
    </row>
    <row r="67" spans="1:1" ht="30.75" thickBot="1" x14ac:dyDescent="0.25">
      <c r="A67" s="235" t="s">
        <v>527</v>
      </c>
    </row>
  </sheetData>
  <pageMargins left="0.23622047244094491" right="0.23622047244094491" top="0.35433070866141736" bottom="0.35433070866141736" header="0.31496062992125984" footer="0.31496062992125984"/>
  <pageSetup paperSize="9" scale="5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31</vt:i4>
      </vt:variant>
      <vt:variant>
        <vt:lpstr>Zakresy nazwane</vt:lpstr>
      </vt:variant>
      <vt:variant>
        <vt:i4>25</vt:i4>
      </vt:variant>
    </vt:vector>
  </HeadingPairs>
  <TitlesOfParts>
    <vt:vector size="56" baseType="lpstr">
      <vt:lpstr>US</vt:lpstr>
      <vt:lpstr>const</vt:lpstr>
      <vt:lpstr>Intro</vt:lpstr>
      <vt:lpstr>Ogolne</vt:lpstr>
      <vt:lpstr>Dane personalne</vt:lpstr>
      <vt:lpstr>Dane personalne EN</vt:lpstr>
      <vt:lpstr>1.Kwestionariusz</vt:lpstr>
      <vt:lpstr>1.Kwestionariusz EN</vt:lpstr>
      <vt:lpstr>2.R-k bankowy</vt:lpstr>
      <vt:lpstr>2.R-k bankowy EN</vt:lpstr>
      <vt:lpstr>3.PIT-2</vt:lpstr>
      <vt:lpstr>3.PIT-2 EN</vt:lpstr>
      <vt:lpstr>4.Prawdziwosc danych</vt:lpstr>
      <vt:lpstr>4.Prawdziwosc danych EN</vt:lpstr>
      <vt:lpstr>5b.Oswiadczenie ZUS</vt:lpstr>
      <vt:lpstr>5b.Oswiadczenie ZUS EN</vt:lpstr>
      <vt:lpstr>6.Opieka-dziecko</vt:lpstr>
      <vt:lpstr>6.Opieka-dziecko EN</vt:lpstr>
      <vt:lpstr>7.Podwyzszone koszty</vt:lpstr>
      <vt:lpstr>7.Podwyzszone koszty EN</vt:lpstr>
      <vt:lpstr>8.Ulga-podatek</vt:lpstr>
      <vt:lpstr>8.Ulga-podatek EN</vt:lpstr>
      <vt:lpstr>9.Ubezpieczenie</vt:lpstr>
      <vt:lpstr>9.Ubezpieczenie EN</vt:lpstr>
      <vt:lpstr>10.Zgoda na potracenie</vt:lpstr>
      <vt:lpstr>10.Zgoda na potracenie EN</vt:lpstr>
      <vt:lpstr>11.Mobbing</vt:lpstr>
      <vt:lpstr>11.Mobbing EN</vt:lpstr>
      <vt:lpstr>12.Rowne traktowanie</vt:lpstr>
      <vt:lpstr>12.Rowne traktowanie EN</vt:lpstr>
      <vt:lpstr>Info do form 12</vt:lpstr>
      <vt:lpstr>'1.Kwestionariusz'!Obszar_wydruku</vt:lpstr>
      <vt:lpstr>'1.Kwestionariusz EN'!Obszar_wydruku</vt:lpstr>
      <vt:lpstr>'10.Zgoda na potracenie'!Obszar_wydruku</vt:lpstr>
      <vt:lpstr>'10.Zgoda na potracenie EN'!Obszar_wydruku</vt:lpstr>
      <vt:lpstr>'11.Mobbing'!Obszar_wydruku</vt:lpstr>
      <vt:lpstr>'11.Mobbing EN'!Obszar_wydruku</vt:lpstr>
      <vt:lpstr>'12.Rowne traktowanie'!Obszar_wydruku</vt:lpstr>
      <vt:lpstr>'12.Rowne traktowanie EN'!Obszar_wydruku</vt:lpstr>
      <vt:lpstr>'2.R-k bankowy EN'!Obszar_wydruku</vt:lpstr>
      <vt:lpstr>'3.PIT-2'!Obszar_wydruku</vt:lpstr>
      <vt:lpstr>'3.PIT-2 EN'!Obszar_wydruku</vt:lpstr>
      <vt:lpstr>'4.Prawdziwosc danych'!Obszar_wydruku</vt:lpstr>
      <vt:lpstr>'4.Prawdziwosc danych EN'!Obszar_wydruku</vt:lpstr>
      <vt:lpstr>'5b.Oswiadczenie ZUS'!Obszar_wydruku</vt:lpstr>
      <vt:lpstr>'5b.Oswiadczenie ZUS EN'!Obszar_wydruku</vt:lpstr>
      <vt:lpstr>'6.Opieka-dziecko EN'!Obszar_wydruku</vt:lpstr>
      <vt:lpstr>'7.Podwyzszone koszty'!Obszar_wydruku</vt:lpstr>
      <vt:lpstr>'7.Podwyzszone koszty EN'!Obszar_wydruku</vt:lpstr>
      <vt:lpstr>'8.Ulga-podatek'!Obszar_wydruku</vt:lpstr>
      <vt:lpstr>'8.Ulga-podatek EN'!Obszar_wydruku</vt:lpstr>
      <vt:lpstr>'9.Ubezpieczenie'!Obszar_wydruku</vt:lpstr>
      <vt:lpstr>'9.Ubezpieczenie EN'!Obszar_wydruku</vt:lpstr>
      <vt:lpstr>'Dane personalne'!Obszar_wydruku</vt:lpstr>
      <vt:lpstr>'Dane personalne EN'!Obszar_wydruku</vt:lpstr>
      <vt:lpstr>Ogolne!Obszar_wydruku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Dokumenty personalne</dc:title>
  <dc:creator>Michal Glowacki</dc:creator>
  <cp:lastModifiedBy>Ewelina Andrzejewska</cp:lastModifiedBy>
  <cp:lastPrinted>2016-04-15T08:03:04Z</cp:lastPrinted>
  <dcterms:created xsi:type="dcterms:W3CDTF">2007-01-17T13:44:13Z</dcterms:created>
  <dcterms:modified xsi:type="dcterms:W3CDTF">2016-08-16T12:52:25Z</dcterms:modified>
</cp:coreProperties>
</file>