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5345" windowHeight="4455" tabRatio="857" activeTab="1"/>
  </bookViews>
  <sheets>
    <sheet name="Multisport" sheetId="15" r:id="rId1"/>
    <sheet name="Medical care" sheetId="18" r:id="rId2"/>
    <sheet name="Słownik" sheetId="3" state="hidden" r:id="rId3"/>
    <sheet name="Plik do impotru" sheetId="21" state="hidden" r:id="rId4"/>
  </sheets>
  <functionGroups builtInGroupCount="17"/>
  <externalReferences>
    <externalReference r:id="rId5"/>
  </externalReferences>
  <definedNames>
    <definedName name="AdresPIT">[1]Legenda!$A$10:$A$11</definedName>
    <definedName name="adresy">[1]Legenda!$D$2:$D$4</definedName>
    <definedName name="czy">#REF!</definedName>
    <definedName name="DokTozsamosci">[1]Legenda!$A$2:$A$4</definedName>
    <definedName name="Emeryt">#REF!</definedName>
    <definedName name="Emerytura">Słownik!$A$28:$A$30</definedName>
    <definedName name="Gminy">Słownik!$A$465:$A$2799</definedName>
    <definedName name="KodyUbezpieczeń">[1]Legenda!$AD$2:$AD$93</definedName>
    <definedName name="kraje">[1]Legenda!$I$2:$I$250</definedName>
    <definedName name="Miesiące">Słownik!$A$36:$A$47</definedName>
    <definedName name="Miesiące2">Słownik!$A$49:$A$60</definedName>
    <definedName name="NFZ">Słownik!$A$68:$A$83</definedName>
    <definedName name="Niepelnosprawność">Słownik!#REF!</definedName>
    <definedName name="Niepełnosprawność">Słownik!$A$62:$A$66</definedName>
    <definedName name="_xlnm.Print_Area" localSheetId="1">'Medical care'!$A$1:$H$46</definedName>
    <definedName name="_xlnm.Print_Area" localSheetId="0">Multisport!$A$1:$H$31</definedName>
    <definedName name="OddziałyNFZ">[1]Legenda!$A$43:$A$58</definedName>
    <definedName name="OddziałyZUS">[1]Legenda!$AA$2:$AA$331</definedName>
    <definedName name="Płeć">Słownik!$A$1:$A$2</definedName>
    <definedName name="PodleganieUbezpieczeniom">[1]Legenda!$X$23:$X$25</definedName>
    <definedName name="Pokrewieństwo">[1]Legenda!$U$36:$U$46</definedName>
    <definedName name="Powiaty">Słownik!$A$85:$A$463</definedName>
    <definedName name="PoziomKUP">[1]Legenda!$U$2:$U$4</definedName>
    <definedName name="PoziomUlgi">[1]Legenda!$U$7:$U$9</definedName>
    <definedName name="RozwiązaniaUmów">[1]Legenda!$X$13:$X$19</definedName>
    <definedName name="statement_about_personal_data">#REF!</definedName>
    <definedName name="StopieńJęzyków">[1]Legenda!$L$2:$L$4</definedName>
    <definedName name="StopnieNiepełnospr">[1]Legenda!$U$28:$U$32</definedName>
    <definedName name="StopnieUmiejetnosci">[1]Legenda!$L$10:$L$14</definedName>
    <definedName name="StopnieWojskowe">[1]Legenda!$O$2:$O$23</definedName>
    <definedName name="SzkoleniaBHP">[1]Legenda!$E$32:$E$33</definedName>
    <definedName name="TypyEdukacji">[1]Legenda!$A$16:$A$28</definedName>
    <definedName name="TypyUmów">[1]Legenda!$X$2:$X$11</definedName>
    <definedName name="UrzędySkarbowe">[1]Legenda!$R$2:$R$416</definedName>
    <definedName name="Województwa">Słownik!$A$4:$A$19</definedName>
    <definedName name="Wykształcenie">Słownik!$A$21:$A$26</definedName>
    <definedName name="WymiaryEtatu">[1]Legenda!$U$13:$U$18</definedName>
    <definedName name="Zdrowotne">Słownik!$A$33:$A$34</definedName>
  </definedNames>
  <calcPr calcId="145621" calcOnSave="0"/>
</workbook>
</file>

<file path=xl/calcChain.xml><?xml version="1.0" encoding="utf-8"?>
<calcChain xmlns="http://schemas.openxmlformats.org/spreadsheetml/2006/main">
  <c r="C6" i="18" l="1"/>
  <c r="C5" i="18"/>
  <c r="C4" i="18"/>
  <c r="D36" i="3" l="1"/>
  <c r="D37" i="3"/>
  <c r="F2" i="18" l="1"/>
  <c r="F2" i="15"/>
  <c r="CZ3" i="21" l="1"/>
  <c r="CX3" i="21"/>
  <c r="CW3" i="21"/>
  <c r="BI3" i="21"/>
  <c r="AO3" i="21"/>
  <c r="V3" i="21"/>
  <c r="Q3" i="21"/>
  <c r="P3" i="21"/>
  <c r="O3" i="21"/>
  <c r="N3" i="21"/>
  <c r="L3" i="21"/>
  <c r="K3" i="21"/>
  <c r="J3" i="21"/>
  <c r="I3" i="21"/>
  <c r="H3" i="21"/>
  <c r="G3" i="21"/>
  <c r="F3" i="21"/>
  <c r="E3" i="21"/>
  <c r="C3" i="21"/>
  <c r="B3" i="21"/>
  <c r="A3" i="21"/>
  <c r="AI3" i="21" l="1"/>
  <c r="AF3" i="21"/>
  <c r="AG3" i="21"/>
  <c r="AJ3" i="21"/>
  <c r="AK3" i="21"/>
  <c r="AL3" i="21"/>
  <c r="AE3" i="21" l="1"/>
  <c r="AH3" i="21"/>
  <c r="C15" i="3" l="1"/>
  <c r="AC3" i="21" l="1"/>
  <c r="DA3" i="21"/>
  <c r="F26" i="3" l="1"/>
  <c r="D21" i="3"/>
  <c r="D20" i="3"/>
  <c r="D19" i="3"/>
  <c r="D15" i="3" l="1"/>
</calcChain>
</file>

<file path=xl/comments1.xml><?xml version="1.0" encoding="utf-8"?>
<comments xmlns="http://schemas.openxmlformats.org/spreadsheetml/2006/main">
  <authors>
    <author>Author</author>
  </authors>
  <commentList>
    <comment ref="C2" authorId="0">
      <text>
        <r>
          <rPr>
            <b/>
            <sz val="9"/>
            <color indexed="81"/>
            <rFont val="Tahoma"/>
            <family val="2"/>
            <charset val="238"/>
          </rPr>
          <t>Author:</t>
        </r>
        <r>
          <rPr>
            <sz val="9"/>
            <color indexed="81"/>
            <rFont val="Tahoma"/>
            <family val="2"/>
            <charset val="238"/>
          </rPr>
          <t xml:space="preserve">
If applicable</t>
        </r>
      </text>
    </comment>
    <comment ref="D2" authorId="0">
      <text>
        <r>
          <rPr>
            <b/>
            <sz val="9"/>
            <color indexed="81"/>
            <rFont val="Tahoma"/>
            <family val="2"/>
            <charset val="238"/>
          </rPr>
          <t>Author:</t>
        </r>
        <r>
          <rPr>
            <sz val="9"/>
            <color indexed="81"/>
            <rFont val="Tahoma"/>
            <family val="2"/>
            <charset val="238"/>
          </rPr>
          <t xml:space="preserve">
if do not concerned,  please indicate PESEL</t>
        </r>
      </text>
    </comment>
    <comment ref="U2" authorId="0">
      <text>
        <r>
          <rPr>
            <b/>
            <sz val="9"/>
            <color indexed="81"/>
            <rFont val="Tahoma"/>
            <family val="2"/>
            <charset val="238"/>
          </rPr>
          <t>Author:</t>
        </r>
        <r>
          <rPr>
            <sz val="9"/>
            <color indexed="81"/>
            <rFont val="Tahoma"/>
            <family val="2"/>
            <charset val="238"/>
          </rPr>
          <t xml:space="preserve">
Please verify for employees without polish citizenship</t>
        </r>
      </text>
    </comment>
    <comment ref="AB2" authorId="0">
      <text>
        <r>
          <rPr>
            <b/>
            <sz val="9"/>
            <color indexed="81"/>
            <rFont val="Tahoma"/>
            <family val="2"/>
            <charset val="238"/>
          </rPr>
          <t>Author:</t>
        </r>
        <r>
          <rPr>
            <sz val="9"/>
            <color indexed="81"/>
            <rFont val="Tahoma"/>
            <family val="2"/>
            <charset val="238"/>
          </rPr>
          <t xml:space="preserve">
Please indicate at least home address</t>
        </r>
      </text>
    </comment>
    <comment ref="BH2" authorId="0">
      <text>
        <r>
          <rPr>
            <b/>
            <sz val="9"/>
            <color indexed="81"/>
            <rFont val="Tahoma"/>
            <family val="2"/>
            <charset val="238"/>
          </rPr>
          <t>Author:</t>
        </r>
        <r>
          <rPr>
            <sz val="9"/>
            <color indexed="81"/>
            <rFont val="Tahoma"/>
            <family val="2"/>
            <charset val="238"/>
          </rPr>
          <t xml:space="preserve">
Please refer to sheet "legenda", column S</t>
        </r>
      </text>
    </comment>
    <comment ref="BS2" authorId="0">
      <text>
        <r>
          <rPr>
            <b/>
            <sz val="9"/>
            <color indexed="81"/>
            <rFont val="Tahoma"/>
            <family val="2"/>
            <charset val="238"/>
          </rPr>
          <t>Author:</t>
        </r>
        <r>
          <rPr>
            <sz val="9"/>
            <color indexed="81"/>
            <rFont val="Tahoma"/>
            <family val="2"/>
            <charset val="238"/>
          </rPr>
          <t xml:space="preserve">
if do not concerned, please indicate 'Other'</t>
        </r>
      </text>
    </comment>
    <comment ref="DC2" authorId="0">
      <text>
        <r>
          <rPr>
            <b/>
            <sz val="9"/>
            <color indexed="81"/>
            <rFont val="Tahoma"/>
            <family val="2"/>
            <charset val="238"/>
          </rPr>
          <t>Author:</t>
        </r>
        <r>
          <rPr>
            <sz val="9"/>
            <color indexed="81"/>
            <rFont val="Tahoma"/>
            <family val="2"/>
            <charset val="238"/>
          </rPr>
          <t xml:space="preserve">
Please indicated if employee would like to register family members for health care insurence</t>
        </r>
      </text>
    </comment>
    <comment ref="DN2" authorId="0">
      <text>
        <r>
          <rPr>
            <b/>
            <sz val="9"/>
            <color indexed="81"/>
            <rFont val="Tahoma"/>
            <family val="2"/>
            <charset val="238"/>
          </rPr>
          <t>Author:</t>
        </r>
        <r>
          <rPr>
            <sz val="9"/>
            <color indexed="81"/>
            <rFont val="Tahoma"/>
            <family val="2"/>
            <charset val="238"/>
          </rPr>
          <t xml:space="preserve">
Please indicate for  family member without polish citizenship</t>
        </r>
      </text>
    </comment>
    <comment ref="DU2" authorId="0">
      <text>
        <r>
          <rPr>
            <b/>
            <sz val="9"/>
            <color indexed="81"/>
            <rFont val="Tahoma"/>
            <family val="2"/>
            <charset val="238"/>
          </rPr>
          <t>Author:</t>
        </r>
        <r>
          <rPr>
            <sz val="9"/>
            <color indexed="81"/>
            <rFont val="Tahoma"/>
            <family val="2"/>
            <charset val="238"/>
          </rPr>
          <t xml:space="preserve">
Please indicate if family member have different than employee address</t>
        </r>
      </text>
    </comment>
    <comment ref="EU2" authorId="0">
      <text>
        <r>
          <rPr>
            <b/>
            <sz val="9"/>
            <color indexed="81"/>
            <rFont val="Tahoma"/>
            <family val="2"/>
            <charset val="238"/>
          </rPr>
          <t>Author:</t>
        </r>
        <r>
          <rPr>
            <sz val="9"/>
            <color indexed="81"/>
            <rFont val="Tahoma"/>
            <family val="2"/>
            <charset val="238"/>
          </rPr>
          <t xml:space="preserve">
If in columne ET '1', please indicate the way of termination</t>
        </r>
      </text>
    </comment>
    <comment ref="EV2" authorId="0">
      <text>
        <r>
          <rPr>
            <b/>
            <sz val="9"/>
            <color indexed="81"/>
            <rFont val="Tahoma"/>
            <family val="2"/>
            <charset val="238"/>
          </rPr>
          <t>Author:</t>
        </r>
        <r>
          <rPr>
            <sz val="9"/>
            <color indexed="81"/>
            <rFont val="Tahoma"/>
            <family val="2"/>
            <charset val="238"/>
          </rPr>
          <t xml:space="preserve">
If in columne ET '1', please indicate the date of termination</t>
        </r>
      </text>
    </comment>
    <comment ref="FE2" authorId="0">
      <text>
        <r>
          <rPr>
            <b/>
            <sz val="9"/>
            <color indexed="81"/>
            <rFont val="Tahoma"/>
            <family val="2"/>
            <charset val="238"/>
          </rPr>
          <t>Author:</t>
        </r>
        <r>
          <rPr>
            <sz val="9"/>
            <color indexed="81"/>
            <rFont val="Tahoma"/>
            <family val="2"/>
            <charset val="238"/>
          </rPr>
          <t xml:space="preserve">
If applicable</t>
        </r>
      </text>
    </comment>
    <comment ref="FH2" authorId="0">
      <text>
        <r>
          <rPr>
            <b/>
            <sz val="9"/>
            <color indexed="81"/>
            <rFont val="Tahoma"/>
            <family val="2"/>
            <charset val="238"/>
          </rPr>
          <t>Author:</t>
        </r>
        <r>
          <rPr>
            <sz val="9"/>
            <color indexed="81"/>
            <rFont val="Tahoma"/>
            <family val="2"/>
            <charset val="238"/>
          </rPr>
          <t xml:space="preserve">
If applicable</t>
        </r>
      </text>
    </comment>
  </commentList>
</comments>
</file>

<file path=xl/sharedStrings.xml><?xml version="1.0" encoding="utf-8"?>
<sst xmlns="http://schemas.openxmlformats.org/spreadsheetml/2006/main" count="3032" uniqueCount="2817">
  <si>
    <t>Nazwisko</t>
  </si>
  <si>
    <t>Imię</t>
  </si>
  <si>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</si>
  <si>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</si>
  <si>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</si>
  <si>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</si>
  <si>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</si>
  <si>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</si>
  <si>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</si>
  <si>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</si>
  <si>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</si>
  <si>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</si>
  <si>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</si>
  <si>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</si>
  <si>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</si>
  <si>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</si>
  <si>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</si>
  <si>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</si>
  <si>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OŚWIADCZENIE</t>
  </si>
  <si>
    <t>Pan</t>
  </si>
  <si>
    <t>Pani</t>
  </si>
  <si>
    <t>dla:</t>
  </si>
  <si>
    <t>podpisany</t>
  </si>
  <si>
    <t>podpisana</t>
  </si>
  <si>
    <t>stycznia</t>
  </si>
  <si>
    <t>lutego</t>
  </si>
  <si>
    <t>marca</t>
  </si>
  <si>
    <t>kwietnia</t>
  </si>
  <si>
    <t>maja</t>
  </si>
  <si>
    <t>czerwca</t>
  </si>
  <si>
    <t>lipca</t>
  </si>
  <si>
    <t>sierpnia</t>
  </si>
  <si>
    <t>września</t>
  </si>
  <si>
    <t>listopada</t>
  </si>
  <si>
    <t>grudnia</t>
  </si>
  <si>
    <t>października</t>
  </si>
  <si>
    <t>moja małżonka</t>
  </si>
  <si>
    <t>mój małżonek</t>
  </si>
  <si>
    <t>zgoda na potrącenia z wynagrodzenia opłaty za Multisport</t>
  </si>
  <si>
    <t>Panią</t>
  </si>
  <si>
    <t>Pana</t>
  </si>
  <si>
    <t>dotyczące wyboru pakietu medycznego</t>
  </si>
  <si>
    <t xml:space="preserve">miesiąc (począwszy od wypłaty za </t>
  </si>
  <si>
    <t>styczeń</t>
  </si>
  <si>
    <t>luty</t>
  </si>
  <si>
    <t>marzec</t>
  </si>
  <si>
    <t>kwiecień</t>
  </si>
  <si>
    <t>maj</t>
  </si>
  <si>
    <t>czerwiec</t>
  </si>
  <si>
    <t>lipiec</t>
  </si>
  <si>
    <t>sierpień</t>
  </si>
  <si>
    <t>wrzesień</t>
  </si>
  <si>
    <t>październik</t>
  </si>
  <si>
    <t>listopad</t>
  </si>
  <si>
    <t>grudzień</t>
  </si>
  <si>
    <t xml:space="preserve">) kwoty stanowiącej różnicę między wartością </t>
  </si>
  <si>
    <t>pakietu rodzinnego i pakietu indywidualnego.</t>
  </si>
  <si>
    <t xml:space="preserve">Świadomy </t>
  </si>
  <si>
    <t xml:space="preserve">Świadoma </t>
  </si>
  <si>
    <t>Warsaw,</t>
  </si>
  <si>
    <t>Podpis</t>
  </si>
  <si>
    <t>01R - Dolnośląski Oddział NFZ we Wrocławiu</t>
  </si>
  <si>
    <t>02R - Kujawsko-Pomorski Oddział NFZ w Bydgoszczy</t>
  </si>
  <si>
    <t>03R - Lubelski Oddział NFZ w Lublinie</t>
  </si>
  <si>
    <t>04R - Lubuski Oddział NFZ w Zielonej Górze</t>
  </si>
  <si>
    <t>06R - Małopolski Oddział NFZ w Krakowie</t>
  </si>
  <si>
    <t>07R - Mazowiecki Oddział NFZ w Warszawie</t>
  </si>
  <si>
    <t>08R - Opolski Oddział NFZ w Opolu</t>
  </si>
  <si>
    <t>09R - Podkarpacki Oddział NFZ w Rzeszowie</t>
  </si>
  <si>
    <t>10R - Podlaski Oddział NFZ w Białymstoku</t>
  </si>
  <si>
    <t>11R - Pomorski Oddział NFZ w Gdańsku</t>
  </si>
  <si>
    <t>12R - Śląski Oddział NFZ w Katowicach</t>
  </si>
  <si>
    <t>13R - Świętokrzyski Oddział NFZ w Kielcach</t>
  </si>
  <si>
    <t>14R - Warmińsko-Mazurski Oddział NFZ w Olsztynie</t>
  </si>
  <si>
    <t>15R - Wielkopolski Oddział NFZ w Poznaniu</t>
  </si>
  <si>
    <t>16R - Zachodniopomorski Oddział NFZ w Szczecinie</t>
  </si>
  <si>
    <t>05R - Łódzki Oddział NFZ w Łodzi</t>
  </si>
  <si>
    <t>aleksandrowski</t>
  </si>
  <si>
    <t>augustowski</t>
  </si>
  <si>
    <t>bartoszycki</t>
  </si>
  <si>
    <t>bełchatowski</t>
  </si>
  <si>
    <t>będziński</t>
  </si>
  <si>
    <t>bialski</t>
  </si>
  <si>
    <t>Biała Podlaska</t>
  </si>
  <si>
    <t>białobrzeski</t>
  </si>
  <si>
    <t>białogardzki</t>
  </si>
  <si>
    <t>białostocki</t>
  </si>
  <si>
    <t>Białystok</t>
  </si>
  <si>
    <t>bielski</t>
  </si>
  <si>
    <t>Bielsko-Biała</t>
  </si>
  <si>
    <t>bieruńsko-lędziński</t>
  </si>
  <si>
    <t>bieszczadzki</t>
  </si>
  <si>
    <t>biłgorajski</t>
  </si>
  <si>
    <t>bocheński</t>
  </si>
  <si>
    <t>bolesławiecki</t>
  </si>
  <si>
    <t>braniewski</t>
  </si>
  <si>
    <t>brodnicki</t>
  </si>
  <si>
    <t>brzeski</t>
  </si>
  <si>
    <t>brzeziński</t>
  </si>
  <si>
    <t>brzozowski</t>
  </si>
  <si>
    <t>buski</t>
  </si>
  <si>
    <t>bydgoski</t>
  </si>
  <si>
    <t>Bydgoszcz</t>
  </si>
  <si>
    <t>Bytom</t>
  </si>
  <si>
    <t>bytowski</t>
  </si>
  <si>
    <t>Chełm</t>
  </si>
  <si>
    <t>chełmiński</t>
  </si>
  <si>
    <t>chełmski</t>
  </si>
  <si>
    <t>chodzieski</t>
  </si>
  <si>
    <t>chojnicki</t>
  </si>
  <si>
    <t>Chorzów</t>
  </si>
  <si>
    <t>choszczeński</t>
  </si>
  <si>
    <t>chrzanowski</t>
  </si>
  <si>
    <t>ciechanowski</t>
  </si>
  <si>
    <t>cieszyński</t>
  </si>
  <si>
    <t>czarnkowsko-trzcianecki</t>
  </si>
  <si>
    <t>Częstochowa</t>
  </si>
  <si>
    <t>częstochowski</t>
  </si>
  <si>
    <t>człuchowski</t>
  </si>
  <si>
    <t>Dąbrowa Górnicza</t>
  </si>
  <si>
    <t>dąbrowski</t>
  </si>
  <si>
    <t>dębicki</t>
  </si>
  <si>
    <t>drawski</t>
  </si>
  <si>
    <t>działdowski</t>
  </si>
  <si>
    <t>dzierżoniowski</t>
  </si>
  <si>
    <t>Elbląg</t>
  </si>
  <si>
    <t>elbląski</t>
  </si>
  <si>
    <t>ełcki</t>
  </si>
  <si>
    <t>garwoliński</t>
  </si>
  <si>
    <t>Gdańsk</t>
  </si>
  <si>
    <t>gdański</t>
  </si>
  <si>
    <t>Gdynia</t>
  </si>
  <si>
    <t>giżycki</t>
  </si>
  <si>
    <t>Gliwice</t>
  </si>
  <si>
    <t>gliwicki</t>
  </si>
  <si>
    <t>głogowski</t>
  </si>
  <si>
    <t>głubczycki</t>
  </si>
  <si>
    <t>gnieźnieński</t>
  </si>
  <si>
    <t>goleniowski</t>
  </si>
  <si>
    <t>golubsko-dobrzyński</t>
  </si>
  <si>
    <t>gołdapski</t>
  </si>
  <si>
    <t>gorlicki</t>
  </si>
  <si>
    <t>gorzowski</t>
  </si>
  <si>
    <t>Gorzów Wielkopolski</t>
  </si>
  <si>
    <t>gostyniński</t>
  </si>
  <si>
    <t>gostyński</t>
  </si>
  <si>
    <t>górowski</t>
  </si>
  <si>
    <t>grajewski</t>
  </si>
  <si>
    <t>grodziski</t>
  </si>
  <si>
    <t>grójecki</t>
  </si>
  <si>
    <t>Grudziądz</t>
  </si>
  <si>
    <t>grudziądzki</t>
  </si>
  <si>
    <t>gryficki</t>
  </si>
  <si>
    <t>gryfiński</t>
  </si>
  <si>
    <t>hajnowski</t>
  </si>
  <si>
    <t>hrubieszowski</t>
  </si>
  <si>
    <t>iławski</t>
  </si>
  <si>
    <t>inowrocławski</t>
  </si>
  <si>
    <t>janowski</t>
  </si>
  <si>
    <t>jarociński</t>
  </si>
  <si>
    <t>jarosławski</t>
  </si>
  <si>
    <t>jasielski</t>
  </si>
  <si>
    <t>Jastrzębie-Zdrój</t>
  </si>
  <si>
    <t>jaworski</t>
  </si>
  <si>
    <t>Jaworzno</t>
  </si>
  <si>
    <t>Jelenia Góra</t>
  </si>
  <si>
    <t>jeleniogórski</t>
  </si>
  <si>
    <t>jędrzejowski</t>
  </si>
  <si>
    <t>kaliski</t>
  </si>
  <si>
    <t>Kalisz</t>
  </si>
  <si>
    <t>kamiennogórski</t>
  </si>
  <si>
    <t>kamieński</t>
  </si>
  <si>
    <t>kartuski</t>
  </si>
  <si>
    <t>Katowice</t>
  </si>
  <si>
    <t>kazimierski</t>
  </si>
  <si>
    <t>kędzierzyńsko-kozielski</t>
  </si>
  <si>
    <t>kępiński</t>
  </si>
  <si>
    <t>kętrzyński</t>
  </si>
  <si>
    <t>Kielce</t>
  </si>
  <si>
    <t>kielecki</t>
  </si>
  <si>
    <t>kluczborski</t>
  </si>
  <si>
    <t>kłobucki</t>
  </si>
  <si>
    <t>kłodzki</t>
  </si>
  <si>
    <t>kolbuszowski</t>
  </si>
  <si>
    <t>kolneński</t>
  </si>
  <si>
    <t>kolski</t>
  </si>
  <si>
    <t>kołobrzeski</t>
  </si>
  <si>
    <t>konecki</t>
  </si>
  <si>
    <t>Konin</t>
  </si>
  <si>
    <t>koniński</t>
  </si>
  <si>
    <t>Koszalin</t>
  </si>
  <si>
    <t>koszaliński</t>
  </si>
  <si>
    <t>kościański</t>
  </si>
  <si>
    <t>kościerski</t>
  </si>
  <si>
    <t>kozienicki</t>
  </si>
  <si>
    <t>krakowski</t>
  </si>
  <si>
    <t>Kraków</t>
  </si>
  <si>
    <t>krapkowicki</t>
  </si>
  <si>
    <t>krasnostawski</t>
  </si>
  <si>
    <t>kraśnicki</t>
  </si>
  <si>
    <t>Krosno</t>
  </si>
  <si>
    <t>krośnieński</t>
  </si>
  <si>
    <t>krotoszyński</t>
  </si>
  <si>
    <t>kutnowski</t>
  </si>
  <si>
    <t>kwidzyński</t>
  </si>
  <si>
    <t>legionowski</t>
  </si>
  <si>
    <t>Legnica</t>
  </si>
  <si>
    <t>legnicki</t>
  </si>
  <si>
    <t>leski</t>
  </si>
  <si>
    <t>leszczyński</t>
  </si>
  <si>
    <t>Leszno</t>
  </si>
  <si>
    <t>leżajski</t>
  </si>
  <si>
    <t>lęborski</t>
  </si>
  <si>
    <t>lidzbarski</t>
  </si>
  <si>
    <t>limanowski</t>
  </si>
  <si>
    <t>lipnowski</t>
  </si>
  <si>
    <t>lipski</t>
  </si>
  <si>
    <t>lubaczowski</t>
  </si>
  <si>
    <t>lubański</t>
  </si>
  <si>
    <t>lubartowski</t>
  </si>
  <si>
    <t>lubelski</t>
  </si>
  <si>
    <t>lubiński</t>
  </si>
  <si>
    <t>Lublin</t>
  </si>
  <si>
    <t>lubliniecki</t>
  </si>
  <si>
    <t>lwówecki</t>
  </si>
  <si>
    <t>łańcucki</t>
  </si>
  <si>
    <t>łaski</t>
  </si>
  <si>
    <t>łęczycki</t>
  </si>
  <si>
    <t>łęczyński</t>
  </si>
  <si>
    <t>łobeski</t>
  </si>
  <si>
    <t>Łomża</t>
  </si>
  <si>
    <t>łomżyński</t>
  </si>
  <si>
    <t>łosicki</t>
  </si>
  <si>
    <t>łowicki</t>
  </si>
  <si>
    <t>łódzki wschodni</t>
  </si>
  <si>
    <t>Łódź</t>
  </si>
  <si>
    <t>łukowski</t>
  </si>
  <si>
    <t>makowski</t>
  </si>
  <si>
    <t>malborski</t>
  </si>
  <si>
    <t>miechowski</t>
  </si>
  <si>
    <t>mielecki</t>
  </si>
  <si>
    <t>międzychodzki</t>
  </si>
  <si>
    <t>międzyrzecki</t>
  </si>
  <si>
    <t>mikołowski</t>
  </si>
  <si>
    <t>milicki</t>
  </si>
  <si>
    <t>miński</t>
  </si>
  <si>
    <t>mławski</t>
  </si>
  <si>
    <t>mogileński</t>
  </si>
  <si>
    <t>moniecki</t>
  </si>
  <si>
    <t>mrągowski</t>
  </si>
  <si>
    <t>Mysłowice</t>
  </si>
  <si>
    <t>myszkowski</t>
  </si>
  <si>
    <t>myślenicki</t>
  </si>
  <si>
    <t>myśliborski</t>
  </si>
  <si>
    <t>nakielski</t>
  </si>
  <si>
    <t>namysłowski</t>
  </si>
  <si>
    <t>nidzicki</t>
  </si>
  <si>
    <t>niżański</t>
  </si>
  <si>
    <t>nowodworski</t>
  </si>
  <si>
    <t>nowomiejski</t>
  </si>
  <si>
    <t>nowosądecki</t>
  </si>
  <si>
    <t>nowosolski</t>
  </si>
  <si>
    <t>nowotarski</t>
  </si>
  <si>
    <t>nowotomyski</t>
  </si>
  <si>
    <t>Nowy Sącz</t>
  </si>
  <si>
    <t>nyski</t>
  </si>
  <si>
    <t>obornicki</t>
  </si>
  <si>
    <t>olecki</t>
  </si>
  <si>
    <t>oleski</t>
  </si>
  <si>
    <t>oleśnicki</t>
  </si>
  <si>
    <t>olkuski</t>
  </si>
  <si>
    <t>Olsztyn</t>
  </si>
  <si>
    <t>olsztyński</t>
  </si>
  <si>
    <t>oławski</t>
  </si>
  <si>
    <t>opatowski</t>
  </si>
  <si>
    <t>opoczyński</t>
  </si>
  <si>
    <t>Opole</t>
  </si>
  <si>
    <t>opolski</t>
  </si>
  <si>
    <t>ostrołęcki</t>
  </si>
  <si>
    <t>Ostrołęka</t>
  </si>
  <si>
    <t>ostrowiecki</t>
  </si>
  <si>
    <t>ostrowski</t>
  </si>
  <si>
    <t>ostródzki</t>
  </si>
  <si>
    <t>ostrzeszowski</t>
  </si>
  <si>
    <t>oświęcimski</t>
  </si>
  <si>
    <t>otwocki</t>
  </si>
  <si>
    <t>pabianicki</t>
  </si>
  <si>
    <t>pajęczański</t>
  </si>
  <si>
    <t>parczewski</t>
  </si>
  <si>
    <t>piaseczyński</t>
  </si>
  <si>
    <t>Piekary Śląskie</t>
  </si>
  <si>
    <t>pilski</t>
  </si>
  <si>
    <t>pińczowski</t>
  </si>
  <si>
    <t>piotrkowski</t>
  </si>
  <si>
    <t>Piotrków Trybunalski</t>
  </si>
  <si>
    <t>piski</t>
  </si>
  <si>
    <t>pleszewski</t>
  </si>
  <si>
    <t>Płock</t>
  </si>
  <si>
    <t>płocki</t>
  </si>
  <si>
    <t>płoński</t>
  </si>
  <si>
    <t>poddębicki</t>
  </si>
  <si>
    <t>policki</t>
  </si>
  <si>
    <t>polkowicki</t>
  </si>
  <si>
    <t>Poznań</t>
  </si>
  <si>
    <t>poznański</t>
  </si>
  <si>
    <t>proszowicki</t>
  </si>
  <si>
    <t>prudnicki</t>
  </si>
  <si>
    <t>pruszkowski</t>
  </si>
  <si>
    <t>przasnyski</t>
  </si>
  <si>
    <t>przemyski</t>
  </si>
  <si>
    <t>Przemyśl</t>
  </si>
  <si>
    <t>przeworski</t>
  </si>
  <si>
    <t>przysuski</t>
  </si>
  <si>
    <t>pszczyński</t>
  </si>
  <si>
    <t>pucki</t>
  </si>
  <si>
    <t>puławski</t>
  </si>
  <si>
    <t>pułtuski</t>
  </si>
  <si>
    <t>pyrzycki</t>
  </si>
  <si>
    <t>raciborski</t>
  </si>
  <si>
    <t>Radom</t>
  </si>
  <si>
    <t>radomski</t>
  </si>
  <si>
    <t>radomszczański</t>
  </si>
  <si>
    <t>radziejowski</t>
  </si>
  <si>
    <t>radzyński</t>
  </si>
  <si>
    <t>rawicki</t>
  </si>
  <si>
    <t>rawski</t>
  </si>
  <si>
    <t>ropczycko-sędziszowski</t>
  </si>
  <si>
    <t>Ruda Śląska</t>
  </si>
  <si>
    <t>rybnicki</t>
  </si>
  <si>
    <t>Rybnik</t>
  </si>
  <si>
    <t>rycki</t>
  </si>
  <si>
    <t>rypiński</t>
  </si>
  <si>
    <t>rzeszowski</t>
  </si>
  <si>
    <t>Rzeszów</t>
  </si>
  <si>
    <t>sandomierski</t>
  </si>
  <si>
    <t>sanocki</t>
  </si>
  <si>
    <t>sejneński</t>
  </si>
  <si>
    <t>sępoleński</t>
  </si>
  <si>
    <t>Siedlce</t>
  </si>
  <si>
    <t>siedlecki</t>
  </si>
  <si>
    <t>Siemianowice Śląskie</t>
  </si>
  <si>
    <t>siemiatycki</t>
  </si>
  <si>
    <t>sieradzki</t>
  </si>
  <si>
    <t>sierpecki</t>
  </si>
  <si>
    <t>skarżyski</t>
  </si>
  <si>
    <t>Skierniewice</t>
  </si>
  <si>
    <t>skierniewicki</t>
  </si>
  <si>
    <t>sławieński</t>
  </si>
  <si>
    <t>słubicki</t>
  </si>
  <si>
    <t>słupecki</t>
  </si>
  <si>
    <t>Słupsk</t>
  </si>
  <si>
    <t>słupski</t>
  </si>
  <si>
    <t>sochaczewski</t>
  </si>
  <si>
    <t>sokołowski</t>
  </si>
  <si>
    <t>sokólski</t>
  </si>
  <si>
    <t>Sopot</t>
  </si>
  <si>
    <t>Sosnowiec</t>
  </si>
  <si>
    <t>stalowowolski</t>
  </si>
  <si>
    <t>starachowicki</t>
  </si>
  <si>
    <t>stargardzki</t>
  </si>
  <si>
    <t>starogardzki</t>
  </si>
  <si>
    <t>staszowski</t>
  </si>
  <si>
    <t>strzelecki</t>
  </si>
  <si>
    <t>strzelecko-drezdenecki</t>
  </si>
  <si>
    <t>strzeliński</t>
  </si>
  <si>
    <t>strzyżowski</t>
  </si>
  <si>
    <t>sulęciński</t>
  </si>
  <si>
    <t>suski</t>
  </si>
  <si>
    <t>suwalski</t>
  </si>
  <si>
    <t>Suwałki</t>
  </si>
  <si>
    <t>szamotulski</t>
  </si>
  <si>
    <t>Szczecin</t>
  </si>
  <si>
    <t>szczecinecki</t>
  </si>
  <si>
    <t>szczycieński</t>
  </si>
  <si>
    <t>sztumski</t>
  </si>
  <si>
    <t>szydłowiecki</t>
  </si>
  <si>
    <t>średzki</t>
  </si>
  <si>
    <t>śremski</t>
  </si>
  <si>
    <t>świdnicki</t>
  </si>
  <si>
    <t>świdwiński</t>
  </si>
  <si>
    <t>świebodziński</t>
  </si>
  <si>
    <t>świecki</t>
  </si>
  <si>
    <t>Świętochłowice</t>
  </si>
  <si>
    <t>Świnoujście</t>
  </si>
  <si>
    <t>Tarnobrzeg</t>
  </si>
  <si>
    <t>tarnobrzeski</t>
  </si>
  <si>
    <t>tarnogórski</t>
  </si>
  <si>
    <t>tarnowski</t>
  </si>
  <si>
    <t>Tarnów</t>
  </si>
  <si>
    <t>tatrzański</t>
  </si>
  <si>
    <t>tczewski</t>
  </si>
  <si>
    <t>tomaszowski</t>
  </si>
  <si>
    <t>Toruń</t>
  </si>
  <si>
    <t>toruński</t>
  </si>
  <si>
    <t>trzebnicki</t>
  </si>
  <si>
    <t>tucholski</t>
  </si>
  <si>
    <t>turecki</t>
  </si>
  <si>
    <t>Tychy</t>
  </si>
  <si>
    <t>wadowicki</t>
  </si>
  <si>
    <t>wałbrzyski</t>
  </si>
  <si>
    <t>wałecki</t>
  </si>
  <si>
    <t>Warszawa</t>
  </si>
  <si>
    <t>warszawski zachodni</t>
  </si>
  <si>
    <t>wąbrzeski</t>
  </si>
  <si>
    <t>wągrowiecki</t>
  </si>
  <si>
    <t>wejherowski</t>
  </si>
  <si>
    <t>węgorzewski</t>
  </si>
  <si>
    <t>węgrowski</t>
  </si>
  <si>
    <t>wielicki</t>
  </si>
  <si>
    <t>wieluński</t>
  </si>
  <si>
    <t>wieruszowski</t>
  </si>
  <si>
    <t>Włocławek</t>
  </si>
  <si>
    <t>włocławski</t>
  </si>
  <si>
    <t>włodawski</t>
  </si>
  <si>
    <t>włoszczowski</t>
  </si>
  <si>
    <t>wodzisławski</t>
  </si>
  <si>
    <t>wolsztyński</t>
  </si>
  <si>
    <t>wołomiński</t>
  </si>
  <si>
    <t>wołowski</t>
  </si>
  <si>
    <t>Wrocław</t>
  </si>
  <si>
    <t>wrocławski</t>
  </si>
  <si>
    <t>wrzesiński</t>
  </si>
  <si>
    <t>wschowski</t>
  </si>
  <si>
    <t>wysokomazowiecki</t>
  </si>
  <si>
    <t>wyszkowski</t>
  </si>
  <si>
    <t>Zabrze</t>
  </si>
  <si>
    <t>zambrowski</t>
  </si>
  <si>
    <t>zamojski</t>
  </si>
  <si>
    <t>Zamość</t>
  </si>
  <si>
    <t>zawierciański</t>
  </si>
  <si>
    <t>ząbkowicki</t>
  </si>
  <si>
    <t>zduńskowolski</t>
  </si>
  <si>
    <t>zgierski</t>
  </si>
  <si>
    <t>zgorzelecki</t>
  </si>
  <si>
    <t>Zielona Góra</t>
  </si>
  <si>
    <t>zielonogórski</t>
  </si>
  <si>
    <t>złotoryjski</t>
  </si>
  <si>
    <t>złotowski</t>
  </si>
  <si>
    <t>zwoleński</t>
  </si>
  <si>
    <t>żagański</t>
  </si>
  <si>
    <t>żarski</t>
  </si>
  <si>
    <t>żniński</t>
  </si>
  <si>
    <t>Żory</t>
  </si>
  <si>
    <t>żuromiński</t>
  </si>
  <si>
    <t>żyrardowski</t>
  </si>
  <si>
    <t>żywiecki</t>
  </si>
  <si>
    <t>Abramów</t>
  </si>
  <si>
    <t>Adamów</t>
  </si>
  <si>
    <t>Adamówka</t>
  </si>
  <si>
    <t>Aleksandrów</t>
  </si>
  <si>
    <t>Aleksandrów Kujawski</t>
  </si>
  <si>
    <t>Aleksandrów Łódzki</t>
  </si>
  <si>
    <t>Alwernia</t>
  </si>
  <si>
    <t>Andrespol</t>
  </si>
  <si>
    <t>Andrychów</t>
  </si>
  <si>
    <t>Andrzejewo</t>
  </si>
  <si>
    <t>Annopol</t>
  </si>
  <si>
    <t>Augustów</t>
  </si>
  <si>
    <t>Babiak</t>
  </si>
  <si>
    <t>Babice</t>
  </si>
  <si>
    <t>Babimost</t>
  </si>
  <si>
    <t>Baborów</t>
  </si>
  <si>
    <t>Baboszewo</t>
  </si>
  <si>
    <t>Baćkowice</t>
  </si>
  <si>
    <t>Bakałarzewo</t>
  </si>
  <si>
    <t>Baligród</t>
  </si>
  <si>
    <t>Bałtów</t>
  </si>
  <si>
    <t>Banie</t>
  </si>
  <si>
    <t>Banie Mazurskie</t>
  </si>
  <si>
    <t>Baranowo</t>
  </si>
  <si>
    <t>Baranów</t>
  </si>
  <si>
    <t>Baranów Sandomierski</t>
  </si>
  <si>
    <t>Barciany</t>
  </si>
  <si>
    <t>Barcin</t>
  </si>
  <si>
    <t>Barczewo</t>
  </si>
  <si>
    <t>Bardo</t>
  </si>
  <si>
    <t>Bargłów Kościelny</t>
  </si>
  <si>
    <t>Barlinek</t>
  </si>
  <si>
    <t>Bartniczka</t>
  </si>
  <si>
    <t>Bartoszyce</t>
  </si>
  <si>
    <t>Baruchowo</t>
  </si>
  <si>
    <t>Barwice</t>
  </si>
  <si>
    <t>Batorz</t>
  </si>
  <si>
    <t>Bądkowo</t>
  </si>
  <si>
    <t>Bedlno</t>
  </si>
  <si>
    <t>Bejsce</t>
  </si>
  <si>
    <t>Belsk Duży</t>
  </si>
  <si>
    <t>Bełchatów</t>
  </si>
  <si>
    <t>Bełżec</t>
  </si>
  <si>
    <t>Bełżyce</t>
  </si>
  <si>
    <t>Besko</t>
  </si>
  <si>
    <t>Bestwina</t>
  </si>
  <si>
    <t>Będków</t>
  </si>
  <si>
    <t>Będzin</t>
  </si>
  <si>
    <t>Będzino</t>
  </si>
  <si>
    <t>Biała</t>
  </si>
  <si>
    <t>Biała Piska</t>
  </si>
  <si>
    <t>Biała Rawska</t>
  </si>
  <si>
    <t>Białaczów</t>
  </si>
  <si>
    <t>Białe Błota</t>
  </si>
  <si>
    <t>Białobrzegi</t>
  </si>
  <si>
    <t>Białogard</t>
  </si>
  <si>
    <t>Białopole</t>
  </si>
  <si>
    <t>Białośliwie</t>
  </si>
  <si>
    <t>Białowieża</t>
  </si>
  <si>
    <t>Biały Bór</t>
  </si>
  <si>
    <t>Biały Dunajec</t>
  </si>
  <si>
    <t>Biecz</t>
  </si>
  <si>
    <t>Bielany</t>
  </si>
  <si>
    <t>Bielawa</t>
  </si>
  <si>
    <t>Bielawy</t>
  </si>
  <si>
    <t>Bielice</t>
  </si>
  <si>
    <t>Bieliny</t>
  </si>
  <si>
    <t>Bielsk</t>
  </si>
  <si>
    <t>Bielsk Podlaski</t>
  </si>
  <si>
    <t>Bierawa</t>
  </si>
  <si>
    <t>Bieruń</t>
  </si>
  <si>
    <t>Bierutów</t>
  </si>
  <si>
    <t>Bierzwnik</t>
  </si>
  <si>
    <t>Biesiekierz</t>
  </si>
  <si>
    <t>Bieżuń</t>
  </si>
  <si>
    <t>Biłgoraj</t>
  </si>
  <si>
    <t>Bircza</t>
  </si>
  <si>
    <t>Biskupice</t>
  </si>
  <si>
    <t>Biskupiec</t>
  </si>
  <si>
    <t>Biszcza</t>
  </si>
  <si>
    <t>Bisztynek</t>
  </si>
  <si>
    <t>Blachownia</t>
  </si>
  <si>
    <t>Bledzew</t>
  </si>
  <si>
    <t>Blizanów</t>
  </si>
  <si>
    <t>Bliżyn</t>
  </si>
  <si>
    <t>Błaszki</t>
  </si>
  <si>
    <t>Błażowa</t>
  </si>
  <si>
    <t>Błędów</t>
  </si>
  <si>
    <t>Błonie</t>
  </si>
  <si>
    <t>Bobolice</t>
  </si>
  <si>
    <t>Bobowa</t>
  </si>
  <si>
    <t>Bobowo</t>
  </si>
  <si>
    <t>Bobrowice</t>
  </si>
  <si>
    <t>Bobrowniki</t>
  </si>
  <si>
    <t>Bobrowo</t>
  </si>
  <si>
    <t>Bochnia</t>
  </si>
  <si>
    <t>Boćki</t>
  </si>
  <si>
    <t>Bodzanów</t>
  </si>
  <si>
    <t>Bodzechów</t>
  </si>
  <si>
    <t>Bodzentyn</t>
  </si>
  <si>
    <t>Bogatynia</t>
  </si>
  <si>
    <t>Bogdaniec</t>
  </si>
  <si>
    <t>Bogoria</t>
  </si>
  <si>
    <t>Boguchwała</t>
  </si>
  <si>
    <t>Boguszów-Gorce</t>
  </si>
  <si>
    <t>Boguty-Pianki</t>
  </si>
  <si>
    <t>Bojadła</t>
  </si>
  <si>
    <t>Bojanowo</t>
  </si>
  <si>
    <t>Bojanów</t>
  </si>
  <si>
    <t>Bojszowy</t>
  </si>
  <si>
    <t>Bolesław</t>
  </si>
  <si>
    <t>Bolesławiec</t>
  </si>
  <si>
    <t>Boleszkowice</t>
  </si>
  <si>
    <t>Bolimów</t>
  </si>
  <si>
    <t>Bolków</t>
  </si>
  <si>
    <t>Boniewo</t>
  </si>
  <si>
    <t>Borek Wielkopolski</t>
  </si>
  <si>
    <t>Borki</t>
  </si>
  <si>
    <t>Borkowice</t>
  </si>
  <si>
    <t>Borne Sulinowo</t>
  </si>
  <si>
    <t>Boronów</t>
  </si>
  <si>
    <t>Borowa</t>
  </si>
  <si>
    <t>Borowie</t>
  </si>
  <si>
    <t>Borów</t>
  </si>
  <si>
    <t>Borzechów</t>
  </si>
  <si>
    <t>Borzęcin</t>
  </si>
  <si>
    <t>Borzytuchom</t>
  </si>
  <si>
    <t>Bralin</t>
  </si>
  <si>
    <t>Branice</t>
  </si>
  <si>
    <t>Braniewo</t>
  </si>
  <si>
    <t>Brańsk</t>
  </si>
  <si>
    <t>Brańszczyk</t>
  </si>
  <si>
    <t>Brąszewice</t>
  </si>
  <si>
    <t>Brenna</t>
  </si>
  <si>
    <t>Brochów</t>
  </si>
  <si>
    <t>Brodnica</t>
  </si>
  <si>
    <t>Brody</t>
  </si>
  <si>
    <t>Brojce</t>
  </si>
  <si>
    <t>Brok</t>
  </si>
  <si>
    <t>Brójce</t>
  </si>
  <si>
    <t>Brudzeń Duży</t>
  </si>
  <si>
    <t>Brudzew</t>
  </si>
  <si>
    <t>Brusy</t>
  </si>
  <si>
    <t>Brwinów</t>
  </si>
  <si>
    <t>Brzeg</t>
  </si>
  <si>
    <t>Brzeg Dolny</t>
  </si>
  <si>
    <t>Brzesko</t>
  </si>
  <si>
    <t>Brzeszcze</t>
  </si>
  <si>
    <t>Brześć Kujawski</t>
  </si>
  <si>
    <t>Brzeziny</t>
  </si>
  <si>
    <t>Brzeźnica</t>
  </si>
  <si>
    <t>Brzeźnio</t>
  </si>
  <si>
    <t>Brzeżno</t>
  </si>
  <si>
    <t>Brzostek</t>
  </si>
  <si>
    <t>Brzozie</t>
  </si>
  <si>
    <t>Brzozów</t>
  </si>
  <si>
    <t>Brzuze</t>
  </si>
  <si>
    <t>Brzyska</t>
  </si>
  <si>
    <t>Buczek</t>
  </si>
  <si>
    <t>Buczkowice</t>
  </si>
  <si>
    <t>Budry</t>
  </si>
  <si>
    <t>Budziszewice</t>
  </si>
  <si>
    <t>Budzów</t>
  </si>
  <si>
    <t>Budzyń</t>
  </si>
  <si>
    <t>Buk</t>
  </si>
  <si>
    <t>Bukowiec</t>
  </si>
  <si>
    <t>Bukowina Tatrzańska</t>
  </si>
  <si>
    <t>Bukowno</t>
  </si>
  <si>
    <t>Bukowsko</t>
  </si>
  <si>
    <t>Bulkowo</t>
  </si>
  <si>
    <t>Burzenin</t>
  </si>
  <si>
    <t>Busko-Zdrój</t>
  </si>
  <si>
    <t>Bychawa</t>
  </si>
  <si>
    <t>Byczyna</t>
  </si>
  <si>
    <t>Bystra-Sidzina</t>
  </si>
  <si>
    <t>Bystrzyca Kłodzka</t>
  </si>
  <si>
    <t>Bytnica</t>
  </si>
  <si>
    <t>Bytom Odrzański</t>
  </si>
  <si>
    <t>Bytoń</t>
  </si>
  <si>
    <t>Bytów</t>
  </si>
  <si>
    <t>Cedry Wielkie</t>
  </si>
  <si>
    <t>Cedynia</t>
  </si>
  <si>
    <t>Cegłów</t>
  </si>
  <si>
    <t>Cekcyn</t>
  </si>
  <si>
    <t>Ceków-Kolonia</t>
  </si>
  <si>
    <t>Celestynów</t>
  </si>
  <si>
    <t>Ceranów</t>
  </si>
  <si>
    <t>Cewice</t>
  </si>
  <si>
    <t>Charsznica</t>
  </si>
  <si>
    <t>Chąśno</t>
  </si>
  <si>
    <t>Chełm Śląski</t>
  </si>
  <si>
    <t>Chełmek</t>
  </si>
  <si>
    <t>Chełmiec</t>
  </si>
  <si>
    <t>Chełmno</t>
  </si>
  <si>
    <t>Chełmża</t>
  </si>
  <si>
    <t>Chęciny</t>
  </si>
  <si>
    <t>Chlewiska</t>
  </si>
  <si>
    <t>Chłopice</t>
  </si>
  <si>
    <t>Chmielnik</t>
  </si>
  <si>
    <t>Chmielno</t>
  </si>
  <si>
    <t>Choceń</t>
  </si>
  <si>
    <t>Chocianów</t>
  </si>
  <si>
    <t>Chociwel</t>
  </si>
  <si>
    <t>Chocz</t>
  </si>
  <si>
    <t>Choczewo</t>
  </si>
  <si>
    <t>Chodecz</t>
  </si>
  <si>
    <t>Chodel</t>
  </si>
  <si>
    <t>Chodów</t>
  </si>
  <si>
    <t>Chodzież</t>
  </si>
  <si>
    <t>Chojna</t>
  </si>
  <si>
    <t>Chojnice</t>
  </si>
  <si>
    <t>Chojnów</t>
  </si>
  <si>
    <t>Chorkówka</t>
  </si>
  <si>
    <t>Choroszcz</t>
  </si>
  <si>
    <t>Chorzele</t>
  </si>
  <si>
    <t>Choszczno</t>
  </si>
  <si>
    <t>Chotcza</t>
  </si>
  <si>
    <t>Chrostkowo</t>
  </si>
  <si>
    <t>Chrzanów</t>
  </si>
  <si>
    <t>Chrząstowice</t>
  </si>
  <si>
    <t>Chrzypsko Wielkie</t>
  </si>
  <si>
    <t>Chybie</t>
  </si>
  <si>
    <t>Chynów</t>
  </si>
  <si>
    <t>Ciasna</t>
  </si>
  <si>
    <t>Ciechanowiec</t>
  </si>
  <si>
    <t>Ciechanów</t>
  </si>
  <si>
    <t>Ciechocin</t>
  </si>
  <si>
    <t>Ciechocinek</t>
  </si>
  <si>
    <t>Cielądz</t>
  </si>
  <si>
    <t>Ciepielów</t>
  </si>
  <si>
    <t>Ciepłowody</t>
  </si>
  <si>
    <t>Cieszanów</t>
  </si>
  <si>
    <t>Cieszków</t>
  </si>
  <si>
    <t>Cieszyn</t>
  </si>
  <si>
    <t>Ciężkowice</t>
  </si>
  <si>
    <t>Cisek</t>
  </si>
  <si>
    <t>Cisna</t>
  </si>
  <si>
    <t>Cmolas</t>
  </si>
  <si>
    <t>Cybinka</t>
  </si>
  <si>
    <t>Cyców</t>
  </si>
  <si>
    <t>Czajków</t>
  </si>
  <si>
    <t>Czaplinek</t>
  </si>
  <si>
    <t>Czarna</t>
  </si>
  <si>
    <t>Czarna Białostocka</t>
  </si>
  <si>
    <t>Czarna Dąbrówka</t>
  </si>
  <si>
    <t>Czarna Woda</t>
  </si>
  <si>
    <t>Czarne</t>
  </si>
  <si>
    <t>Czarnia</t>
  </si>
  <si>
    <t>Czarnków</t>
  </si>
  <si>
    <t>Czarnocin</t>
  </si>
  <si>
    <t>Czarnożyły</t>
  </si>
  <si>
    <t>Czarny Bór</t>
  </si>
  <si>
    <t>Czarny Dunajec</t>
  </si>
  <si>
    <t>Czastary</t>
  </si>
  <si>
    <t>Czchów</t>
  </si>
  <si>
    <t>Czechowice-Dziedzice</t>
  </si>
  <si>
    <t>Czeladź</t>
  </si>
  <si>
    <t>Czemierniki</t>
  </si>
  <si>
    <t>Czempiń</t>
  </si>
  <si>
    <t>Czeremcha</t>
  </si>
  <si>
    <t>Czermin</t>
  </si>
  <si>
    <t>Czernica</t>
  </si>
  <si>
    <t>Czernice Borowe</t>
  </si>
  <si>
    <t>Czernichów</t>
  </si>
  <si>
    <t>Czerniejewo</t>
  </si>
  <si>
    <t>Czerniewice</t>
  </si>
  <si>
    <t>Czernikowo</t>
  </si>
  <si>
    <t>Czersk</t>
  </si>
  <si>
    <t>Czerwieńsk</t>
  </si>
  <si>
    <t>Czerwin</t>
  </si>
  <si>
    <t>Czerwińsk nad Wisłą</t>
  </si>
  <si>
    <t>Czerwionka-Leszczyny</t>
  </si>
  <si>
    <t>Czerwonak</t>
  </si>
  <si>
    <t>Czerwonka</t>
  </si>
  <si>
    <t>Człopa</t>
  </si>
  <si>
    <t>Człuchów</t>
  </si>
  <si>
    <t>Czorsztyn</t>
  </si>
  <si>
    <t>Czosnów</t>
  </si>
  <si>
    <t>Czudec</t>
  </si>
  <si>
    <t>Czyże</t>
  </si>
  <si>
    <t>Czyżew</t>
  </si>
  <si>
    <t>Ćmielów</t>
  </si>
  <si>
    <t>Daleszyce</t>
  </si>
  <si>
    <t>Dalików</t>
  </si>
  <si>
    <t>Damasławek</t>
  </si>
  <si>
    <t>Damnica</t>
  </si>
  <si>
    <t>Darłowo</t>
  </si>
  <si>
    <t>Daszyna</t>
  </si>
  <si>
    <t>Dąbie</t>
  </si>
  <si>
    <t>Dąbrowa</t>
  </si>
  <si>
    <t>Dąbrowa Białostocka</t>
  </si>
  <si>
    <t>Dąbrowa Biskupia</t>
  </si>
  <si>
    <t>Dąbrowa Chełmińska</t>
  </si>
  <si>
    <t>Dąbrowa Tarnowska</t>
  </si>
  <si>
    <t>Dąbrowa Zielona</t>
  </si>
  <si>
    <t>Dąbrowice</t>
  </si>
  <si>
    <t>Dąbrówka</t>
  </si>
  <si>
    <t>Dąbrówno</t>
  </si>
  <si>
    <t>Debrzno</t>
  </si>
  <si>
    <t>Deszczno</t>
  </si>
  <si>
    <t>Dębe Wielkie</t>
  </si>
  <si>
    <t>Dębica</t>
  </si>
  <si>
    <t>Dęblin</t>
  </si>
  <si>
    <t>Dębnica Kaszubska</t>
  </si>
  <si>
    <t>Dębno</t>
  </si>
  <si>
    <t>Dębowa Kłoda</t>
  </si>
  <si>
    <t>Dębowa Łąka</t>
  </si>
  <si>
    <t>Dębowiec</t>
  </si>
  <si>
    <t>Długołęka</t>
  </si>
  <si>
    <t>Długosiodło</t>
  </si>
  <si>
    <t>Dłutów</t>
  </si>
  <si>
    <t>Dmosin</t>
  </si>
  <si>
    <t>Dobczyce</t>
  </si>
  <si>
    <t>Dobiegniew</t>
  </si>
  <si>
    <t>Dobra</t>
  </si>
  <si>
    <t>Dobra (Szczecińska)</t>
  </si>
  <si>
    <t>Dobrcz</t>
  </si>
  <si>
    <t>Dobre</t>
  </si>
  <si>
    <t>Dobre Miasto</t>
  </si>
  <si>
    <t>Dobrodzień</t>
  </si>
  <si>
    <t>Dobromierz</t>
  </si>
  <si>
    <t>Dobroń</t>
  </si>
  <si>
    <t>Dobroszyce</t>
  </si>
  <si>
    <t>Dobryszyce</t>
  </si>
  <si>
    <t>Dobrzany</t>
  </si>
  <si>
    <t>Dobrzeń Wielki</t>
  </si>
  <si>
    <t>Dobrzyca</t>
  </si>
  <si>
    <t>Dobrzyniewo Duże</t>
  </si>
  <si>
    <t>Dobrzyń nad Wisłą</t>
  </si>
  <si>
    <t>Dolice</t>
  </si>
  <si>
    <t>Dolsk</t>
  </si>
  <si>
    <t>Dołhobyczów</t>
  </si>
  <si>
    <t>Domanice</t>
  </si>
  <si>
    <t>Domaniewice</t>
  </si>
  <si>
    <t>Domaniów</t>
  </si>
  <si>
    <t>Domaradz</t>
  </si>
  <si>
    <t>Domaszowice</t>
  </si>
  <si>
    <t>Dominowo</t>
  </si>
  <si>
    <t>Dopiewo</t>
  </si>
  <si>
    <t>Dorohusk</t>
  </si>
  <si>
    <t>Doruchów</t>
  </si>
  <si>
    <t>Dragacz</t>
  </si>
  <si>
    <t>Drawno</t>
  </si>
  <si>
    <t>Drawsko</t>
  </si>
  <si>
    <t>Drawsko Pomorskie</t>
  </si>
  <si>
    <t>Drelów</t>
  </si>
  <si>
    <t>Drezdenko</t>
  </si>
  <si>
    <t>Drobin</t>
  </si>
  <si>
    <t>Drohiczyn</t>
  </si>
  <si>
    <t>Drużbice</t>
  </si>
  <si>
    <t>Drwinia</t>
  </si>
  <si>
    <t>Drzewica</t>
  </si>
  <si>
    <t>Drzycim</t>
  </si>
  <si>
    <t>Dubeninki</t>
  </si>
  <si>
    <t>Dubicze Cerkiewne</t>
  </si>
  <si>
    <t>Dubiecko</t>
  </si>
  <si>
    <t>Dubienka</t>
  </si>
  <si>
    <t>Dukla</t>
  </si>
  <si>
    <t>Duszniki</t>
  </si>
  <si>
    <t>Duszniki-Zdrój</t>
  </si>
  <si>
    <t>Dwikozy</t>
  </si>
  <si>
    <t>Dydnia</t>
  </si>
  <si>
    <t>Dygowo</t>
  </si>
  <si>
    <t>Dynów</t>
  </si>
  <si>
    <t>Dywity</t>
  </si>
  <si>
    <t>Dziadkowice</t>
  </si>
  <si>
    <t>Dziadowa Kłoda</t>
  </si>
  <si>
    <t>Działdowo</t>
  </si>
  <si>
    <t>Działoszyce</t>
  </si>
  <si>
    <t>Działoszyn</t>
  </si>
  <si>
    <t>Dziemiany</t>
  </si>
  <si>
    <t>Dzierzążnia</t>
  </si>
  <si>
    <t>Dzierzgoń</t>
  </si>
  <si>
    <t>Dzierzgowo</t>
  </si>
  <si>
    <t>Dzierzkowice</t>
  </si>
  <si>
    <t>Dzierżoniów</t>
  </si>
  <si>
    <t>Dzikowiec</t>
  </si>
  <si>
    <t>Dziwnów</t>
  </si>
  <si>
    <t>Dzwola</t>
  </si>
  <si>
    <t>Dźwierzuty</t>
  </si>
  <si>
    <t>Ełk</t>
  </si>
  <si>
    <t>Fabianki</t>
  </si>
  <si>
    <t>Fajsławice</t>
  </si>
  <si>
    <t>Fałków</t>
  </si>
  <si>
    <t>Filipów</t>
  </si>
  <si>
    <t>Firlej</t>
  </si>
  <si>
    <t>Frampol</t>
  </si>
  <si>
    <t>Fredropol</t>
  </si>
  <si>
    <t>Frombork</t>
  </si>
  <si>
    <t>Frysztak</t>
  </si>
  <si>
    <t>Gać</t>
  </si>
  <si>
    <t>Galewice</t>
  </si>
  <si>
    <t>Garbatka-Letnisko</t>
  </si>
  <si>
    <t>Garbów</t>
  </si>
  <si>
    <t>Gardeja</t>
  </si>
  <si>
    <t>Garwolin</t>
  </si>
  <si>
    <t>Gaszowice</t>
  </si>
  <si>
    <t>Gawłuszowice</t>
  </si>
  <si>
    <t>Gaworzyce</t>
  </si>
  <si>
    <t>Gąbin</t>
  </si>
  <si>
    <t>Gąsawa</t>
  </si>
  <si>
    <t>Gdów</t>
  </si>
  <si>
    <t>Giby</t>
  </si>
  <si>
    <t>Gidle</t>
  </si>
  <si>
    <t>Gielniów</t>
  </si>
  <si>
    <t>Gierałtowice</t>
  </si>
  <si>
    <t>Gietrzwałd</t>
  </si>
  <si>
    <t>Gilowice</t>
  </si>
  <si>
    <t>Gizałki</t>
  </si>
  <si>
    <t>Giżycko</t>
  </si>
  <si>
    <t>Glinojeck</t>
  </si>
  <si>
    <t>Głogów</t>
  </si>
  <si>
    <t>Głogów Małopolski</t>
  </si>
  <si>
    <t>Głogówek</t>
  </si>
  <si>
    <t>Głowaczów</t>
  </si>
  <si>
    <t>Głowno</t>
  </si>
  <si>
    <t>Główczyce</t>
  </si>
  <si>
    <t>Głubczyce</t>
  </si>
  <si>
    <t>Głuchołazy</t>
  </si>
  <si>
    <t>Głuchów</t>
  </si>
  <si>
    <t>Głusk</t>
  </si>
  <si>
    <t>Głuszyca</t>
  </si>
  <si>
    <t>Gniew</t>
  </si>
  <si>
    <t>Gniewino</t>
  </si>
  <si>
    <t>Gniewkowo</t>
  </si>
  <si>
    <t>Gniewoszów</t>
  </si>
  <si>
    <t>Gniezno</t>
  </si>
  <si>
    <t>Gnojnik</t>
  </si>
  <si>
    <t>Gnojno</t>
  </si>
  <si>
    <t>Goczałkowice-Zdrój</t>
  </si>
  <si>
    <t>Godkowo</t>
  </si>
  <si>
    <t>Godów</t>
  </si>
  <si>
    <t>Godzianów</t>
  </si>
  <si>
    <t>Godziesze Wielkie</t>
  </si>
  <si>
    <t>Godziszów</t>
  </si>
  <si>
    <t>Gogolin</t>
  </si>
  <si>
    <t>Golczewo</t>
  </si>
  <si>
    <t>Goleniów</t>
  </si>
  <si>
    <t>Goleszów</t>
  </si>
  <si>
    <t>Golina</t>
  </si>
  <si>
    <t>Golub-Dobrzyń</t>
  </si>
  <si>
    <t>Gołańcz</t>
  </si>
  <si>
    <t>Gołcza</t>
  </si>
  <si>
    <t>Gołdap</t>
  </si>
  <si>
    <t>Gołuchów</t>
  </si>
  <si>
    <t>Gołymin-Ośrodek</t>
  </si>
  <si>
    <t>Gomunice</t>
  </si>
  <si>
    <t>Goniądz</t>
  </si>
  <si>
    <t>Goraj</t>
  </si>
  <si>
    <t>Gorlice</t>
  </si>
  <si>
    <t>Gorzkowice</t>
  </si>
  <si>
    <t>Gorzków</t>
  </si>
  <si>
    <t>Gorzów Śląski</t>
  </si>
  <si>
    <t>Gorzyce</t>
  </si>
  <si>
    <t>Gostycyn</t>
  </si>
  <si>
    <t>Gostynin</t>
  </si>
  <si>
    <t>Gostyń</t>
  </si>
  <si>
    <t>Goszczanów</t>
  </si>
  <si>
    <t>Goszczyn</t>
  </si>
  <si>
    <t>Gościeradów</t>
  </si>
  <si>
    <t>Gościno</t>
  </si>
  <si>
    <t>Gowarczów</t>
  </si>
  <si>
    <t>Goworowo</t>
  </si>
  <si>
    <t>Gozdnica</t>
  </si>
  <si>
    <t>Gozdowo</t>
  </si>
  <si>
    <t>Góra</t>
  </si>
  <si>
    <t>Góra Kalwaria</t>
  </si>
  <si>
    <t>Góra Świętej Małgorzaty</t>
  </si>
  <si>
    <t>Górno</t>
  </si>
  <si>
    <t>Górowo Iławeckie</t>
  </si>
  <si>
    <t>Górzno</t>
  </si>
  <si>
    <t>Górzyca</t>
  </si>
  <si>
    <t>Gózd</t>
  </si>
  <si>
    <t>Grabica</t>
  </si>
  <si>
    <t>Grabowiec</t>
  </si>
  <si>
    <t>Grabowo</t>
  </si>
  <si>
    <t>Grabów</t>
  </si>
  <si>
    <t>Grabów nad Pilicą</t>
  </si>
  <si>
    <t>Grabów nad Prosną</t>
  </si>
  <si>
    <t>Grajewo</t>
  </si>
  <si>
    <t>Granowo</t>
  </si>
  <si>
    <t>Grębków</t>
  </si>
  <si>
    <t>Grębocice</t>
  </si>
  <si>
    <t>Gręboszów</t>
  </si>
  <si>
    <t>Grębów</t>
  </si>
  <si>
    <t>Grodków</t>
  </si>
  <si>
    <t>Grodziczno</t>
  </si>
  <si>
    <t>Grodziec</t>
  </si>
  <si>
    <t>Grodzisk</t>
  </si>
  <si>
    <t>Grodzisk Mazowiecki</t>
  </si>
  <si>
    <t>Grodzisk Wielkopolski</t>
  </si>
  <si>
    <t>Grodzisko Dolne</t>
  </si>
  <si>
    <t>Gromadka</t>
  </si>
  <si>
    <t>Gromnik</t>
  </si>
  <si>
    <t>Gronowo Elbląskie</t>
  </si>
  <si>
    <t>Gródek</t>
  </si>
  <si>
    <t>Gródek nad Dunajcem</t>
  </si>
  <si>
    <t>Grójec</t>
  </si>
  <si>
    <t>Grudusk</t>
  </si>
  <si>
    <t>Grunwald</t>
  </si>
  <si>
    <t>Gruta</t>
  </si>
  <si>
    <t>Grybów</t>
  </si>
  <si>
    <t>Gryfice</t>
  </si>
  <si>
    <t>Gryfino</t>
  </si>
  <si>
    <t>Gryfów Śląski</t>
  </si>
  <si>
    <t>Grzegorzew</t>
  </si>
  <si>
    <t>Grzmiąca</t>
  </si>
  <si>
    <t>Gubin</t>
  </si>
  <si>
    <t>Gzy</t>
  </si>
  <si>
    <t>Haczów</t>
  </si>
  <si>
    <t>Hajnówka</t>
  </si>
  <si>
    <t>Halinów</t>
  </si>
  <si>
    <t>Hanna</t>
  </si>
  <si>
    <t>Hańsk</t>
  </si>
  <si>
    <t>Harasiuki</t>
  </si>
  <si>
    <t>Hażlach</t>
  </si>
  <si>
    <t>Hel</t>
  </si>
  <si>
    <t>Herby</t>
  </si>
  <si>
    <t>Horodło</t>
  </si>
  <si>
    <t>Horyniec-Zdrój</t>
  </si>
  <si>
    <t>Hrubieszów</t>
  </si>
  <si>
    <t>Huszlew</t>
  </si>
  <si>
    <t>Hyżne</t>
  </si>
  <si>
    <t>Igołomia-Wawrzeńczyce</t>
  </si>
  <si>
    <t>Iława</t>
  </si>
  <si>
    <t>Iłowa</t>
  </si>
  <si>
    <t>Iłowo-Osada</t>
  </si>
  <si>
    <t>Iłów</t>
  </si>
  <si>
    <t>Iłża</t>
  </si>
  <si>
    <t>Imielin</t>
  </si>
  <si>
    <t>Imielno</t>
  </si>
  <si>
    <t>Inowłódz</t>
  </si>
  <si>
    <t>Inowrocław</t>
  </si>
  <si>
    <t>Ińsko</t>
  </si>
  <si>
    <t>Irządze</t>
  </si>
  <si>
    <t>Istebna</t>
  </si>
  <si>
    <t>Iwaniska</t>
  </si>
  <si>
    <t>Iwanowice</t>
  </si>
  <si>
    <t>Iwierzyce</t>
  </si>
  <si>
    <t>Iwkowa</t>
  </si>
  <si>
    <t>Iwonicz-Zdrój</t>
  </si>
  <si>
    <t>Izabelin</t>
  </si>
  <si>
    <t>Izbica</t>
  </si>
  <si>
    <t>Izbica Kujawska</t>
  </si>
  <si>
    <t>Izbicko</t>
  </si>
  <si>
    <t>Jabłonka</t>
  </si>
  <si>
    <t>Jabłonna</t>
  </si>
  <si>
    <t>Jabłonna Lacka</t>
  </si>
  <si>
    <t>Jabłonowo Pomorskie</t>
  </si>
  <si>
    <t>Jabłoń</t>
  </si>
  <si>
    <t>Jadów</t>
  </si>
  <si>
    <t>Jaktorów</t>
  </si>
  <si>
    <t>Jakubów</t>
  </si>
  <si>
    <t>Janikowo</t>
  </si>
  <si>
    <t>Janowice Wielkie</t>
  </si>
  <si>
    <t>Janowiec</t>
  </si>
  <si>
    <t>Janowiec Kościelny</t>
  </si>
  <si>
    <t>Janowiec Wielkopolski</t>
  </si>
  <si>
    <t>Janowo</t>
  </si>
  <si>
    <t>Janów</t>
  </si>
  <si>
    <t>Janów Lubelski</t>
  </si>
  <si>
    <t>Janów Podlaski</t>
  </si>
  <si>
    <t>Jaraczewo</t>
  </si>
  <si>
    <t>Jarczów</t>
  </si>
  <si>
    <t>Jarocin</t>
  </si>
  <si>
    <t>Jarosław</t>
  </si>
  <si>
    <t>Jasienica</t>
  </si>
  <si>
    <t>Jasienica Rosielna</t>
  </si>
  <si>
    <t>Jasieniec</t>
  </si>
  <si>
    <t>Jasień</t>
  </si>
  <si>
    <t>Jasionówka</t>
  </si>
  <si>
    <t>Jasło</t>
  </si>
  <si>
    <t>Jastarnia</t>
  </si>
  <si>
    <t>Jastków</t>
  </si>
  <si>
    <t>Jastrowie</t>
  </si>
  <si>
    <t>Jastrząb</t>
  </si>
  <si>
    <t>Jastrzębia</t>
  </si>
  <si>
    <t>Jaśliska</t>
  </si>
  <si>
    <t>Jaświły</t>
  </si>
  <si>
    <t>Jawor</t>
  </si>
  <si>
    <t>Jawornik Polski</t>
  </si>
  <si>
    <t>Jaworze</t>
  </si>
  <si>
    <t>Jaworzyna Śląska</t>
  </si>
  <si>
    <t>Jedlicze</t>
  </si>
  <si>
    <t>Jedlina-Zdrój</t>
  </si>
  <si>
    <t>Jedlińsk</t>
  </si>
  <si>
    <t>Jedlnia-Letnisko</t>
  </si>
  <si>
    <t>Jednorożec</t>
  </si>
  <si>
    <t>Jedwabne</t>
  </si>
  <si>
    <t>Jedwabno</t>
  </si>
  <si>
    <t>Jejkowice</t>
  </si>
  <si>
    <t>Jelcz-Laskowice</t>
  </si>
  <si>
    <t>Jeleniewo</t>
  </si>
  <si>
    <t>Jeleśnia</t>
  </si>
  <si>
    <t>Jemielnica</t>
  </si>
  <si>
    <t>Jemielno</t>
  </si>
  <si>
    <t>Jerzmanowa</t>
  </si>
  <si>
    <t>Jerzmanowice-Przeginia</t>
  </si>
  <si>
    <t>Jeziora Wielkie</t>
  </si>
  <si>
    <t>Jeziorany</t>
  </si>
  <si>
    <t>Jeziorzany</t>
  </si>
  <si>
    <t>Jeżewo</t>
  </si>
  <si>
    <t>Jeżowe</t>
  </si>
  <si>
    <t>Jeżów</t>
  </si>
  <si>
    <t>Jeżów Sudecki</t>
  </si>
  <si>
    <t>Jędrzejów</t>
  </si>
  <si>
    <t>Jodłowa</t>
  </si>
  <si>
    <t>Jodłownik</t>
  </si>
  <si>
    <t>Joniec</t>
  </si>
  <si>
    <t>Jonkowo</t>
  </si>
  <si>
    <t>Jordanów</t>
  </si>
  <si>
    <t>Jordanów Śląski</t>
  </si>
  <si>
    <t>Józefów</t>
  </si>
  <si>
    <t>Józefów nad Wisłą</t>
  </si>
  <si>
    <t>Juchnowiec Kościelny</t>
  </si>
  <si>
    <t>Jutrosin</t>
  </si>
  <si>
    <t>Kaczory</t>
  </si>
  <si>
    <t>Kadzidło</t>
  </si>
  <si>
    <t>Kalety</t>
  </si>
  <si>
    <t>Kalinowo</t>
  </si>
  <si>
    <t>Kaliska</t>
  </si>
  <si>
    <t>Kalisz Pomorski</t>
  </si>
  <si>
    <t>Kalwaria Zebrzydowska</t>
  </si>
  <si>
    <t>Kałuszyn</t>
  </si>
  <si>
    <t>Kamienica</t>
  </si>
  <si>
    <t>Kamienica Polska</t>
  </si>
  <si>
    <t>Kamieniec</t>
  </si>
  <si>
    <t>Kamieniec Ząbkowicki</t>
  </si>
  <si>
    <t>Kamienna Góra</t>
  </si>
  <si>
    <t>Kamiennik</t>
  </si>
  <si>
    <t>Kamień</t>
  </si>
  <si>
    <t>Kamień Krajeński</t>
  </si>
  <si>
    <t>Kamień Pomorski</t>
  </si>
  <si>
    <t>Kamieńsk</t>
  </si>
  <si>
    <t>Kamionka</t>
  </si>
  <si>
    <t>Kamionka Wielka</t>
  </si>
  <si>
    <t>Kampinos</t>
  </si>
  <si>
    <t>Kańczuga</t>
  </si>
  <si>
    <t>Karczew</t>
  </si>
  <si>
    <t>Karczmiska</t>
  </si>
  <si>
    <t>Kargowa</t>
  </si>
  <si>
    <t>Karlino</t>
  </si>
  <si>
    <t>Karnice</t>
  </si>
  <si>
    <t>Karniewo</t>
  </si>
  <si>
    <t>Karpacz</t>
  </si>
  <si>
    <t>Karsin</t>
  </si>
  <si>
    <t>Kartuzy</t>
  </si>
  <si>
    <t>Kawęczyn</t>
  </si>
  <si>
    <t>Kazanów</t>
  </si>
  <si>
    <t>Kazimierz Biskupi</t>
  </si>
  <si>
    <t>Kazimierz Dolny</t>
  </si>
  <si>
    <t>Kazimierza Wielka</t>
  </si>
  <si>
    <t>Kaźmierz</t>
  </si>
  <si>
    <t>Kąkolewnica</t>
  </si>
  <si>
    <t>Kąty Wrocławskie</t>
  </si>
  <si>
    <t>Kcynia</t>
  </si>
  <si>
    <t>Kędzierzyn-Koźle</t>
  </si>
  <si>
    <t>Kępice</t>
  </si>
  <si>
    <t>Kępno</t>
  </si>
  <si>
    <t>Kęsowo</t>
  </si>
  <si>
    <t>Kętrzyn</t>
  </si>
  <si>
    <t>Kęty</t>
  </si>
  <si>
    <t>Kiełczygłów</t>
  </si>
  <si>
    <t>Kiernozia</t>
  </si>
  <si>
    <t>Kietrz</t>
  </si>
  <si>
    <t>Kije</t>
  </si>
  <si>
    <t>Kijewo Królewskie</t>
  </si>
  <si>
    <t>Kikół</t>
  </si>
  <si>
    <t>Kisielice</t>
  </si>
  <si>
    <t>Kiszkowo</t>
  </si>
  <si>
    <t>Kiwity</t>
  </si>
  <si>
    <t>Kleczew</t>
  </si>
  <si>
    <t>Klembów</t>
  </si>
  <si>
    <t>Kleszczele</t>
  </si>
  <si>
    <t>Kleszczewo</t>
  </si>
  <si>
    <t>Kleszczów</t>
  </si>
  <si>
    <t>Klimontów</t>
  </si>
  <si>
    <t>Klonowa</t>
  </si>
  <si>
    <t>Kluczbork</t>
  </si>
  <si>
    <t>Klucze</t>
  </si>
  <si>
    <t>Kluczewsko</t>
  </si>
  <si>
    <t>Kluki</t>
  </si>
  <si>
    <t>Klukowo</t>
  </si>
  <si>
    <t>Klwów</t>
  </si>
  <si>
    <t>Kłaj</t>
  </si>
  <si>
    <t>Kłecko</t>
  </si>
  <si>
    <t>Kłobuck</t>
  </si>
  <si>
    <t>Kłoczew</t>
  </si>
  <si>
    <t>Kłodawa</t>
  </si>
  <si>
    <t>Kłodzko</t>
  </si>
  <si>
    <t>Kłomnice</t>
  </si>
  <si>
    <t>Knurów</t>
  </si>
  <si>
    <t>Knyszyn</t>
  </si>
  <si>
    <t>Kobiele Wielkie</t>
  </si>
  <si>
    <t>Kobierzyce</t>
  </si>
  <si>
    <t>Kobiór</t>
  </si>
  <si>
    <t>Kobyla Góra</t>
  </si>
  <si>
    <t>Kobylanka</t>
  </si>
  <si>
    <t>Kobylin</t>
  </si>
  <si>
    <t>Kobylin-Borzymy</t>
  </si>
  <si>
    <t>Kobylnica</t>
  </si>
  <si>
    <t>Kobyłka</t>
  </si>
  <si>
    <t>Kochanowice</t>
  </si>
  <si>
    <t>Kocierzew Południowy</t>
  </si>
  <si>
    <t>Kock</t>
  </si>
  <si>
    <t>Kocmyrzów-Luborzyca</t>
  </si>
  <si>
    <t>Koczała</t>
  </si>
  <si>
    <t>Kodeń</t>
  </si>
  <si>
    <t>Kodrąb</t>
  </si>
  <si>
    <t>Kolbudy</t>
  </si>
  <si>
    <t>Kolbuszowa</t>
  </si>
  <si>
    <t>Kolno</t>
  </si>
  <si>
    <t>Kolonowskie</t>
  </si>
  <si>
    <t>Kolsko</t>
  </si>
  <si>
    <t>Koluszki</t>
  </si>
  <si>
    <t>Kołaczkowo</t>
  </si>
  <si>
    <t>Kołaczyce</t>
  </si>
  <si>
    <t>Kołaki Kościelne</t>
  </si>
  <si>
    <t>Kołbaskowo</t>
  </si>
  <si>
    <t>Kołbiel</t>
  </si>
  <si>
    <t>Kołczygłowy</t>
  </si>
  <si>
    <t>Koło</t>
  </si>
  <si>
    <t>Kołobrzeg</t>
  </si>
  <si>
    <t>Komańcza</t>
  </si>
  <si>
    <t>Komarówka Podlaska</t>
  </si>
  <si>
    <t>Komarów-Osada</t>
  </si>
  <si>
    <t>Komorniki</t>
  </si>
  <si>
    <t>Komprachcice</t>
  </si>
  <si>
    <t>Konarzyny</t>
  </si>
  <si>
    <t>Kondratowice</t>
  </si>
  <si>
    <t>Koneck</t>
  </si>
  <si>
    <t>Koniecpol</t>
  </si>
  <si>
    <t>Koniusza</t>
  </si>
  <si>
    <t>Konopiska</t>
  </si>
  <si>
    <t>Konopnica</t>
  </si>
  <si>
    <t>Konstancin-Jeziorna</t>
  </si>
  <si>
    <t>Konstantynów</t>
  </si>
  <si>
    <t>Konstantynów Łódzki</t>
  </si>
  <si>
    <t>Końskie</t>
  </si>
  <si>
    <t>Końskowola</t>
  </si>
  <si>
    <t>Koprzywnica</t>
  </si>
  <si>
    <t>Korczew</t>
  </si>
  <si>
    <t>Korczyna</t>
  </si>
  <si>
    <t>Korfantów</t>
  </si>
  <si>
    <t>Kornowac</t>
  </si>
  <si>
    <t>Koronowo</t>
  </si>
  <si>
    <t>Korsze</t>
  </si>
  <si>
    <t>Korycin</t>
  </si>
  <si>
    <t>Korytnica</t>
  </si>
  <si>
    <t>Korzenna</t>
  </si>
  <si>
    <t>Kosakowo</t>
  </si>
  <si>
    <t>Kosów Lacki</t>
  </si>
  <si>
    <t>Kostomłoty</t>
  </si>
  <si>
    <t>Kostrzyn</t>
  </si>
  <si>
    <t>Kostrzyn nad Odrą</t>
  </si>
  <si>
    <t>Koszarawa</t>
  </si>
  <si>
    <t>Koszęcin</t>
  </si>
  <si>
    <t>Koszyce</t>
  </si>
  <si>
    <t>Kościan</t>
  </si>
  <si>
    <t>Kościelec</t>
  </si>
  <si>
    <t>Kościelisko</t>
  </si>
  <si>
    <t>Kościerzyna</t>
  </si>
  <si>
    <t>Kotla</t>
  </si>
  <si>
    <t>Kotlin</t>
  </si>
  <si>
    <t>Kotuń</t>
  </si>
  <si>
    <t>Kowal</t>
  </si>
  <si>
    <t>Kowala</t>
  </si>
  <si>
    <t>Kowale Oleckie</t>
  </si>
  <si>
    <t>Kowalewo Pomorskie</t>
  </si>
  <si>
    <t>Kowary</t>
  </si>
  <si>
    <t>Kowiesy</t>
  </si>
  <si>
    <t>Koziegłowy</t>
  </si>
  <si>
    <t>Kozielice</t>
  </si>
  <si>
    <t>Kozienice</t>
  </si>
  <si>
    <t>Kozłowo</t>
  </si>
  <si>
    <t>Kozłów</t>
  </si>
  <si>
    <t>Kozy</t>
  </si>
  <si>
    <t>Koźmin Wielkopolski</t>
  </si>
  <si>
    <t>Koźminek</t>
  </si>
  <si>
    <t>Kożuchów</t>
  </si>
  <si>
    <t>Kórnik</t>
  </si>
  <si>
    <t>Krajenka</t>
  </si>
  <si>
    <t>Kramsk</t>
  </si>
  <si>
    <t>Krapkowice</t>
  </si>
  <si>
    <t>Krasiczyn</t>
  </si>
  <si>
    <t>Krasne</t>
  </si>
  <si>
    <t>Krasnobród</t>
  </si>
  <si>
    <t>Krasnopol</t>
  </si>
  <si>
    <t>Krasnosielc</t>
  </si>
  <si>
    <t>Krasnystaw</t>
  </si>
  <si>
    <t>Krasocin</t>
  </si>
  <si>
    <t>Kraszewice</t>
  </si>
  <si>
    <t>Kraśniczyn</t>
  </si>
  <si>
    <t>Kraśnik</t>
  </si>
  <si>
    <t>Krempna</t>
  </si>
  <si>
    <t>Krobia</t>
  </si>
  <si>
    <t>Kroczyce</t>
  </si>
  <si>
    <t>Krokowa</t>
  </si>
  <si>
    <t>Krosno Odrzańskie</t>
  </si>
  <si>
    <t>Krościenko nad Dunajcem</t>
  </si>
  <si>
    <t>Krościenko Wyżne</t>
  </si>
  <si>
    <t>Krośnice</t>
  </si>
  <si>
    <t>Krośniewice</t>
  </si>
  <si>
    <t>Krotoszyce</t>
  </si>
  <si>
    <t>Krotoszyn</t>
  </si>
  <si>
    <t>Kruklanki</t>
  </si>
  <si>
    <t>Krupski Młyn</t>
  </si>
  <si>
    <t>Kruszwica</t>
  </si>
  <si>
    <t>Kruszyna</t>
  </si>
  <si>
    <t>Krynica Morska</t>
  </si>
  <si>
    <t>Krynica-Zdrój</t>
  </si>
  <si>
    <t>Krynice</t>
  </si>
  <si>
    <t>Krynki</t>
  </si>
  <si>
    <t>Krypno</t>
  </si>
  <si>
    <t>Krzanowice</t>
  </si>
  <si>
    <t>Krzczonów</t>
  </si>
  <si>
    <t>Krzemieniewo</t>
  </si>
  <si>
    <t>Krzepice</t>
  </si>
  <si>
    <t>Krzeszowice</t>
  </si>
  <si>
    <t>Krzeszów</t>
  </si>
  <si>
    <t>Krzeszyce</t>
  </si>
  <si>
    <t>Krzęcin</t>
  </si>
  <si>
    <t>Krzykosy</t>
  </si>
  <si>
    <t>Krzymów</t>
  </si>
  <si>
    <t>Krzynowłoga Mała</t>
  </si>
  <si>
    <t>Krzywcza</t>
  </si>
  <si>
    <t>Krzywda</t>
  </si>
  <si>
    <t>Krzywiń</t>
  </si>
  <si>
    <t>Krzyż Wielkopolski</t>
  </si>
  <si>
    <t>Krzyżanowice</t>
  </si>
  <si>
    <t>Krzyżanów</t>
  </si>
  <si>
    <t>Ksawerów</t>
  </si>
  <si>
    <t>Książ Wielki</t>
  </si>
  <si>
    <t>Książ Wielkopolski</t>
  </si>
  <si>
    <t>Książki</t>
  </si>
  <si>
    <t>Księżpol</t>
  </si>
  <si>
    <t>Kuczbork-Osada</t>
  </si>
  <si>
    <t>Kudowa-Zdrój</t>
  </si>
  <si>
    <t>Kulesze Kościelne</t>
  </si>
  <si>
    <t>Kunice</t>
  </si>
  <si>
    <t>Kunów</t>
  </si>
  <si>
    <t>Kurów</t>
  </si>
  <si>
    <t>Kuryłówka</t>
  </si>
  <si>
    <t>Kurzętnik</t>
  </si>
  <si>
    <t>Kuślin</t>
  </si>
  <si>
    <t>Kutno</t>
  </si>
  <si>
    <t>Kuźnia Raciborska</t>
  </si>
  <si>
    <t>Kuźnica</t>
  </si>
  <si>
    <t>Kwidzyn</t>
  </si>
  <si>
    <t>Kwilcz</t>
  </si>
  <si>
    <t>Lanckorona</t>
  </si>
  <si>
    <t>Laskowa</t>
  </si>
  <si>
    <t>Lasowice Wielkie</t>
  </si>
  <si>
    <t>Laszki</t>
  </si>
  <si>
    <t>Latowicz</t>
  </si>
  <si>
    <t>Lądek</t>
  </si>
  <si>
    <t>Lądek-Zdrój</t>
  </si>
  <si>
    <t>Legionowo</t>
  </si>
  <si>
    <t>Legnickie Pole</t>
  </si>
  <si>
    <t>Lelis</t>
  </si>
  <si>
    <t>Lelkowo</t>
  </si>
  <si>
    <t>Lelów</t>
  </si>
  <si>
    <t>Leoncin</t>
  </si>
  <si>
    <t>Lesko</t>
  </si>
  <si>
    <t>Lesznowola</t>
  </si>
  <si>
    <t>Leśna</t>
  </si>
  <si>
    <t>Leśna Podlaska</t>
  </si>
  <si>
    <t>Leśnica</t>
  </si>
  <si>
    <t>Leśniowice</t>
  </si>
  <si>
    <t>Lewin Brzeski</t>
  </si>
  <si>
    <t>Lewin Kłodzki</t>
  </si>
  <si>
    <t>Leżajsk</t>
  </si>
  <si>
    <t>Lębork</t>
  </si>
  <si>
    <t>Lędziny</t>
  </si>
  <si>
    <t>Lgota Wielka</t>
  </si>
  <si>
    <t>Libiąż</t>
  </si>
  <si>
    <t>Lichnowy</t>
  </si>
  <si>
    <t>Lidzbark</t>
  </si>
  <si>
    <t>Lidzbark Warmiński</t>
  </si>
  <si>
    <t>Limanowa</t>
  </si>
  <si>
    <t>Linia</t>
  </si>
  <si>
    <t>Liniewo</t>
  </si>
  <si>
    <t>Lipce Reymontowskie</t>
  </si>
  <si>
    <t>Lipiany</t>
  </si>
  <si>
    <t>Lipie</t>
  </si>
  <si>
    <t>Lipinki</t>
  </si>
  <si>
    <t>Lipinki Łużyckie</t>
  </si>
  <si>
    <t>Lipka</t>
  </si>
  <si>
    <t>Lipnica</t>
  </si>
  <si>
    <t>Lipnica Murowana</t>
  </si>
  <si>
    <t>Lipnica Wielka</t>
  </si>
  <si>
    <t>Lipnik</t>
  </si>
  <si>
    <t>Lipno</t>
  </si>
  <si>
    <t>Lipowa</t>
  </si>
  <si>
    <t>Lipowiec Kościelny</t>
  </si>
  <si>
    <t>Lipsk</t>
  </si>
  <si>
    <t>Lipsko</t>
  </si>
  <si>
    <t>Lipusz</t>
  </si>
  <si>
    <t>Lisewo</t>
  </si>
  <si>
    <t>Lisia Góra</t>
  </si>
  <si>
    <t>Lisków</t>
  </si>
  <si>
    <t>Liszki</t>
  </si>
  <si>
    <t>Liw</t>
  </si>
  <si>
    <t>Lniano</t>
  </si>
  <si>
    <t>Lubaczów</t>
  </si>
  <si>
    <t>Lubanie</t>
  </si>
  <si>
    <t>Lubań</t>
  </si>
  <si>
    <t>Lubartów</t>
  </si>
  <si>
    <t>Lubasz</t>
  </si>
  <si>
    <t>Lubawa</t>
  </si>
  <si>
    <t>Lubawka</t>
  </si>
  <si>
    <t>Lubenia</t>
  </si>
  <si>
    <t>Lubichowo</t>
  </si>
  <si>
    <t>Lubicz</t>
  </si>
  <si>
    <t>Lubień</t>
  </si>
  <si>
    <t>Lubień Kujawski</t>
  </si>
  <si>
    <t>Lubiewo</t>
  </si>
  <si>
    <t>Lubin</t>
  </si>
  <si>
    <t>Lubiszyn</t>
  </si>
  <si>
    <t>Lubliniec</t>
  </si>
  <si>
    <t>Lubniewice</t>
  </si>
  <si>
    <t>Lubochnia</t>
  </si>
  <si>
    <t>Lubomia</t>
  </si>
  <si>
    <t>Lubomierz</t>
  </si>
  <si>
    <t>Lubomino</t>
  </si>
  <si>
    <t>Luboń</t>
  </si>
  <si>
    <t>Lubowidz</t>
  </si>
  <si>
    <t>Lubraniec</t>
  </si>
  <si>
    <t>Lubrza</t>
  </si>
  <si>
    <t>Lubsko</t>
  </si>
  <si>
    <t>Lubsza</t>
  </si>
  <si>
    <t>Lubycza Królewska</t>
  </si>
  <si>
    <t>Ludwin</t>
  </si>
  <si>
    <t>Lutocin</t>
  </si>
  <si>
    <t>Lutomiersk</t>
  </si>
  <si>
    <t>Lutowiska</t>
  </si>
  <si>
    <t>Lututów</t>
  </si>
  <si>
    <t>Luzino</t>
  </si>
  <si>
    <t>Lwówek</t>
  </si>
  <si>
    <t>Lwówek Śląski</t>
  </si>
  <si>
    <t>Lyski</t>
  </si>
  <si>
    <t>Łabiszyn</t>
  </si>
  <si>
    <t>Łabowa</t>
  </si>
  <si>
    <t>Łabunie</t>
  </si>
  <si>
    <t>Ładzice</t>
  </si>
  <si>
    <t>Łagiewniki</t>
  </si>
  <si>
    <t>Łagów</t>
  </si>
  <si>
    <t>Łambinowice</t>
  </si>
  <si>
    <t>Łanięta</t>
  </si>
  <si>
    <t>Łańcut</t>
  </si>
  <si>
    <t>Łapanów</t>
  </si>
  <si>
    <t>Łapsze Niżne</t>
  </si>
  <si>
    <t>Łapy</t>
  </si>
  <si>
    <t>Łasin</t>
  </si>
  <si>
    <t>Łask</t>
  </si>
  <si>
    <t>Łaskarzew</t>
  </si>
  <si>
    <t>Łaszczów</t>
  </si>
  <si>
    <t>Łaziska</t>
  </si>
  <si>
    <t>Łaziska Górne</t>
  </si>
  <si>
    <t>Łazy</t>
  </si>
  <si>
    <t>Łąck</t>
  </si>
  <si>
    <t>Łącko</t>
  </si>
  <si>
    <t>Łączna</t>
  </si>
  <si>
    <t>Łeba</t>
  </si>
  <si>
    <t>Łęczna</t>
  </si>
  <si>
    <t>Łęczyca</t>
  </si>
  <si>
    <t>Łęczyce</t>
  </si>
  <si>
    <t>Łęka Opatowska</t>
  </si>
  <si>
    <t>Łękawica</t>
  </si>
  <si>
    <t>Łęki Szlacheckie</t>
  </si>
  <si>
    <t>Łęknica</t>
  </si>
  <si>
    <t>Łobez</t>
  </si>
  <si>
    <t>Łobżenica</t>
  </si>
  <si>
    <t>Łochów</t>
  </si>
  <si>
    <t>Łodygowice</t>
  </si>
  <si>
    <t>Łomazy</t>
  </si>
  <si>
    <t>Łomianki</t>
  </si>
  <si>
    <t>Łoniów</t>
  </si>
  <si>
    <t>Łopiennik Górny</t>
  </si>
  <si>
    <t>Łopuszno</t>
  </si>
  <si>
    <t>Łosice</t>
  </si>
  <si>
    <t>Łososina Dolna</t>
  </si>
  <si>
    <t>Łowicz</t>
  </si>
  <si>
    <t>Łubianka</t>
  </si>
  <si>
    <t>Łubniany</t>
  </si>
  <si>
    <t>Łubnice</t>
  </si>
  <si>
    <t>Łubowo</t>
  </si>
  <si>
    <t>Łukowa</t>
  </si>
  <si>
    <t>Łukowica</t>
  </si>
  <si>
    <t>Łuków</t>
  </si>
  <si>
    <t>Łukta</t>
  </si>
  <si>
    <t>Łużna</t>
  </si>
  <si>
    <t>Łyse</t>
  </si>
  <si>
    <t>Łysomice</t>
  </si>
  <si>
    <t>Łyszkowice</t>
  </si>
  <si>
    <t>Maciejowice</t>
  </si>
  <si>
    <t>Magnuszew</t>
  </si>
  <si>
    <t>Majdan Królewski</t>
  </si>
  <si>
    <t>Maków</t>
  </si>
  <si>
    <t>Maków Mazowiecki</t>
  </si>
  <si>
    <t>Maków Podhalański</t>
  </si>
  <si>
    <t>Malanów</t>
  </si>
  <si>
    <t>Malbork</t>
  </si>
  <si>
    <t>Malczyce</t>
  </si>
  <si>
    <t>Malechowo</t>
  </si>
  <si>
    <t>Mała Wieś</t>
  </si>
  <si>
    <t>Małdyty</t>
  </si>
  <si>
    <t>Małkinia Górna</t>
  </si>
  <si>
    <t>Małogoszcz</t>
  </si>
  <si>
    <t>Małomice</t>
  </si>
  <si>
    <t>Mały Płock</t>
  </si>
  <si>
    <t>Manowo</t>
  </si>
  <si>
    <t>Marcinowice</t>
  </si>
  <si>
    <t>Marciszów</t>
  </si>
  <si>
    <t>Margonin</t>
  </si>
  <si>
    <t>Marianowo</t>
  </si>
  <si>
    <t>Marki</t>
  </si>
  <si>
    <t>Marklowice</t>
  </si>
  <si>
    <t>Markowa</t>
  </si>
  <si>
    <t>Markusy</t>
  </si>
  <si>
    <t>Markuszów</t>
  </si>
  <si>
    <t>Masłowice</t>
  </si>
  <si>
    <t>Masłów</t>
  </si>
  <si>
    <t>Maszewo</t>
  </si>
  <si>
    <t>Medyka</t>
  </si>
  <si>
    <t>Mełgiew</t>
  </si>
  <si>
    <t>Męcinka</t>
  </si>
  <si>
    <t>Mędrzechów</t>
  </si>
  <si>
    <t>Miasteczko Krajeńskie</t>
  </si>
  <si>
    <t>Miasteczko Śląskie</t>
  </si>
  <si>
    <t>Miastko</t>
  </si>
  <si>
    <t>Miastkowo</t>
  </si>
  <si>
    <t>Miastków Kościelny</t>
  </si>
  <si>
    <t>Miączyn</t>
  </si>
  <si>
    <t>Michałowice</t>
  </si>
  <si>
    <t>Michałowo</t>
  </si>
  <si>
    <t>Michałów</t>
  </si>
  <si>
    <t>Michów</t>
  </si>
  <si>
    <t>Miechów</t>
  </si>
  <si>
    <t>Miedziana Góra</t>
  </si>
  <si>
    <t>Miedzichowo</t>
  </si>
  <si>
    <t>Miedzna</t>
  </si>
  <si>
    <t>Miedźna</t>
  </si>
  <si>
    <t>Miedźno</t>
  </si>
  <si>
    <t>Miejsce Piastowe</t>
  </si>
  <si>
    <t>Miejska Górka</t>
  </si>
  <si>
    <t>Mielec</t>
  </si>
  <si>
    <t>Mieleszyn</t>
  </si>
  <si>
    <t>Mielnik</t>
  </si>
  <si>
    <t>Mielno</t>
  </si>
  <si>
    <t>Mieroszów</t>
  </si>
  <si>
    <t>Mierzęcice</t>
  </si>
  <si>
    <t>Mieszkowice</t>
  </si>
  <si>
    <t>Mieścisko</t>
  </si>
  <si>
    <t>Mietków</t>
  </si>
  <si>
    <t>Międzybórz</t>
  </si>
  <si>
    <t>Międzychód</t>
  </si>
  <si>
    <t>Międzylesie</t>
  </si>
  <si>
    <t>Międzyrzec Podlaski</t>
  </si>
  <si>
    <t>Międzyrzecz</t>
  </si>
  <si>
    <t>Międzyzdroje</t>
  </si>
  <si>
    <t>Miękinia</t>
  </si>
  <si>
    <t>Mikołajki</t>
  </si>
  <si>
    <t>Mikołajki Pomorskie</t>
  </si>
  <si>
    <t>Mikołów</t>
  </si>
  <si>
    <t>Mikstat</t>
  </si>
  <si>
    <t>Milanów</t>
  </si>
  <si>
    <t>Milanówek</t>
  </si>
  <si>
    <t>Milejczyce</t>
  </si>
  <si>
    <t>Milejewo</t>
  </si>
  <si>
    <t>Milejów</t>
  </si>
  <si>
    <t>Milicz</t>
  </si>
  <si>
    <t>Milówka</t>
  </si>
  <si>
    <t>Miłakowo</t>
  </si>
  <si>
    <t>Miłki</t>
  </si>
  <si>
    <t>Miłkowice</t>
  </si>
  <si>
    <t>Miłomłyn</t>
  </si>
  <si>
    <t>Miłoradz</t>
  </si>
  <si>
    <t>Miłosław</t>
  </si>
  <si>
    <t>Mińsk Mazowiecki</t>
  </si>
  <si>
    <t>Mircze</t>
  </si>
  <si>
    <t>Mirosławiec</t>
  </si>
  <si>
    <t>Mirów</t>
  </si>
  <si>
    <t>Mirsk</t>
  </si>
  <si>
    <t>Mirzec</t>
  </si>
  <si>
    <t>Mława</t>
  </si>
  <si>
    <t>Młodzieszyn</t>
  </si>
  <si>
    <t>Młynary</t>
  </si>
  <si>
    <t>Młynarze</t>
  </si>
  <si>
    <t>Mniów</t>
  </si>
  <si>
    <t>Mniszków</t>
  </si>
  <si>
    <t>Mochowo</t>
  </si>
  <si>
    <t>Modliborzyce</t>
  </si>
  <si>
    <t>Mogielnica</t>
  </si>
  <si>
    <t>Mogilany</t>
  </si>
  <si>
    <t>Mogilno</t>
  </si>
  <si>
    <t>Mokobody</t>
  </si>
  <si>
    <t>Mokrsko</t>
  </si>
  <si>
    <t>Mońki</t>
  </si>
  <si>
    <t>Morawica</t>
  </si>
  <si>
    <t>Morąg</t>
  </si>
  <si>
    <t>Mordy</t>
  </si>
  <si>
    <t>Moryń</t>
  </si>
  <si>
    <t>Morzeszczyn</t>
  </si>
  <si>
    <t>Mosina</t>
  </si>
  <si>
    <t>Moskorzew</t>
  </si>
  <si>
    <t>Moszczenica</t>
  </si>
  <si>
    <t>Mrągowo</t>
  </si>
  <si>
    <t>Mrocza</t>
  </si>
  <si>
    <t>Mrozy</t>
  </si>
  <si>
    <t>Mstów</t>
  </si>
  <si>
    <t>Mszana</t>
  </si>
  <si>
    <t>Mszana Dolna</t>
  </si>
  <si>
    <t>Mszczonów</t>
  </si>
  <si>
    <t>Mściwojów</t>
  </si>
  <si>
    <t>Mucharz</t>
  </si>
  <si>
    <t>Murowana Goślina</t>
  </si>
  <si>
    <t>Murów</t>
  </si>
  <si>
    <t>Muszyna</t>
  </si>
  <si>
    <t>Mycielin</t>
  </si>
  <si>
    <t>Mykanów</t>
  </si>
  <si>
    <t>Mysłakowice</t>
  </si>
  <si>
    <t>Myszków</t>
  </si>
  <si>
    <t>Myszyniec</t>
  </si>
  <si>
    <t>Myślenice</t>
  </si>
  <si>
    <t>Myślibórz</t>
  </si>
  <si>
    <t>Nadarzyn</t>
  </si>
  <si>
    <t>Nagłowice</t>
  </si>
  <si>
    <t>Nakło nad Notecią</t>
  </si>
  <si>
    <t>Nałęczów</t>
  </si>
  <si>
    <t>Namysłów</t>
  </si>
  <si>
    <t>Narew</t>
  </si>
  <si>
    <t>Narewka</t>
  </si>
  <si>
    <t>Narol</t>
  </si>
  <si>
    <t>Naruszewo</t>
  </si>
  <si>
    <t>Nasielsk</t>
  </si>
  <si>
    <t>Nawojowa</t>
  </si>
  <si>
    <t>Nekla</t>
  </si>
  <si>
    <t>Nędza</t>
  </si>
  <si>
    <t>Nidzica</t>
  </si>
  <si>
    <t>Nieborów</t>
  </si>
  <si>
    <t>Niebylec</t>
  </si>
  <si>
    <t>Niechanowo</t>
  </si>
  <si>
    <t>Niechlów</t>
  </si>
  <si>
    <t>Niedrzwica Duża</t>
  </si>
  <si>
    <t>Niedźwiada</t>
  </si>
  <si>
    <t>Niedźwiedź</t>
  </si>
  <si>
    <t>Niegosławice</t>
  </si>
  <si>
    <t>Niegowa</t>
  </si>
  <si>
    <t>Nielisz</t>
  </si>
  <si>
    <t>Niemce</t>
  </si>
  <si>
    <t>Niemcza</t>
  </si>
  <si>
    <t>Niemodlin</t>
  </si>
  <si>
    <t>Niepołomice</t>
  </si>
  <si>
    <t>Nieporęt</t>
  </si>
  <si>
    <t>Nieszawa</t>
  </si>
  <si>
    <t>Nisko</t>
  </si>
  <si>
    <t>Niwiska</t>
  </si>
  <si>
    <t>Nowa Brzeźnica</t>
  </si>
  <si>
    <t>Nowa Dęba</t>
  </si>
  <si>
    <t>Nowa Karczma</t>
  </si>
  <si>
    <t>Nowa Ruda</t>
  </si>
  <si>
    <t>Nowa Sarzyna</t>
  </si>
  <si>
    <t>Nowa Słupia</t>
  </si>
  <si>
    <t>Nowa Sól</t>
  </si>
  <si>
    <t>Nowa Sucha</t>
  </si>
  <si>
    <t>Nowa Wieś Lęborska</t>
  </si>
  <si>
    <t>Nowa Wieś Wielka</t>
  </si>
  <si>
    <t>Nowe</t>
  </si>
  <si>
    <t>Nowe Brzesko</t>
  </si>
  <si>
    <t>Nowe Miasteczko</t>
  </si>
  <si>
    <t>Nowe Miasto</t>
  </si>
  <si>
    <t>Nowe Miasto Lubawskie</t>
  </si>
  <si>
    <t>Nowe Miasto nad Pilicą</t>
  </si>
  <si>
    <t>Nowe Miasto nad Wartą</t>
  </si>
  <si>
    <t>Nowe Ostrowy</t>
  </si>
  <si>
    <t>Nowe Piekuty</t>
  </si>
  <si>
    <t>Nowe Skalmierzyce</t>
  </si>
  <si>
    <t>Nowe Warpno</t>
  </si>
  <si>
    <t>Nowinka</t>
  </si>
  <si>
    <t>Nowodwór</t>
  </si>
  <si>
    <t>Nowogard</t>
  </si>
  <si>
    <t>Nowogrodziec</t>
  </si>
  <si>
    <t>Nowogród</t>
  </si>
  <si>
    <t>Nowogród Bobrzański</t>
  </si>
  <si>
    <t>Nowogródek Pomorski</t>
  </si>
  <si>
    <t>Nowosolna</t>
  </si>
  <si>
    <t>Nowy Duninów</t>
  </si>
  <si>
    <t>Nowy Dwór</t>
  </si>
  <si>
    <t>Nowy Dwór Gdański</t>
  </si>
  <si>
    <t>Nowy Dwór Mazowiecki</t>
  </si>
  <si>
    <t>Nowy Kawęczyn</t>
  </si>
  <si>
    <t>Nowy Korczyn</t>
  </si>
  <si>
    <t>Nowy Staw</t>
  </si>
  <si>
    <t>Nowy Targ</t>
  </si>
  <si>
    <t>Nowy Tomyśl</t>
  </si>
  <si>
    <t>Nowy Wiśnicz</t>
  </si>
  <si>
    <t>Nowy Żmigród</t>
  </si>
  <si>
    <t>Nozdrzec</t>
  </si>
  <si>
    <t>Nur</t>
  </si>
  <si>
    <t>Nurzec-Stacja</t>
  </si>
  <si>
    <t>Nysa</t>
  </si>
  <si>
    <t>Oborniki</t>
  </si>
  <si>
    <t>Oborniki Śląskie</t>
  </si>
  <si>
    <t>Obrazów</t>
  </si>
  <si>
    <t>Obrowo</t>
  </si>
  <si>
    <t>Obryte</t>
  </si>
  <si>
    <t>Obrzycko</t>
  </si>
  <si>
    <t>Obsza</t>
  </si>
  <si>
    <t>Ochotnica Dolna</t>
  </si>
  <si>
    <t>Odolanów</t>
  </si>
  <si>
    <t>Odrzywół</t>
  </si>
  <si>
    <t>Ogrodzieniec</t>
  </si>
  <si>
    <t>Ojrzeń</t>
  </si>
  <si>
    <t>Okonek</t>
  </si>
  <si>
    <t>Oksa</t>
  </si>
  <si>
    <t>Olecko</t>
  </si>
  <si>
    <t>Olesno</t>
  </si>
  <si>
    <t>Oleszyce</t>
  </si>
  <si>
    <t>Oleśnica</t>
  </si>
  <si>
    <t>Olkusz</t>
  </si>
  <si>
    <t>Olszanica</t>
  </si>
  <si>
    <t>Olszanka</t>
  </si>
  <si>
    <t>Olszewo-Borki</t>
  </si>
  <si>
    <t>Olszówka</t>
  </si>
  <si>
    <t>Olsztynek</t>
  </si>
  <si>
    <t>Olszyna</t>
  </si>
  <si>
    <t>Oława</t>
  </si>
  <si>
    <t>Opalenica</t>
  </si>
  <si>
    <t>Opatowiec</t>
  </si>
  <si>
    <t>Opatów</t>
  </si>
  <si>
    <t>Opatówek</t>
  </si>
  <si>
    <t>Opinogóra Górna</t>
  </si>
  <si>
    <t>Opoczno</t>
  </si>
  <si>
    <t>Opole Lubelskie</t>
  </si>
  <si>
    <t>Oporów</t>
  </si>
  <si>
    <t>Orchowo</t>
  </si>
  <si>
    <t>Orla</t>
  </si>
  <si>
    <t>Orły</t>
  </si>
  <si>
    <t>Orneta</t>
  </si>
  <si>
    <t>Ornontowice</t>
  </si>
  <si>
    <t>Orońsko</t>
  </si>
  <si>
    <t>Orzesze</t>
  </si>
  <si>
    <t>Orzysz</t>
  </si>
  <si>
    <t>Osie</t>
  </si>
  <si>
    <t>Osieck</t>
  </si>
  <si>
    <t>Osieczna</t>
  </si>
  <si>
    <t>Osiecznica</t>
  </si>
  <si>
    <t>Osiek</t>
  </si>
  <si>
    <t>Osiek Jasielski</t>
  </si>
  <si>
    <t>Osiek Mały</t>
  </si>
  <si>
    <t>Osielsko</t>
  </si>
  <si>
    <t>Osięciny</t>
  </si>
  <si>
    <t>Osina</t>
  </si>
  <si>
    <t>Osjaków</t>
  </si>
  <si>
    <t>Ostaszewo</t>
  </si>
  <si>
    <t>Ostroróg</t>
  </si>
  <si>
    <t>Ostrowice</t>
  </si>
  <si>
    <t>Ostrowiec Świętokrzyski</t>
  </si>
  <si>
    <t>Ostrowite</t>
  </si>
  <si>
    <t>Ostróda</t>
  </si>
  <si>
    <t>Ostrów</t>
  </si>
  <si>
    <t>Ostrów Lubelski</t>
  </si>
  <si>
    <t>Ostrów Mazowiecka</t>
  </si>
  <si>
    <t>Ostrów Wielkopolski</t>
  </si>
  <si>
    <t>Ostrówek</t>
  </si>
  <si>
    <t>Ostrzeszów</t>
  </si>
  <si>
    <t>Ośno Lubuskie</t>
  </si>
  <si>
    <t>Oświęcim</t>
  </si>
  <si>
    <t>Otmuchów</t>
  </si>
  <si>
    <t>Otwock</t>
  </si>
  <si>
    <t>Otyń</t>
  </si>
  <si>
    <t>Ozimek</t>
  </si>
  <si>
    <t>Ozorków</t>
  </si>
  <si>
    <t>Ożarowice</t>
  </si>
  <si>
    <t>Ożarów</t>
  </si>
  <si>
    <t>Ożarów Mazowiecki</t>
  </si>
  <si>
    <t>Pabianice</t>
  </si>
  <si>
    <t>Pacanów</t>
  </si>
  <si>
    <t>Pacyna</t>
  </si>
  <si>
    <t>Paczków</t>
  </si>
  <si>
    <t>Padew Narodowa</t>
  </si>
  <si>
    <t>Pajęczno</t>
  </si>
  <si>
    <t>Pakosław</t>
  </si>
  <si>
    <t>Pakosławice</t>
  </si>
  <si>
    <t>Pakość</t>
  </si>
  <si>
    <t>Pałecznica</t>
  </si>
  <si>
    <t>Panki</t>
  </si>
  <si>
    <t>Papowo Biskupie</t>
  </si>
  <si>
    <t>Paprotnia</t>
  </si>
  <si>
    <t>Paradyż</t>
  </si>
  <si>
    <t>Parchowo</t>
  </si>
  <si>
    <t>Parczew</t>
  </si>
  <si>
    <t>Parysów</t>
  </si>
  <si>
    <t>Parzęczew</t>
  </si>
  <si>
    <t>Pasłęk</t>
  </si>
  <si>
    <t>Pasym</t>
  </si>
  <si>
    <t>Paszowice</t>
  </si>
  <si>
    <t>Pawłosiów</t>
  </si>
  <si>
    <t>Pawłowice</t>
  </si>
  <si>
    <t>Pawłowiczki</t>
  </si>
  <si>
    <t>Pawłów</t>
  </si>
  <si>
    <t>Pawonków</t>
  </si>
  <si>
    <t>Pątnów</t>
  </si>
  <si>
    <t>Pcim</t>
  </si>
  <si>
    <t>Pelplin</t>
  </si>
  <si>
    <t>Pełczyce</t>
  </si>
  <si>
    <t>Perlejewo</t>
  </si>
  <si>
    <t>Perzów</t>
  </si>
  <si>
    <t>Pęcław</t>
  </si>
  <si>
    <t>Pęczniew</t>
  </si>
  <si>
    <t>Pępowo</t>
  </si>
  <si>
    <t>Piaseczno</t>
  </si>
  <si>
    <t>Piaski</t>
  </si>
  <si>
    <t>Piastów</t>
  </si>
  <si>
    <t>Piątek</t>
  </si>
  <si>
    <t>Piątnica</t>
  </si>
  <si>
    <t>Piechowice</t>
  </si>
  <si>
    <t>Piecki</t>
  </si>
  <si>
    <t>Piekoszów</t>
  </si>
  <si>
    <t>Pielgrzymka</t>
  </si>
  <si>
    <t>Pieniężno</t>
  </si>
  <si>
    <t>Pieńsk</t>
  </si>
  <si>
    <t>Pierzchnica</t>
  </si>
  <si>
    <t>Pieszyce</t>
  </si>
  <si>
    <t>Pietrowice Wielkie</t>
  </si>
  <si>
    <t>Pilawa</t>
  </si>
  <si>
    <t>Pilchowice</t>
  </si>
  <si>
    <t>Pilica</t>
  </si>
  <si>
    <t>Pilzno</t>
  </si>
  <si>
    <t>Piła</t>
  </si>
  <si>
    <t>Piława Górna</t>
  </si>
  <si>
    <t>Pińczów</t>
  </si>
  <si>
    <t>Pionki</t>
  </si>
  <si>
    <t>Piotrków Kujawski</t>
  </si>
  <si>
    <t>Pisz</t>
  </si>
  <si>
    <t>Piszczac</t>
  </si>
  <si>
    <t>Piwniczna-Zdrój</t>
  </si>
  <si>
    <t>Platerów</t>
  </si>
  <si>
    <t>Platerówka</t>
  </si>
  <si>
    <t>Pleszew</t>
  </si>
  <si>
    <t>Pleśna</t>
  </si>
  <si>
    <t>Płaska</t>
  </si>
  <si>
    <t>Płoniawy-Bramura</t>
  </si>
  <si>
    <t>Płońsk</t>
  </si>
  <si>
    <t>Płoskinia</t>
  </si>
  <si>
    <t>Płośnica</t>
  </si>
  <si>
    <t>Płoty</t>
  </si>
  <si>
    <t>Płużnica</t>
  </si>
  <si>
    <t>Pniewy</t>
  </si>
  <si>
    <t>Pobiedziska</t>
  </si>
  <si>
    <t>Poczesna</t>
  </si>
  <si>
    <t>Poddębice</t>
  </si>
  <si>
    <t>Podedwórze</t>
  </si>
  <si>
    <t>Podegrodzie</t>
  </si>
  <si>
    <t>Podgórzyn</t>
  </si>
  <si>
    <t>Podkowa Leśna</t>
  </si>
  <si>
    <t>Pogorzela</t>
  </si>
  <si>
    <t>Pokój</t>
  </si>
  <si>
    <t>Pokrzywnica</t>
  </si>
  <si>
    <t>Polanica-Zdrój</t>
  </si>
  <si>
    <t>Polanka Wielka</t>
  </si>
  <si>
    <t>Polanów</t>
  </si>
  <si>
    <t>Police</t>
  </si>
  <si>
    <t>Policzna</t>
  </si>
  <si>
    <t>Polkowice</t>
  </si>
  <si>
    <t>Polska Cerekiew</t>
  </si>
  <si>
    <t>Połajewo</t>
  </si>
  <si>
    <t>Połaniec</t>
  </si>
  <si>
    <t>Połczyn-Zdrój</t>
  </si>
  <si>
    <t>Pomiechówek</t>
  </si>
  <si>
    <t>Poniatowa</t>
  </si>
  <si>
    <t>Poniec</t>
  </si>
  <si>
    <t>Popielów</t>
  </si>
  <si>
    <t>Popów</t>
  </si>
  <si>
    <t>Poraj</t>
  </si>
  <si>
    <t>Porąbka</t>
  </si>
  <si>
    <t>Poręba</t>
  </si>
  <si>
    <t>Poronin</t>
  </si>
  <si>
    <t>Postomino</t>
  </si>
  <si>
    <t>Poświętne</t>
  </si>
  <si>
    <t>Potęgowo</t>
  </si>
  <si>
    <t>Potok Górny</t>
  </si>
  <si>
    <t>Potok Wielki</t>
  </si>
  <si>
    <t>Potworów</t>
  </si>
  <si>
    <t>Powidz</t>
  </si>
  <si>
    <t>Pozezdrze</t>
  </si>
  <si>
    <t>Prabuty</t>
  </si>
  <si>
    <t>Praszka</t>
  </si>
  <si>
    <t>Prażmów</t>
  </si>
  <si>
    <t>Prochowice</t>
  </si>
  <si>
    <t>Promna</t>
  </si>
  <si>
    <t>Prostki</t>
  </si>
  <si>
    <t>Proszowice</t>
  </si>
  <si>
    <t>Prószków</t>
  </si>
  <si>
    <t>Pruchnik</t>
  </si>
  <si>
    <t>Prudnik</t>
  </si>
  <si>
    <t>Prusice</t>
  </si>
  <si>
    <t>Pruszcz</t>
  </si>
  <si>
    <t>Pruszcz Gdański</t>
  </si>
  <si>
    <t>Pruszków</t>
  </si>
  <si>
    <t>Przasnysz</t>
  </si>
  <si>
    <t>Przechlewo</t>
  </si>
  <si>
    <t>Przeciszów</t>
  </si>
  <si>
    <t>Przecław</t>
  </si>
  <si>
    <t>Przedbórz</t>
  </si>
  <si>
    <t>Przedecz</t>
  </si>
  <si>
    <t>Przelewice</t>
  </si>
  <si>
    <t>Przemęt</t>
  </si>
  <si>
    <t>Przemków</t>
  </si>
  <si>
    <t>Przerośl</t>
  </si>
  <si>
    <t>Przesmyki</t>
  </si>
  <si>
    <t>Przeworno</t>
  </si>
  <si>
    <t>Przeworsk</t>
  </si>
  <si>
    <t>Przewóz</t>
  </si>
  <si>
    <t>Przodkowo</t>
  </si>
  <si>
    <t>Przybiernów</t>
  </si>
  <si>
    <t>Przygodzice</t>
  </si>
  <si>
    <t>Przykona</t>
  </si>
  <si>
    <t>Przyłęk</t>
  </si>
  <si>
    <t>Przyrów</t>
  </si>
  <si>
    <t>Przystajń</t>
  </si>
  <si>
    <t>Przysucha</t>
  </si>
  <si>
    <t>Przytoczna</t>
  </si>
  <si>
    <t>Przytuły</t>
  </si>
  <si>
    <t>Przytyk</t>
  </si>
  <si>
    <t>Przywidz</t>
  </si>
  <si>
    <t>Psary</t>
  </si>
  <si>
    <t>Pszczew</t>
  </si>
  <si>
    <t>Pszczółki</t>
  </si>
  <si>
    <t>Pszczyna</t>
  </si>
  <si>
    <t>Pszów</t>
  </si>
  <si>
    <t>Puchaczów</t>
  </si>
  <si>
    <t>Puck</t>
  </si>
  <si>
    <t>Puławy</t>
  </si>
  <si>
    <t>Pułtusk</t>
  </si>
  <si>
    <t>Puńsk</t>
  </si>
  <si>
    <t>Purda</t>
  </si>
  <si>
    <t>Puszcza Mariańska</t>
  </si>
  <si>
    <t>Puszczykowo</t>
  </si>
  <si>
    <t>Pyrzyce</t>
  </si>
  <si>
    <t>Pyskowice</t>
  </si>
  <si>
    <t>Pysznica</t>
  </si>
  <si>
    <t>Pyzdry</t>
  </si>
  <si>
    <t>Raba Wyżna</t>
  </si>
  <si>
    <t>Rabka-Zdrój</t>
  </si>
  <si>
    <t>Rachanie</t>
  </si>
  <si>
    <t>Raciąż</t>
  </si>
  <si>
    <t>Raciążek</t>
  </si>
  <si>
    <t>Racibórz</t>
  </si>
  <si>
    <t>Raciechowice</t>
  </si>
  <si>
    <t>Racławice</t>
  </si>
  <si>
    <t>Raczki</t>
  </si>
  <si>
    <t>Radecznica</t>
  </si>
  <si>
    <t>Radgoszcz</t>
  </si>
  <si>
    <t>Radków</t>
  </si>
  <si>
    <t>Radlin</t>
  </si>
  <si>
    <t>Radłów</t>
  </si>
  <si>
    <t>Radomin</t>
  </si>
  <si>
    <t>Radomsko</t>
  </si>
  <si>
    <t>Radomyśl nad Sanem</t>
  </si>
  <si>
    <t>Radomyśl Wielki</t>
  </si>
  <si>
    <t>Radoszyce</t>
  </si>
  <si>
    <t>Radowo Małe</t>
  </si>
  <si>
    <t>Radwanice</t>
  </si>
  <si>
    <t>Radymno</t>
  </si>
  <si>
    <t>Radzanowo</t>
  </si>
  <si>
    <t>Radzanów</t>
  </si>
  <si>
    <t>Radziechowy-Wieprz</t>
  </si>
  <si>
    <t>Radziejowice</t>
  </si>
  <si>
    <t>Radziejów</t>
  </si>
  <si>
    <t>Radziemice</t>
  </si>
  <si>
    <t>Radziłów</t>
  </si>
  <si>
    <t>Radzionków</t>
  </si>
  <si>
    <t>Radzymin</t>
  </si>
  <si>
    <t>Radzyń Chełmiński</t>
  </si>
  <si>
    <t>Radzyń Podlaski</t>
  </si>
  <si>
    <t>Rajcza</t>
  </si>
  <si>
    <t>Rajgród</t>
  </si>
  <si>
    <t>Rakoniewice</t>
  </si>
  <si>
    <t>Raków</t>
  </si>
  <si>
    <t>Rakszawa</t>
  </si>
  <si>
    <t>Raniżów</t>
  </si>
  <si>
    <t>Raszków</t>
  </si>
  <si>
    <t>Raszyn</t>
  </si>
  <si>
    <t>Rawa Mazowiecka</t>
  </si>
  <si>
    <t>Rawicz</t>
  </si>
  <si>
    <t>Rąbino</t>
  </si>
  <si>
    <t>Recz</t>
  </si>
  <si>
    <t>Reda</t>
  </si>
  <si>
    <t>Regimin</t>
  </si>
  <si>
    <t>Regnów</t>
  </si>
  <si>
    <t>Rejowiec</t>
  </si>
  <si>
    <t>Rejowiec Fabryczny</t>
  </si>
  <si>
    <t>Reńska Wieś</t>
  </si>
  <si>
    <t>Repki</t>
  </si>
  <si>
    <t>Resko</t>
  </si>
  <si>
    <t>Reszel</t>
  </si>
  <si>
    <t>Rewal</t>
  </si>
  <si>
    <t>Ręczno</t>
  </si>
  <si>
    <t>Rędziny</t>
  </si>
  <si>
    <t>Rogowo</t>
  </si>
  <si>
    <t>Rogoźno</t>
  </si>
  <si>
    <t>Rogów</t>
  </si>
  <si>
    <t>Rogóźno</t>
  </si>
  <si>
    <t>Rojewo</t>
  </si>
  <si>
    <t>Rokiciny</t>
  </si>
  <si>
    <t>Rokietnica</t>
  </si>
  <si>
    <t>Rokitno</t>
  </si>
  <si>
    <t>Ropa</t>
  </si>
  <si>
    <t>Ropczyce</t>
  </si>
  <si>
    <t>Rossosz</t>
  </si>
  <si>
    <t>Rościszewo</t>
  </si>
  <si>
    <t>Rozdrażew</t>
  </si>
  <si>
    <t>Rozogi</t>
  </si>
  <si>
    <t>Rozprza</t>
  </si>
  <si>
    <t>Roźwienica</t>
  </si>
  <si>
    <t>Różan</t>
  </si>
  <si>
    <t>Ruciane-Nida</t>
  </si>
  <si>
    <t>Ruda Maleniecka</t>
  </si>
  <si>
    <t>Ruda-Huta</t>
  </si>
  <si>
    <t>Rudka</t>
  </si>
  <si>
    <t>Rudna</t>
  </si>
  <si>
    <t>Rudnik</t>
  </si>
  <si>
    <t>Rudnik nad Sanem</t>
  </si>
  <si>
    <t>Rudniki</t>
  </si>
  <si>
    <t>Rudziniec</t>
  </si>
  <si>
    <t>Ruja</t>
  </si>
  <si>
    <t>Rumia</t>
  </si>
  <si>
    <t>Rusiec</t>
  </si>
  <si>
    <t>Rusinów</t>
  </si>
  <si>
    <t>Rutka-Tartak</t>
  </si>
  <si>
    <t>Rutki</t>
  </si>
  <si>
    <t>Rybczewice</t>
  </si>
  <si>
    <t>Rybno</t>
  </si>
  <si>
    <t>Rychliki</t>
  </si>
  <si>
    <t>Rychtal</t>
  </si>
  <si>
    <t>Rychwał</t>
  </si>
  <si>
    <t>Ryczywół</t>
  </si>
  <si>
    <t>Rydułtowy</t>
  </si>
  <si>
    <t>Rydzyna</t>
  </si>
  <si>
    <t>Ryglice</t>
  </si>
  <si>
    <t>Ryjewo</t>
  </si>
  <si>
    <t>Ryki</t>
  </si>
  <si>
    <t>Rymanów</t>
  </si>
  <si>
    <t>Rymań</t>
  </si>
  <si>
    <t>Ryn</t>
  </si>
  <si>
    <t>Rypin</t>
  </si>
  <si>
    <t>Rytro</t>
  </si>
  <si>
    <t>Rytwiany</t>
  </si>
  <si>
    <t>Rząśnia</t>
  </si>
  <si>
    <t>Rząśnik</t>
  </si>
  <si>
    <t>Rzeczenica</t>
  </si>
  <si>
    <t>Rzeczniów</t>
  </si>
  <si>
    <t>Rzeczyca</t>
  </si>
  <si>
    <t>Rzekuń</t>
  </si>
  <si>
    <t>Rzepiennik Strzyżewski</t>
  </si>
  <si>
    <t>Rzepin</t>
  </si>
  <si>
    <t>Rzewnie</t>
  </si>
  <si>
    <t>Rzezawa</t>
  </si>
  <si>
    <t>Rzgów</t>
  </si>
  <si>
    <t>Sabnie</t>
  </si>
  <si>
    <t>Sadki</t>
  </si>
  <si>
    <t>Sadkowice</t>
  </si>
  <si>
    <t>Sadlinki</t>
  </si>
  <si>
    <t>Sadowie</t>
  </si>
  <si>
    <t>Sadowne</t>
  </si>
  <si>
    <t>Samborzec</t>
  </si>
  <si>
    <t>Sandomierz</t>
  </si>
  <si>
    <t>Sanniki</t>
  </si>
  <si>
    <t>Sanok</t>
  </si>
  <si>
    <t>Santok</t>
  </si>
  <si>
    <t>Sarnaki</t>
  </si>
  <si>
    <t>Sawin</t>
  </si>
  <si>
    <t>Secemin</t>
  </si>
  <si>
    <t>Sejny</t>
  </si>
  <si>
    <t>Serniki</t>
  </si>
  <si>
    <t>Serock</t>
  </si>
  <si>
    <t>Serokomla</t>
  </si>
  <si>
    <t>Sędziejowice</t>
  </si>
  <si>
    <t>Sędziszów</t>
  </si>
  <si>
    <t>Sędziszów Małopolski</t>
  </si>
  <si>
    <t>Sękowa</t>
  </si>
  <si>
    <t>Sępopol</t>
  </si>
  <si>
    <t>Sępólno Krajeńskie</t>
  </si>
  <si>
    <t>Sianów</t>
  </si>
  <si>
    <t>Sicienko</t>
  </si>
  <si>
    <t>Sidra</t>
  </si>
  <si>
    <t>Siechnice</t>
  </si>
  <si>
    <t>Sieciechów</t>
  </si>
  <si>
    <t>Siedlec</t>
  </si>
  <si>
    <t>Siedlisko</t>
  </si>
  <si>
    <t>Siedliszcze</t>
  </si>
  <si>
    <t>Siekierczyn</t>
  </si>
  <si>
    <t>Siemiatycze</t>
  </si>
  <si>
    <t>Siemiątkowo</t>
  </si>
  <si>
    <t>Siemień</t>
  </si>
  <si>
    <t>Siemkowice</t>
  </si>
  <si>
    <t>Siemyśl</t>
  </si>
  <si>
    <t>Sieniawa</t>
  </si>
  <si>
    <t>Siennica</t>
  </si>
  <si>
    <t>Siennica Różana</t>
  </si>
  <si>
    <t>Sienno</t>
  </si>
  <si>
    <t>Siepraw</t>
  </si>
  <si>
    <t>Sieradz</t>
  </si>
  <si>
    <t>Sierakowice</t>
  </si>
  <si>
    <t>Sieraków</t>
  </si>
  <si>
    <t>Sieroszewice</t>
  </si>
  <si>
    <t>Sierpc</t>
  </si>
  <si>
    <t>Siewierz</t>
  </si>
  <si>
    <t>Sitkówka-Nowiny</t>
  </si>
  <si>
    <t>Sitno</t>
  </si>
  <si>
    <t>Skalbmierz</t>
  </si>
  <si>
    <t>Skała</t>
  </si>
  <si>
    <t>Skarbimierz</t>
  </si>
  <si>
    <t>Skarszewy</t>
  </si>
  <si>
    <t>Skaryszew</t>
  </si>
  <si>
    <t>Skarżysko Kościelne</t>
  </si>
  <si>
    <t>Skarżysko-Kamienna</t>
  </si>
  <si>
    <t>Skawina</t>
  </si>
  <si>
    <t>Skąpe</t>
  </si>
  <si>
    <t>Skępe</t>
  </si>
  <si>
    <t>Skierbieszów</t>
  </si>
  <si>
    <t>Skoczów</t>
  </si>
  <si>
    <t>Skoki</t>
  </si>
  <si>
    <t>Skołyszyn</t>
  </si>
  <si>
    <t>Skomlin</t>
  </si>
  <si>
    <t>Skoroszyce</t>
  </si>
  <si>
    <t>Skórcz</t>
  </si>
  <si>
    <t>Skórzec</t>
  </si>
  <si>
    <t>Skrwilno</t>
  </si>
  <si>
    <t>Skrzyszów</t>
  </si>
  <si>
    <t>Skulsk</t>
  </si>
  <si>
    <t>Skwierzyna</t>
  </si>
  <si>
    <t>Słaboszów</t>
  </si>
  <si>
    <t>Sława</t>
  </si>
  <si>
    <t>Sławatycze</t>
  </si>
  <si>
    <t>Sławków</t>
  </si>
  <si>
    <t>Sławno</t>
  </si>
  <si>
    <t>Sławoborze</t>
  </si>
  <si>
    <t>Słomniki</t>
  </si>
  <si>
    <t>Słońsk</t>
  </si>
  <si>
    <t>Słopnice</t>
  </si>
  <si>
    <t>Słubice</t>
  </si>
  <si>
    <t>Słupca</t>
  </si>
  <si>
    <t>Słupia</t>
  </si>
  <si>
    <t>Słupia (Jędrzejowska)</t>
  </si>
  <si>
    <t>Słupia (Konecka)</t>
  </si>
  <si>
    <t>Słupno</t>
  </si>
  <si>
    <t>Smętowo Graniczne</t>
  </si>
  <si>
    <t>Smołdzino</t>
  </si>
  <si>
    <t>Smyków</t>
  </si>
  <si>
    <t>Sobienie-Jeziory</t>
  </si>
  <si>
    <t>Sobków</t>
  </si>
  <si>
    <t>Sobolew</t>
  </si>
  <si>
    <t>Sobótka</t>
  </si>
  <si>
    <t>Sochaczew</t>
  </si>
  <si>
    <t>Sochocin</t>
  </si>
  <si>
    <t>Sokolniki</t>
  </si>
  <si>
    <t>Sokołów Małopolski</t>
  </si>
  <si>
    <t>Sokołów Podlaski</t>
  </si>
  <si>
    <t>Sokoły</t>
  </si>
  <si>
    <t>Sokółka</t>
  </si>
  <si>
    <t>Solec Kujawski</t>
  </si>
  <si>
    <t>Solec nad Wisłą</t>
  </si>
  <si>
    <t>Solec-Zdrój</t>
  </si>
  <si>
    <t>Solina</t>
  </si>
  <si>
    <t>Somianka</t>
  </si>
  <si>
    <t>Somonino</t>
  </si>
  <si>
    <t>Sompolno</t>
  </si>
  <si>
    <t>Sońsk</t>
  </si>
  <si>
    <t>Sorkwity</t>
  </si>
  <si>
    <t>Sosnowica</t>
  </si>
  <si>
    <t>Sosnówka</t>
  </si>
  <si>
    <t>Sośnicowice</t>
  </si>
  <si>
    <t>Sośnie</t>
  </si>
  <si>
    <t>Sośno</t>
  </si>
  <si>
    <t>Spiczyn</t>
  </si>
  <si>
    <t>Spytkowice</t>
  </si>
  <si>
    <t>Srokowo</t>
  </si>
  <si>
    <t>Stalowa Wola</t>
  </si>
  <si>
    <t>Stanin</t>
  </si>
  <si>
    <t>Stanisławów</t>
  </si>
  <si>
    <t>Stara Biała</t>
  </si>
  <si>
    <t>Stara Błotnica</t>
  </si>
  <si>
    <t>Stara Dąbrowa</t>
  </si>
  <si>
    <t>Stara Kamienica</t>
  </si>
  <si>
    <t>Stara Kiszewa</t>
  </si>
  <si>
    <t>Stara Kornica</t>
  </si>
  <si>
    <t>Starachowice</t>
  </si>
  <si>
    <t>Starcza</t>
  </si>
  <si>
    <t>Stare Babice</t>
  </si>
  <si>
    <t>Stare Bogaczowice</t>
  </si>
  <si>
    <t>Stare Czarnowo</t>
  </si>
  <si>
    <t>Stare Juchy</t>
  </si>
  <si>
    <t>Stare Kurowo</t>
  </si>
  <si>
    <t>Stare Miasto</t>
  </si>
  <si>
    <t>Stare Pole</t>
  </si>
  <si>
    <t>Stargard Szczeciński</t>
  </si>
  <si>
    <t>Starogard Gdański</t>
  </si>
  <si>
    <t>Staroźreby</t>
  </si>
  <si>
    <t>Stary Brus</t>
  </si>
  <si>
    <t>Stary Dzierzgoń</t>
  </si>
  <si>
    <t>Stary Dzików</t>
  </si>
  <si>
    <t>Stary Lubotyń</t>
  </si>
  <si>
    <t>Stary Sącz</t>
  </si>
  <si>
    <t>Stary Targ</t>
  </si>
  <si>
    <t>Stary Zamość</t>
  </si>
  <si>
    <t>Staszów</t>
  </si>
  <si>
    <t>Stawiguda</t>
  </si>
  <si>
    <t>Stawiski</t>
  </si>
  <si>
    <t>Stawiszyn</t>
  </si>
  <si>
    <t>Stąporków</t>
  </si>
  <si>
    <t>Stegna</t>
  </si>
  <si>
    <t>Stepnica</t>
  </si>
  <si>
    <t>Sterdyń</t>
  </si>
  <si>
    <t>Stęszew</t>
  </si>
  <si>
    <t>Stężyca</t>
  </si>
  <si>
    <t>Stoczek</t>
  </si>
  <si>
    <t>Stoczek Łukowski</t>
  </si>
  <si>
    <t>Stolno</t>
  </si>
  <si>
    <t>Stopnica</t>
  </si>
  <si>
    <t>Stoszowice</t>
  </si>
  <si>
    <t>Strachówka</t>
  </si>
  <si>
    <t>Strawczyn</t>
  </si>
  <si>
    <t>Stromiec</t>
  </si>
  <si>
    <t>Stronie Śląskie</t>
  </si>
  <si>
    <t>Strumień</t>
  </si>
  <si>
    <t>Stryków</t>
  </si>
  <si>
    <t>Stryszawa</t>
  </si>
  <si>
    <t>Stryszów</t>
  </si>
  <si>
    <t>Strzałkowo</t>
  </si>
  <si>
    <t>Strzegom</t>
  </si>
  <si>
    <t>Strzegowo</t>
  </si>
  <si>
    <t>Strzelce</t>
  </si>
  <si>
    <t>Strzelce Krajeńskie</t>
  </si>
  <si>
    <t>Strzelce Opolskie</t>
  </si>
  <si>
    <t>Strzelce Wielkie</t>
  </si>
  <si>
    <t>Strzeleczki</t>
  </si>
  <si>
    <t>Strzelin</t>
  </si>
  <si>
    <t>Strzelno</t>
  </si>
  <si>
    <t>Strzyżewice</t>
  </si>
  <si>
    <t>Strzyżów</t>
  </si>
  <si>
    <t>Stubno</t>
  </si>
  <si>
    <t>Studzienice</t>
  </si>
  <si>
    <t>Stupsk</t>
  </si>
  <si>
    <t>Subkowy</t>
  </si>
  <si>
    <t>Sucha Beskidzka</t>
  </si>
  <si>
    <t>Suchań</t>
  </si>
  <si>
    <t>Suchedniów</t>
  </si>
  <si>
    <t>Suchowola</t>
  </si>
  <si>
    <t>Suchożebry</t>
  </si>
  <si>
    <t>Suchy Dąb</t>
  </si>
  <si>
    <t>Suchy Las</t>
  </si>
  <si>
    <t>Sulechów</t>
  </si>
  <si>
    <t>Sulejów</t>
  </si>
  <si>
    <t>Sulejówek</t>
  </si>
  <si>
    <t>Sulęcin</t>
  </si>
  <si>
    <t>Sulęczyno</t>
  </si>
  <si>
    <t>Sulików</t>
  </si>
  <si>
    <t>Sulmierzyce</t>
  </si>
  <si>
    <t>Sułkowice</t>
  </si>
  <si>
    <t>Sułoszowa</t>
  </si>
  <si>
    <t>Sułów</t>
  </si>
  <si>
    <t>Supraśl</t>
  </si>
  <si>
    <t>Suraż</t>
  </si>
  <si>
    <t>Susiec</t>
  </si>
  <si>
    <t>Susz</t>
  </si>
  <si>
    <t>Suszec</t>
  </si>
  <si>
    <t>Swarzędz</t>
  </si>
  <si>
    <t>Syców</t>
  </si>
  <si>
    <t>Sypniewo</t>
  </si>
  <si>
    <t>Szadek</t>
  </si>
  <si>
    <t>Szaflary</t>
  </si>
  <si>
    <t>Szamocin</t>
  </si>
  <si>
    <t>Szamotuły</t>
  </si>
  <si>
    <t>Szastarka</t>
  </si>
  <si>
    <t>Szczaniec</t>
  </si>
  <si>
    <t>Szczawin Kościelny</t>
  </si>
  <si>
    <t>Szczawnica</t>
  </si>
  <si>
    <t>Szczawno-Zdrój</t>
  </si>
  <si>
    <t>Szczebrzeszyn</t>
  </si>
  <si>
    <t>Szczecinek</t>
  </si>
  <si>
    <t>Szczekociny</t>
  </si>
  <si>
    <t>Szczerców</t>
  </si>
  <si>
    <t>Szczucin</t>
  </si>
  <si>
    <t>Szczuczyn</t>
  </si>
  <si>
    <t>Szczurowa</t>
  </si>
  <si>
    <t>Szczutowo</t>
  </si>
  <si>
    <t>Szczyrk</t>
  </si>
  <si>
    <t>Szczytna</t>
  </si>
  <si>
    <t>Szczytniki</t>
  </si>
  <si>
    <t>Szczytno</t>
  </si>
  <si>
    <t>Szelków</t>
  </si>
  <si>
    <t>Szemud</t>
  </si>
  <si>
    <t>Szepietowo</t>
  </si>
  <si>
    <t>Szerzyny</t>
  </si>
  <si>
    <t>Szklarska Poręba</t>
  </si>
  <si>
    <t>Szlichtyngowa</t>
  </si>
  <si>
    <t>Szprotawa</t>
  </si>
  <si>
    <t>Szreńsk</t>
  </si>
  <si>
    <t>Sztabin</t>
  </si>
  <si>
    <t>Sztum</t>
  </si>
  <si>
    <t>Sztutowo</t>
  </si>
  <si>
    <t>Szubin</t>
  </si>
  <si>
    <t>Szudziałowo</t>
  </si>
  <si>
    <t>Szulborze Wielkie</t>
  </si>
  <si>
    <t>Szumowo</t>
  </si>
  <si>
    <t>Szydłowiec</t>
  </si>
  <si>
    <t>Szydłowo</t>
  </si>
  <si>
    <t>Szydłów</t>
  </si>
  <si>
    <t>Szypliszki</t>
  </si>
  <si>
    <t>Ścinawa</t>
  </si>
  <si>
    <t>Ślemień</t>
  </si>
  <si>
    <t>Ślesin</t>
  </si>
  <si>
    <t>Śliwice</t>
  </si>
  <si>
    <t>Śmigiel</t>
  </si>
  <si>
    <t>Śniadowo</t>
  </si>
  <si>
    <t>Śrem</t>
  </si>
  <si>
    <t>Środa Śląska</t>
  </si>
  <si>
    <t>Środa Wielkopolska</t>
  </si>
  <si>
    <t>Świątki</t>
  </si>
  <si>
    <t>Świątniki Górne</t>
  </si>
  <si>
    <t>Świdnica</t>
  </si>
  <si>
    <t>Świdnik</t>
  </si>
  <si>
    <t>Świdwin</t>
  </si>
  <si>
    <t>Świebodzice</t>
  </si>
  <si>
    <t>Świebodzin</t>
  </si>
  <si>
    <t>Świecie</t>
  </si>
  <si>
    <t>Świecie nad Osą</t>
  </si>
  <si>
    <t>Świedziebnia</t>
  </si>
  <si>
    <t>Świekatowo</t>
  </si>
  <si>
    <t>Świeradów-Zdrój</t>
  </si>
  <si>
    <t>Świercze</t>
  </si>
  <si>
    <t>Świerczów</t>
  </si>
  <si>
    <t>Świerklaniec</t>
  </si>
  <si>
    <t>Świerklany</t>
  </si>
  <si>
    <t>Świerzawa</t>
  </si>
  <si>
    <t>Świerzno</t>
  </si>
  <si>
    <t>Świeszyno</t>
  </si>
  <si>
    <t>Święciechowa</t>
  </si>
  <si>
    <t>Świętajno</t>
  </si>
  <si>
    <t>Świlcza</t>
  </si>
  <si>
    <t>Świnice Warckie</t>
  </si>
  <si>
    <t>Świnna</t>
  </si>
  <si>
    <t>Tarczyn</t>
  </si>
  <si>
    <t>Tarłów</t>
  </si>
  <si>
    <t>Tarnawatka</t>
  </si>
  <si>
    <t>Tarnogród</t>
  </si>
  <si>
    <t>Tarnowiec</t>
  </si>
  <si>
    <t>Tarnowo Podgórne</t>
  </si>
  <si>
    <t>Tarnowskie Góry</t>
  </si>
  <si>
    <t>Tarnów Opolski</t>
  </si>
  <si>
    <t>Tarnówka</t>
  </si>
  <si>
    <t>Tczew</t>
  </si>
  <si>
    <t>Tczów</t>
  </si>
  <si>
    <t>Telatyn</t>
  </si>
  <si>
    <t>Teresin</t>
  </si>
  <si>
    <t>Terespol</t>
  </si>
  <si>
    <t>Tereszpol</t>
  </si>
  <si>
    <t>Tłuchowo</t>
  </si>
  <si>
    <t>Tłuszcz</t>
  </si>
  <si>
    <t>Tokarnia</t>
  </si>
  <si>
    <t>Tolkmicko</t>
  </si>
  <si>
    <t>Tomaszów Lubelski</t>
  </si>
  <si>
    <t>Tomaszów Mazowiecki</t>
  </si>
  <si>
    <t>Tomice</t>
  </si>
  <si>
    <t>Topólka</t>
  </si>
  <si>
    <t>Torzym</t>
  </si>
  <si>
    <t>Toszek</t>
  </si>
  <si>
    <t>Trawniki</t>
  </si>
  <si>
    <t>Trąbki Wielkie</t>
  </si>
  <si>
    <t>Trojanów</t>
  </si>
  <si>
    <t>Troszyn</t>
  </si>
  <si>
    <t>Tryńcza</t>
  </si>
  <si>
    <t>Trzciana</t>
  </si>
  <si>
    <t>Trzcianka</t>
  </si>
  <si>
    <t>Trzcianne</t>
  </si>
  <si>
    <t>Trzciel</t>
  </si>
  <si>
    <t>Trzcinica</t>
  </si>
  <si>
    <t>Trzcińsko-Zdrój</t>
  </si>
  <si>
    <t>Trzebiatów</t>
  </si>
  <si>
    <t>Trzebiechów</t>
  </si>
  <si>
    <t>Trzebiel</t>
  </si>
  <si>
    <t>Trzebielino</t>
  </si>
  <si>
    <t>Trzebieszów</t>
  </si>
  <si>
    <t>Trzebinia</t>
  </si>
  <si>
    <t>Trzebnica</t>
  </si>
  <si>
    <t>Trzebownisko</t>
  </si>
  <si>
    <t>Trzemeszno</t>
  </si>
  <si>
    <t>Trzeszczany</t>
  </si>
  <si>
    <t>Trzyciąż</t>
  </si>
  <si>
    <t>Trzydnik Duży</t>
  </si>
  <si>
    <t>Tuchola</t>
  </si>
  <si>
    <t>Tuchomie</t>
  </si>
  <si>
    <t>Tuchów</t>
  </si>
  <si>
    <t>Tuczępy</t>
  </si>
  <si>
    <t>Tuczna</t>
  </si>
  <si>
    <t>Tuczno</t>
  </si>
  <si>
    <t>Tuliszków</t>
  </si>
  <si>
    <t>Tułowice</t>
  </si>
  <si>
    <t>Tuplice</t>
  </si>
  <si>
    <t>Turawa</t>
  </si>
  <si>
    <t>Turek</t>
  </si>
  <si>
    <t>Turobin</t>
  </si>
  <si>
    <t>Turośl</t>
  </si>
  <si>
    <t>Turośń Kościelna</t>
  </si>
  <si>
    <t>Tuszów Narodowy</t>
  </si>
  <si>
    <t>Tuszyn</t>
  </si>
  <si>
    <t>Twardogóra</t>
  </si>
  <si>
    <t>Tworóg</t>
  </si>
  <si>
    <t>Tychowo</t>
  </si>
  <si>
    <t>Tyczyn</t>
  </si>
  <si>
    <t>Tykocin</t>
  </si>
  <si>
    <t>Tymbark</t>
  </si>
  <si>
    <t>Tyrawa Wołoska</t>
  </si>
  <si>
    <t>Tyszowce</t>
  </si>
  <si>
    <t>Uchanie</t>
  </si>
  <si>
    <t>Udanin</t>
  </si>
  <si>
    <t>Ujazd</t>
  </si>
  <si>
    <t>Ujsoły</t>
  </si>
  <si>
    <t>Ujście</t>
  </si>
  <si>
    <t>Ulan-Majorat</t>
  </si>
  <si>
    <t>Ulanów</t>
  </si>
  <si>
    <t>Ulhówek</t>
  </si>
  <si>
    <t>Ułęż</t>
  </si>
  <si>
    <t>Uniejów</t>
  </si>
  <si>
    <t>Unisław</t>
  </si>
  <si>
    <t>Urszulin</t>
  </si>
  <si>
    <t>Urzędów</t>
  </si>
  <si>
    <t>Ustka</t>
  </si>
  <si>
    <t>Ustronie Morskie</t>
  </si>
  <si>
    <t>Ustroń</t>
  </si>
  <si>
    <t>Ustrzyki Dolne</t>
  </si>
  <si>
    <t>Uście Gorlickie</t>
  </si>
  <si>
    <t>Uścimów</t>
  </si>
  <si>
    <t>Wadowice</t>
  </si>
  <si>
    <t>Wadowice Górne</t>
  </si>
  <si>
    <t>Waganiec</t>
  </si>
  <si>
    <t>Walce</t>
  </si>
  <si>
    <t>Walim</t>
  </si>
  <si>
    <t>Wałbrzych</t>
  </si>
  <si>
    <t>Wałcz</t>
  </si>
  <si>
    <t>Wapno</t>
  </si>
  <si>
    <t>Warka</t>
  </si>
  <si>
    <t>Warlubie</t>
  </si>
  <si>
    <t>Warnice</t>
  </si>
  <si>
    <t>Warta</t>
  </si>
  <si>
    <t>Warta Bolesławiecka</t>
  </si>
  <si>
    <t>Wartkowice</t>
  </si>
  <si>
    <t>Wasilków</t>
  </si>
  <si>
    <t>Waśniów</t>
  </si>
  <si>
    <t>Wąbrzeźno</t>
  </si>
  <si>
    <t>Wąchock</t>
  </si>
  <si>
    <t>Wądroże Wielkie</t>
  </si>
  <si>
    <t>Wągrowiec</t>
  </si>
  <si>
    <t>Wąpielsk</t>
  </si>
  <si>
    <t>Wąsewo</t>
  </si>
  <si>
    <t>Wąsosz</t>
  </si>
  <si>
    <t>Wąwolnica</t>
  </si>
  <si>
    <t>Wejherowo</t>
  </si>
  <si>
    <t>Werbkowice</t>
  </si>
  <si>
    <t>Węgierska Górka</t>
  </si>
  <si>
    <t>Węgliniec</t>
  </si>
  <si>
    <t>Węgorzewo</t>
  </si>
  <si>
    <t>Węgorzyno</t>
  </si>
  <si>
    <t>Węgrów</t>
  </si>
  <si>
    <t>Wiązowna</t>
  </si>
  <si>
    <t>Wiązownica</t>
  </si>
  <si>
    <t>Wiązów</t>
  </si>
  <si>
    <t>Wicko</t>
  </si>
  <si>
    <t>Widawa</t>
  </si>
  <si>
    <t>Widuchowa</t>
  </si>
  <si>
    <t>Wieczfnia Kościelna</t>
  </si>
  <si>
    <t>Wielbark</t>
  </si>
  <si>
    <t>Wieleń</t>
  </si>
  <si>
    <t>Wielgie</t>
  </si>
  <si>
    <t>Wielgomłyny</t>
  </si>
  <si>
    <t>Wielichowo</t>
  </si>
  <si>
    <t>Wieliczka</t>
  </si>
  <si>
    <t>Wieliczki</t>
  </si>
  <si>
    <t>Wieliszew</t>
  </si>
  <si>
    <t>Wielka Nieszawka</t>
  </si>
  <si>
    <t>Wielka Wieś</t>
  </si>
  <si>
    <t>Wielkie Oczy</t>
  </si>
  <si>
    <t>Wielopole Skrzyńskie</t>
  </si>
  <si>
    <t>Wielowieś</t>
  </si>
  <si>
    <t>Wieluń</t>
  </si>
  <si>
    <t>Wieniawa</t>
  </si>
  <si>
    <t>Wieprz</t>
  </si>
  <si>
    <t>Wieruszów</t>
  </si>
  <si>
    <t>Wierzbica</t>
  </si>
  <si>
    <t>Wierzbinek</t>
  </si>
  <si>
    <t>Wierzbno</t>
  </si>
  <si>
    <t>Wierzchlas</t>
  </si>
  <si>
    <t>Wierzchosławice</t>
  </si>
  <si>
    <t>Wierzchowo</t>
  </si>
  <si>
    <t>Wietrzychowice</t>
  </si>
  <si>
    <t>Więcbork</t>
  </si>
  <si>
    <t>Wijewo</t>
  </si>
  <si>
    <t>Wilamowice</t>
  </si>
  <si>
    <t>Wilczęta</t>
  </si>
  <si>
    <t>Wilczyce</t>
  </si>
  <si>
    <t>Wilczyn</t>
  </si>
  <si>
    <t>Wilga</t>
  </si>
  <si>
    <t>Wilkołaz</t>
  </si>
  <si>
    <t>Wilkowice</t>
  </si>
  <si>
    <t>Wilków</t>
  </si>
  <si>
    <t>Winnica</t>
  </si>
  <si>
    <t>Wińsko</t>
  </si>
  <si>
    <t>Wiskitki</t>
  </si>
  <si>
    <t>Wisła</t>
  </si>
  <si>
    <t>Wisznia Mała</t>
  </si>
  <si>
    <t>Wisznice</t>
  </si>
  <si>
    <t>Wiślica</t>
  </si>
  <si>
    <t>Wiśniew</t>
  </si>
  <si>
    <t>Wiśniewo</t>
  </si>
  <si>
    <t>Wiśniowa</t>
  </si>
  <si>
    <t>Witkowo</t>
  </si>
  <si>
    <t>Witnica</t>
  </si>
  <si>
    <t>Witonia</t>
  </si>
  <si>
    <t>Wizna</t>
  </si>
  <si>
    <t>Wiżajny</t>
  </si>
  <si>
    <t>Wleń</t>
  </si>
  <si>
    <t>Władysławowo</t>
  </si>
  <si>
    <t>Władysławów</t>
  </si>
  <si>
    <t>Włodawa</t>
  </si>
  <si>
    <t>Włodowice</t>
  </si>
  <si>
    <t>Włoszakowice</t>
  </si>
  <si>
    <t>Włoszczowa</t>
  </si>
  <si>
    <t>Wodynie</t>
  </si>
  <si>
    <t>Wodzierady</t>
  </si>
  <si>
    <t>Wodzisław</t>
  </si>
  <si>
    <t>Wodzisław Śląski</t>
  </si>
  <si>
    <t>Wohyń</t>
  </si>
  <si>
    <t>Wojaszówka</t>
  </si>
  <si>
    <t>Wojciechowice</t>
  </si>
  <si>
    <t>Wojciechów</t>
  </si>
  <si>
    <t>Wojcieszków</t>
  </si>
  <si>
    <t>Wojcieszów</t>
  </si>
  <si>
    <t>Wojkowice</t>
  </si>
  <si>
    <t>Wojnicz</t>
  </si>
  <si>
    <t>Wojsławice</t>
  </si>
  <si>
    <t>Wola Krzysztoporska</t>
  </si>
  <si>
    <t>Wola Mysłowska</t>
  </si>
  <si>
    <t>Wola Uhruska</t>
  </si>
  <si>
    <t>Wolanów</t>
  </si>
  <si>
    <t>Wolbórz</t>
  </si>
  <si>
    <t>Wolbrom</t>
  </si>
  <si>
    <t>Wolin</t>
  </si>
  <si>
    <t>Wolsztyn</t>
  </si>
  <si>
    <t>Wołczyn</t>
  </si>
  <si>
    <t>Wołomin</t>
  </si>
  <si>
    <t>Wołów</t>
  </si>
  <si>
    <t>Woźniki</t>
  </si>
  <si>
    <t>Wólka</t>
  </si>
  <si>
    <t>Wręczyca Wielka</t>
  </si>
  <si>
    <t>Wronki</t>
  </si>
  <si>
    <t>Wróblew</t>
  </si>
  <si>
    <t>Września</t>
  </si>
  <si>
    <t>Wschowa</t>
  </si>
  <si>
    <t>Wydminy</t>
  </si>
  <si>
    <t>Wymiarki</t>
  </si>
  <si>
    <t>Wyry</t>
  </si>
  <si>
    <t>Wyryki</t>
  </si>
  <si>
    <t>Wyrzysk</t>
  </si>
  <si>
    <t>Wysoka</t>
  </si>
  <si>
    <t>Wysokie</t>
  </si>
  <si>
    <t>Wysokie Mazowieckie</t>
  </si>
  <si>
    <t>Wyszki</t>
  </si>
  <si>
    <t>Wyszków</t>
  </si>
  <si>
    <t>Wyszogród</t>
  </si>
  <si>
    <t>Wyśmierzyce</t>
  </si>
  <si>
    <t>Zabierzów</t>
  </si>
  <si>
    <t>Zabłudów</t>
  </si>
  <si>
    <t>Zabór</t>
  </si>
  <si>
    <t>Zabrodzie</t>
  </si>
  <si>
    <t>Zadzim</t>
  </si>
  <si>
    <t>Zagnańsk</t>
  </si>
  <si>
    <t>Zagórów</t>
  </si>
  <si>
    <t>Zagórz</t>
  </si>
  <si>
    <t>Zagrodno</t>
  </si>
  <si>
    <t>Zakliczyn</t>
  </si>
  <si>
    <t>Zaklików</t>
  </si>
  <si>
    <t>Zakopane</t>
  </si>
  <si>
    <t>Zakroczym</t>
  </si>
  <si>
    <t>Zakrzew</t>
  </si>
  <si>
    <t>Zakrzewo</t>
  </si>
  <si>
    <t>Zakrzówek</t>
  </si>
  <si>
    <t>Zalesie</t>
  </si>
  <si>
    <t>Zaleszany</t>
  </si>
  <si>
    <t>Zalewo</t>
  </si>
  <si>
    <t>Załuski</t>
  </si>
  <si>
    <t>Zambrów</t>
  </si>
  <si>
    <t>Zaniemyśl</t>
  </si>
  <si>
    <t>Zapolice</t>
  </si>
  <si>
    <t>Zaręby Kościelne</t>
  </si>
  <si>
    <t>Zarszyn</t>
  </si>
  <si>
    <t>Zarzecze</t>
  </si>
  <si>
    <t>Zator</t>
  </si>
  <si>
    <t>Zatory</t>
  </si>
  <si>
    <t>Zawady</t>
  </si>
  <si>
    <t>Zawadzkie</t>
  </si>
  <si>
    <t>Zawichost</t>
  </si>
  <si>
    <t>Zawidów</t>
  </si>
  <si>
    <t>Zawidz</t>
  </si>
  <si>
    <t>Zawiercie</t>
  </si>
  <si>
    <t>Zawoja</t>
  </si>
  <si>
    <t>Zawonia</t>
  </si>
  <si>
    <t>Ząbki</t>
  </si>
  <si>
    <t>Ząbkowice Śląskie</t>
  </si>
  <si>
    <t>Zbąszynek</t>
  </si>
  <si>
    <t>Zbąszyń</t>
  </si>
  <si>
    <t>Zbiczno</t>
  </si>
  <si>
    <t>Zblewo</t>
  </si>
  <si>
    <t>Zbójna</t>
  </si>
  <si>
    <t>Zbójno</t>
  </si>
  <si>
    <t>Zbrosławice</t>
  </si>
  <si>
    <t>Zbuczyn</t>
  </si>
  <si>
    <t>Zduny</t>
  </si>
  <si>
    <t>Zduńska Wola</t>
  </si>
  <si>
    <t>Zdzieszowice</t>
  </si>
  <si>
    <t>Zebrzydowice</t>
  </si>
  <si>
    <t>Zelów</t>
  </si>
  <si>
    <t>Zembrzyce</t>
  </si>
  <si>
    <t>Zębowice</t>
  </si>
  <si>
    <t>Zgierz</t>
  </si>
  <si>
    <t>Zgorzelec</t>
  </si>
  <si>
    <t>Zielonka</t>
  </si>
  <si>
    <t>Zielonki</t>
  </si>
  <si>
    <t>Ziębice</t>
  </si>
  <si>
    <t>Zławieś Wielka</t>
  </si>
  <si>
    <t>Złocieniec</t>
  </si>
  <si>
    <t>Złoczew</t>
  </si>
  <si>
    <t>Złota</t>
  </si>
  <si>
    <t>Złotniki Kujawskie</t>
  </si>
  <si>
    <t>Złotoryja</t>
  </si>
  <si>
    <t>Złotów</t>
  </si>
  <si>
    <t>Złoty Stok</t>
  </si>
  <si>
    <t>Zwierzyn</t>
  </si>
  <si>
    <t>Zwierzyniec</t>
  </si>
  <si>
    <t>Zwoleń</t>
  </si>
  <si>
    <t>Żabia Wola</t>
  </si>
  <si>
    <t>Żabno</t>
  </si>
  <si>
    <t>Żagań</t>
  </si>
  <si>
    <t>Żarki</t>
  </si>
  <si>
    <t>Żarnowiec</t>
  </si>
  <si>
    <t>Żarnów</t>
  </si>
  <si>
    <t>Żarów</t>
  </si>
  <si>
    <t>Żary</t>
  </si>
  <si>
    <t>Żegocina</t>
  </si>
  <si>
    <t>Żelazków</t>
  </si>
  <si>
    <t>Żelechlinek</t>
  </si>
  <si>
    <t>Żelechów</t>
  </si>
  <si>
    <t>Żerków</t>
  </si>
  <si>
    <t>Żmigród</t>
  </si>
  <si>
    <t>Żmudź</t>
  </si>
  <si>
    <t>Żnin</t>
  </si>
  <si>
    <t>Żołynia</t>
  </si>
  <si>
    <t>Żółkiewka</t>
  </si>
  <si>
    <t>Żórawina</t>
  </si>
  <si>
    <t>Żukowice</t>
  </si>
  <si>
    <t>Żukowo</t>
  </si>
  <si>
    <t>Żurawica</t>
  </si>
  <si>
    <t>Żuromin</t>
  </si>
  <si>
    <t>Żychlin</t>
  </si>
  <si>
    <t>Żyraków</t>
  </si>
  <si>
    <t>Żyrardów</t>
  </si>
  <si>
    <t>Żyrzyn</t>
  </si>
  <si>
    <t>Żytno</t>
  </si>
  <si>
    <t>Żywiec</t>
  </si>
  <si>
    <t>Gminy</t>
  </si>
  <si>
    <t>Powiaty</t>
  </si>
  <si>
    <t>ZCNA</t>
  </si>
  <si>
    <t>Niepełnosprawność</t>
  </si>
  <si>
    <t>Wykształcenie</t>
  </si>
  <si>
    <t>Województwa</t>
  </si>
  <si>
    <t xml:space="preserve">Granica składek emerytalno rentowych </t>
  </si>
  <si>
    <t>w 2015</t>
  </si>
  <si>
    <t>kobieta/female</t>
  </si>
  <si>
    <t>mężczyzna/male</t>
  </si>
  <si>
    <r>
      <t xml:space="preserve">podstawowe niepełne/
</t>
    </r>
    <r>
      <rPr>
        <sz val="9"/>
        <color theme="1"/>
        <rFont val="Arial"/>
        <family val="2"/>
        <charset val="238"/>
        <scheme val="minor"/>
      </rPr>
      <t>incomplete primary education</t>
    </r>
  </si>
  <si>
    <r>
      <t xml:space="preserve">podstawowe pełne/
</t>
    </r>
    <r>
      <rPr>
        <sz val="9"/>
        <color theme="1"/>
        <rFont val="Arial"/>
        <family val="2"/>
        <charset val="238"/>
        <scheme val="minor"/>
      </rPr>
      <t>full primary education</t>
    </r>
  </si>
  <si>
    <r>
      <t xml:space="preserve">średnie zawodowe/
</t>
    </r>
    <r>
      <rPr>
        <sz val="9"/>
        <color theme="1"/>
        <rFont val="Arial"/>
        <family val="2"/>
        <charset val="238"/>
        <scheme val="minor"/>
      </rPr>
      <t>secondary vocational education</t>
    </r>
  </si>
  <si>
    <r>
      <t>średnie ogólnokształcące/</t>
    </r>
    <r>
      <rPr>
        <sz val="9"/>
        <color theme="1"/>
        <rFont val="Arial"/>
        <family val="2"/>
        <charset val="238"/>
        <scheme val="minor"/>
      </rPr>
      <t xml:space="preserve">
secondary general education</t>
    </r>
  </si>
  <si>
    <r>
      <t>policealne/</t>
    </r>
    <r>
      <rPr>
        <sz val="9"/>
        <color theme="1"/>
        <rFont val="Arial"/>
        <family val="2"/>
        <charset val="238"/>
        <scheme val="minor"/>
      </rPr>
      <t xml:space="preserve">
post-secondary education</t>
    </r>
  </si>
  <si>
    <r>
      <t xml:space="preserve">wyższe/
</t>
    </r>
    <r>
      <rPr>
        <sz val="9"/>
        <color theme="1"/>
        <rFont val="Arial"/>
        <family val="2"/>
        <charset val="238"/>
        <scheme val="minor"/>
      </rPr>
      <t>university education</t>
    </r>
  </si>
  <si>
    <r>
      <t xml:space="preserve">Będę zgłaszał członków rodziny do ubezpieczenia zdrowotnego/
</t>
    </r>
    <r>
      <rPr>
        <sz val="9"/>
        <color theme="1"/>
        <rFont val="Arial"/>
        <family val="2"/>
        <charset val="238"/>
        <scheme val="minor"/>
      </rPr>
      <t>I would like to register my family memebers for health care insurance</t>
    </r>
  </si>
  <si>
    <r>
      <t xml:space="preserve">Nie będę zgłaszał członków rodziny do ubezpieczenia zdrowotnego/
</t>
    </r>
    <r>
      <rPr>
        <sz val="9"/>
        <color theme="1"/>
        <rFont val="Arial"/>
        <family val="2"/>
        <charset val="238"/>
        <scheme val="minor"/>
      </rPr>
      <t>I would not like to register my family members for health care insurance</t>
    </r>
  </si>
  <si>
    <t>DANE PERSONALNE / PERSONAL DATA</t>
  </si>
  <si>
    <t>DOKUMENT TOŻSAMOŚCI / IDENTITY DOCUMENT</t>
  </si>
  <si>
    <t>ADRES / ADDRESS</t>
  </si>
  <si>
    <t>WYKSZTAŁCENIE / EDUCATION</t>
  </si>
  <si>
    <t>SZKOŁY I KURSY / SCHOOLS AND COURSES</t>
  </si>
  <si>
    <t>DANE DODATKOWE / ADDITIONAL DATA</t>
  </si>
  <si>
    <t>DANE PODATKOWE / TAX DATA</t>
  </si>
  <si>
    <t>DANE ZATRUDNIENIA / EMPLOYMENT DATA</t>
  </si>
  <si>
    <t>NOŚNIKI KOSZTÓW / COST DRIVERS</t>
  </si>
  <si>
    <t>STANOWISKA KOSZTOWE / COST CENTER</t>
  </si>
  <si>
    <t>PROJEKTY / PROJECTS</t>
  </si>
  <si>
    <t>BADANIA LEKARSKIE / OCCUPATIONAL MEDICINE</t>
  </si>
  <si>
    <t>SZKOLENIA BHP / OCCUPATIONAL SAFTY AND HEALTH TRAINING</t>
  </si>
  <si>
    <t>DANE ZUS / SOCIAL INSURANCE OFFICE DATA</t>
  </si>
  <si>
    <t>STOPNIE NIEPEŁNOSPRAWNOŚCI / DISABILITY DEGREE</t>
  </si>
  <si>
    <t>DANE CZŁONKA / CZŁONKÓW RODZINY / FAMILY MEMBER/S DATA</t>
  </si>
  <si>
    <t>DOKUMENT TOŻSAMOŚCI CZŁONKA RODZINY / FAMILY MEMBER'S ID</t>
  </si>
  <si>
    <t>ADRES CZŁONKA / CZŁONKÓW RODZINY / FAMILY MEMBER/S ADDRESS</t>
  </si>
  <si>
    <t>DANE DOTYCZĄCE UMÓW / ANEKSÓW / DATA ON EMPLOYEMENT AGREEMENT/ANNEX</t>
  </si>
  <si>
    <t>UBEZPIECZENIA DOTYCZĄCE UMÓW / SOCIAL SECURITY INSURANCES</t>
  </si>
  <si>
    <t>HISTORIA ZATRUDNIENIA (STAŻ) / EMPLOYMENT HISTORY (INTERNSHIP)</t>
  </si>
  <si>
    <t>Wykorzystany urlop u poprzedniego pracodawcy / Used leave with the previous employer</t>
  </si>
  <si>
    <t>Nazwisko/ Surname</t>
  </si>
  <si>
    <t>Imię / First name</t>
  </si>
  <si>
    <t>Drugie Imię / Second name</t>
  </si>
  <si>
    <t>Zewnętrzne ID /External ID</t>
  </si>
  <si>
    <t>PESEL / Polish personal indenification number (PESEL)</t>
  </si>
  <si>
    <t>NIP/ Tax Indentification Number</t>
  </si>
  <si>
    <t>Data Urodzenia / Date of birth</t>
  </si>
  <si>
    <t>Miejsce Urodzenia / Place of birth</t>
  </si>
  <si>
    <t>Płeć 
[M,K] / Sex [Male-M,Female-K]</t>
  </si>
  <si>
    <t>Nazwisko rodowe / Maiden name</t>
  </si>
  <si>
    <t>Imię ojca / Father's name</t>
  </si>
  <si>
    <t>Imię matki / Mother's name</t>
  </si>
  <si>
    <t>Nazwisko rodowe matki / Mother's maiden name</t>
  </si>
  <si>
    <t>Obywatelstwo / Citizenship</t>
  </si>
  <si>
    <t>Nr telefonu / Phone number</t>
  </si>
  <si>
    <t>E-mail</t>
  </si>
  <si>
    <t>Nr konta bankowego / Bank account number</t>
  </si>
  <si>
    <t>Nr pracownika / employee number</t>
  </si>
  <si>
    <t>Wewnętrzne ID / Internal ID</t>
  </si>
  <si>
    <t>Status pracownika:
1 - aktywny
0 - zwolniony / Employee status:             1 - active                      2 - released</t>
  </si>
  <si>
    <t>Typ / Type</t>
  </si>
  <si>
    <t>Seria i NR / Series and number of ID</t>
  </si>
  <si>
    <t>Data Od / Valid from</t>
  </si>
  <si>
    <t>Data Do / Valid till</t>
  </si>
  <si>
    <t>Wydany przez / Issued by</t>
  </si>
  <si>
    <t>Data wydania / Date of issue</t>
  </si>
  <si>
    <t>Data ważności / Date of expiration</t>
  </si>
  <si>
    <t>Typ / Type:
(home address-adres zamieszkania; registered address-adres zameldowania; correspondence address-adres korespondencyjny)</t>
  </si>
  <si>
    <t>Data Od / From</t>
  </si>
  <si>
    <t>Data Do / Till</t>
  </si>
  <si>
    <t>Ulica / Street</t>
  </si>
  <si>
    <t>Nr domu / House number</t>
  </si>
  <si>
    <t>Nr lokalu / Accommodation number</t>
  </si>
  <si>
    <t>Kod pocztowy / Postal code</t>
  </si>
  <si>
    <t>Miasto / City</t>
  </si>
  <si>
    <t>Gmina / Commune</t>
  </si>
  <si>
    <t>Powiat / Poviat</t>
  </si>
  <si>
    <t>Wojewódz-
two / Voivodeship</t>
  </si>
  <si>
    <t>Kraj / Country</t>
  </si>
  <si>
    <t>Adres do PIT / address for PIT purpose</t>
  </si>
  <si>
    <t>Rodzaj / Type</t>
  </si>
  <si>
    <t>Stopień naukowy / University degree</t>
  </si>
  <si>
    <t>Tytuł naukowy / Academic title</t>
  </si>
  <si>
    <t>Zawód / Profession</t>
  </si>
  <si>
    <t>Typ edukacji / Type of education</t>
  </si>
  <si>
    <t>Nazwa szkoły / School name</t>
  </si>
  <si>
    <t>Start nauki [data] / Studying from [date]</t>
  </si>
  <si>
    <t>Koniec  nauki [data] / Studying till [date]</t>
  </si>
  <si>
    <t>Przerwana / Break [0/1]</t>
  </si>
  <si>
    <t>Język obcy - nazwa / Foreign language</t>
  </si>
  <si>
    <t>Język obcy -stopień zanajomości / Level of proficiency</t>
  </si>
  <si>
    <t>Umiejętność - nazwa / Skill - name</t>
  </si>
  <si>
    <t>Umiejętność -stopnień / skill - level</t>
  </si>
  <si>
    <t>Kat.Prawa jazdy / Driving license category</t>
  </si>
  <si>
    <t>Stosunek do sł. Wojsk. / Military service</t>
  </si>
  <si>
    <t>Stopień wojskowy / Military rank</t>
  </si>
  <si>
    <t>Nr specj. Wojsk./ The number of military specialties</t>
  </si>
  <si>
    <t>WKU/ The Military Recruitment Agency</t>
  </si>
  <si>
    <t>Nr ksiażeczki wojsk./ Number of military service book</t>
  </si>
  <si>
    <t>Kod urzędu skarbowego / Tax Office index</t>
  </si>
  <si>
    <t>Nazwa urzędu skarbowego / Tax Office name</t>
  </si>
  <si>
    <t>Poziom KUP/The level of tax deductible expenses (KUP)</t>
  </si>
  <si>
    <t>KUP Data Od/ KUP form</t>
  </si>
  <si>
    <t>KUP Data Do/ KUP till</t>
  </si>
  <si>
    <t>Wysokość ulgi /Tax relief level</t>
  </si>
  <si>
    <t>Ulga Data Od /Tax relief from</t>
  </si>
  <si>
    <t>Ulga Data Do /Tax relief till</t>
  </si>
  <si>
    <t>Data zatrudnienia  Od / Date of employment</t>
  </si>
  <si>
    <t>Kod jednostki organizacyjnej / Business Unit Code</t>
  </si>
  <si>
    <t>Nazwa jednostki organizacyjnej / Business Unit Name</t>
  </si>
  <si>
    <t>Kod działu / Division code</t>
  </si>
  <si>
    <t>Nazwa działu / Division name</t>
  </si>
  <si>
    <t>Kod obszaru płacowego / Payroll area code</t>
  </si>
  <si>
    <t>Nazwa obszaru płacowego / Payroll area name</t>
  </si>
  <si>
    <t>Kod grupy pracowniczej / Working group code</t>
  </si>
  <si>
    <t>Nazwa grupy pracowniczej / Wroking group name</t>
  </si>
  <si>
    <t>Nr zew. Przełożonego / Superior's external number</t>
  </si>
  <si>
    <t>Opis stanowiska pracy / Job desctiption</t>
  </si>
  <si>
    <t>Występujące narażenie / Exposure occurring</t>
  </si>
  <si>
    <t>Czynniki uciążliwe / Burdensome factors</t>
  </si>
  <si>
    <t>Czynniki szkodliwe / Harmful factors</t>
  </si>
  <si>
    <t>Liczba godz. w warunkach szkodliwych / Amount of working hours in harmful conditions</t>
  </si>
  <si>
    <t>Kod nośnika / Driver's code</t>
  </si>
  <si>
    <t>Opis nośnika / Driver's description</t>
  </si>
  <si>
    <t>Kod stanowiska / Cost center code</t>
  </si>
  <si>
    <t>Opis stanowiska / Cost center description</t>
  </si>
  <si>
    <t>Kod projektu / Project code</t>
  </si>
  <si>
    <t>Opis projektu / Project description</t>
  </si>
  <si>
    <t>Typ badania / Occupational medicine type</t>
  </si>
  <si>
    <t>Typ szkolenia / Training type</t>
  </si>
  <si>
    <t xml:space="preserve">Prawo do emerytury lub renty / Right to retirement or disability pension </t>
  </si>
  <si>
    <t>Oddział NFZ / Branch of the National Health Fund</t>
  </si>
  <si>
    <t>Placówka ZUS / Branch of the Social Insurance Office</t>
  </si>
  <si>
    <t>Stopień niepełnosprawności / disability level</t>
  </si>
  <si>
    <t>Pokrewieństwo / Relationship</t>
  </si>
  <si>
    <t>Nazwisko / Surname</t>
  </si>
  <si>
    <t>Data urodzenia / Date of birth</t>
  </si>
  <si>
    <t>Miejsce urodzenia / Place of birth</t>
  </si>
  <si>
    <t>PESEL / Polish personal identyfication number</t>
  </si>
  <si>
    <t>NIP / Tax Indentification Number</t>
  </si>
  <si>
    <t>Płeć [M,K] / Sex [Male - M,Female - K]</t>
  </si>
  <si>
    <t>Czy we wspólnym gospodarstwie / Common household</t>
  </si>
  <si>
    <t>Stopień niepełnosprawności / Disability degree</t>
  </si>
  <si>
    <t>Seria i NR / ID number</t>
  </si>
  <si>
    <t>Data ważności / Expiration date</t>
  </si>
  <si>
    <t>Adres do PIT / Address for PIT purpose</t>
  </si>
  <si>
    <t>Typ umowy / Type of agreement</t>
  </si>
  <si>
    <t>Nr umowy / aneksu / Agreement/Annex number</t>
  </si>
  <si>
    <t>Data zawarcia / Date of conclusion</t>
  </si>
  <si>
    <t>Wymiar etatu / Working time dimension</t>
  </si>
  <si>
    <t>Wynagrodzenie zasadnicze brutto [PLN] / Monthly gross salary (base)</t>
  </si>
  <si>
    <t>Kod stanowiska / Position code</t>
  </si>
  <si>
    <t>Nazwa stanowiska / Position name</t>
  </si>
  <si>
    <t>Miejsce pracy / Workplace</t>
  </si>
  <si>
    <t>Czy praca twórcza / Creative work?</t>
  </si>
  <si>
    <t>Procent pracy twórczej / Percentage of creative work</t>
  </si>
  <si>
    <t>Czy rozwiązana / Terminated?</t>
  </si>
  <si>
    <t>Sposób rozwiązania / Way of termination</t>
  </si>
  <si>
    <t>Data rozwiązania / Date of termination</t>
  </si>
  <si>
    <t>Kod ubezpieczenia / Social Security Insurance code</t>
  </si>
  <si>
    <t>Data początk. Ubezp. / Insurance start date</t>
  </si>
  <si>
    <t>Emerytalno-Rentowe / Retirement and pension insurance</t>
  </si>
  <si>
    <t>Chorobowe / Sickness insurance</t>
  </si>
  <si>
    <t>Wypadkowe / Accident insurance</t>
  </si>
  <si>
    <t>Zdrowotne / Health insurance</t>
  </si>
  <si>
    <t>Fundusz Pracy / Labour fund</t>
  </si>
  <si>
    <t>FGŚP / Employee compensation Fund</t>
  </si>
  <si>
    <t>Dane poprzedniego pracodawcy / Previous employer data</t>
  </si>
  <si>
    <t>Od / From</t>
  </si>
  <si>
    <t>Do / Till</t>
  </si>
  <si>
    <t>Urlop wypoczynkowy [godz] / Holiday leave [hours]</t>
  </si>
  <si>
    <t>Urlop na żadanie [dni] / Leave on request [days]</t>
  </si>
  <si>
    <t>Dni opieki [dni] / Day care [days]</t>
  </si>
  <si>
    <t>Dni chorobowego [dni] / Sick leave [days]</t>
  </si>
  <si>
    <t>Dowód osobisty</t>
  </si>
  <si>
    <t>Polska</t>
  </si>
  <si>
    <r>
      <t xml:space="preserve">0 - Nie posiadam orzeczenia o niepełnosprawności/
</t>
    </r>
    <r>
      <rPr>
        <sz val="9"/>
        <color rgb="FF000000"/>
        <rFont val="Arial"/>
        <family val="2"/>
        <charset val="238"/>
        <scheme val="minor"/>
      </rPr>
      <t>I do not have an official statement assessing disability</t>
    </r>
  </si>
  <si>
    <r>
      <t xml:space="preserve">1 - Posiadam orzzeczenie o lekkim stopniu niepełnosprawności/
</t>
    </r>
    <r>
      <rPr>
        <sz val="9"/>
        <color rgb="FF000000"/>
        <rFont val="Arial"/>
        <family val="2"/>
        <charset val="238"/>
        <scheme val="minor"/>
      </rPr>
      <t>I have an official statement assessing mild degree of disability</t>
    </r>
  </si>
  <si>
    <r>
      <t>2 - Posiadam orzeczenie o umiarkowanym stopniu niepełnosprawności/</t>
    </r>
    <r>
      <rPr>
        <sz val="9"/>
        <color rgb="FF000000"/>
        <rFont val="Arial"/>
        <family val="2"/>
        <charset val="238"/>
        <scheme val="minor"/>
      </rPr>
      <t xml:space="preserve">
I have an official statement assessing moderate level of disability</t>
    </r>
  </si>
  <si>
    <r>
      <t xml:space="preserve">3 - Posiadam orzeczenie o znacznym stopniu niepełnosprawności/
</t>
    </r>
    <r>
      <rPr>
        <sz val="9"/>
        <color rgb="FF000000"/>
        <rFont val="Arial"/>
        <family val="2"/>
        <charset val="238"/>
        <scheme val="minor"/>
      </rPr>
      <t>I have an official statement assessing a sever level of disability</t>
    </r>
  </si>
  <si>
    <r>
      <t xml:space="preserve">0 - Nie mam jeszcze ustalonego prawa do emerytury bądź renty/
</t>
    </r>
    <r>
      <rPr>
        <sz val="9"/>
        <color theme="1"/>
        <rFont val="Arial"/>
        <family val="2"/>
        <charset val="238"/>
        <scheme val="minor"/>
      </rPr>
      <t>I do not have the right to retirement or disability pension yet</t>
    </r>
  </si>
  <si>
    <r>
      <t xml:space="preserve">1 - Mam ustalone prawo do emerytury/
</t>
    </r>
    <r>
      <rPr>
        <sz val="9"/>
        <color theme="1"/>
        <rFont val="Arial"/>
        <family val="2"/>
        <charset val="238"/>
        <scheme val="minor"/>
      </rPr>
      <t>I have the right to retirement pension</t>
    </r>
  </si>
  <si>
    <r>
      <t xml:space="preserve">2 - Mam ustalone prawo do renty/
</t>
    </r>
    <r>
      <rPr>
        <sz val="9"/>
        <color theme="1"/>
        <rFont val="Arial"/>
        <family val="2"/>
        <charset val="238"/>
        <scheme val="minor"/>
      </rPr>
      <t>I have the right to disability pension</t>
    </r>
  </si>
  <si>
    <t>Adres zamieszkanie</t>
  </si>
  <si>
    <t>ROK FORMULARZA</t>
  </si>
  <si>
    <t>w 2016</t>
  </si>
  <si>
    <t>1 dzień / 8 godzin</t>
  </si>
  <si>
    <t>2 dni / 16 godzin</t>
  </si>
  <si>
    <t>Mindbox Spółka Akcyjna</t>
  </si>
  <si>
    <t>Vinnichenko</t>
  </si>
  <si>
    <t xml:space="preserve">Illia </t>
  </si>
  <si>
    <t>Warszawa,</t>
  </si>
  <si>
    <t>PESEL or Passport number</t>
  </si>
  <si>
    <t xml:space="preserve">W przypadku korzystania z pakietu rodzinnego świadczeń medycznych, który nie jest finansowany przez Mindbox Spółka Akcyjna, wyrażam zgodę na potrącanie z mojego wynagrodzenia lub zasiłków netto co </t>
  </si>
  <si>
    <t xml:space="preserve">W związku z finansowaniem przez Pracodawcę karty MultiSport (firmy Benefit Systems) do kwoty 79,00 zł miesięcznie, wyrażam zgodę na comiesięczne potrącanie z mojego wynagrodzenia oraz zasiłku netto ewentualnej nadwyżki ponad kwotę 79,00 zł.
</t>
  </si>
  <si>
    <t>LUXMED</t>
  </si>
  <si>
    <t>Informacja: Luxmed – Indywidualny pakiet ubezpieczenia dla pracownika jest wart 89 zł i całą tą kwotę finansuje pracodawca (pracownika pokrywa wartość składek i podatku od tej kwoty). Jeśli pracownik zdecyduje się na pakiet rodzinny to dodatkowy koszt pakietu w wysokości 155 zł miesięcznie jest finansowany tylko przez pracownika i potrącany z jego/jej wynagrodzenia netto za każdy miesiąc.</t>
  </si>
  <si>
    <t>Wyjaśnienie: Pracodawca finansuje pakiet w wysokości 79 zł (pracownika od tej kwoty ma odprowadzony podatek i ZUS), reszta kwoty jest finansowana przez pracownika i potrącana z kwoty netto jego wynagrodzenia (79 zł).</t>
  </si>
  <si>
    <r>
      <t>ENGLISH</t>
    </r>
    <r>
      <rPr>
        <sz val="9"/>
        <color theme="1"/>
        <rFont val="Arial"/>
        <family val="2"/>
        <charset val="238"/>
      </rPr>
      <t>:</t>
    </r>
    <r>
      <rPr>
        <sz val="9"/>
        <color rgb="FF222222"/>
        <rFont val="Arial"/>
        <family val="2"/>
        <charset val="238"/>
      </rPr>
      <t xml:space="preserve">  Acccording to the principles of financing and accounting of medical services provided in Mindbox SA I choose the program of medical services offered by: Luxmed, *individual packed or *family packed.
In case of a family medical benefits that is not financed by Mindbox SA. I agree to deduct an amount representing not from my salary or allowances net every month (starting from the payment for .............) The amount representing the difference between the value of the package family and the individual package.
Information: Luxmed – the basic package for employee costs 89 PLN and the full amount is financed by the employer (the employee pays ZUS contributions and tax from this amount); the family package is an additional cost of 155 PLN financed by the employee and deducted from his/her net salary in the full amount.
</t>
    </r>
  </si>
  <si>
    <r>
      <rPr>
        <b/>
        <sz val="9"/>
        <color theme="1"/>
        <rFont val="Arial"/>
        <family val="2"/>
        <charset val="238"/>
        <scheme val="minor"/>
      </rPr>
      <t>ENGLISH:</t>
    </r>
    <r>
      <rPr>
        <sz val="9"/>
        <color theme="1"/>
        <rFont val="Arial"/>
        <family val="2"/>
        <charset val="238"/>
        <scheme val="minor"/>
      </rPr>
      <t xml:space="preserve"> In connection with the financing by the Employer card MultiSport (Benefit Systems) to the amount of 79.00 zl per month, I agree to the monthly deduction from my salary and benefits net of any excess over the amount of 79.00 zl.
Information: The cost up to 79,00 PLN is financed by the employer (the employee pays ZUS contributions and tax), the rest of amount is financed by the employee and deducted from his/her net salary (79 zl).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</si>
</sst>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dd/mm/yyyy;@"/>
  </numFmts>
  <fonts count="23" x14ac:knownFonts="1">
    <font>
      <sz val="11"/>
      <color theme="1"/>
      <name val="Arial"/>
      <family val="2"/>
      <scheme val="minor"/>
    </font>
    <font>
      <sz val="11"/>
      <color theme="1"/>
      <name val="Arial"/>
      <family val="2"/>
      <charset val="238"/>
      <scheme val="minor"/>
    </font>
    <font>
      <sz val="8"/>
      <color theme="1"/>
      <name val="Arial"/>
      <family val="2"/>
      <scheme val="minor"/>
    </font>
    <font>
      <sz val="9"/>
      <color theme="1"/>
      <name val="Arial"/>
      <family val="2"/>
      <scheme val="minor"/>
    </font>
    <font>
      <sz val="10"/>
      <color theme="1"/>
      <name val="Arial"/>
      <family val="2"/>
      <scheme val="minor"/>
    </font>
    <font>
      <sz val="10"/>
      <name val="Arial"/>
      <family val="2"/>
      <charset val="238"/>
    </font>
    <font>
      <b/>
      <sz val="8"/>
      <color theme="1"/>
      <name val="Arial"/>
      <family val="2"/>
      <charset val="238"/>
      <scheme val="minor"/>
    </font>
    <font>
      <sz val="11"/>
      <color theme="1"/>
      <name val="Arial"/>
      <family val="2"/>
      <charset val="238"/>
      <scheme val="minor"/>
    </font>
    <font>
      <b/>
      <sz val="12"/>
      <color theme="1"/>
      <name val="Arial"/>
      <family val="2"/>
      <scheme val="minor"/>
    </font>
    <font>
      <sz val="8"/>
      <color theme="1"/>
      <name val="Arial"/>
      <family val="2"/>
      <charset val="238"/>
      <scheme val="minor"/>
    </font>
    <font>
      <sz val="9"/>
      <color theme="1"/>
      <name val="Arial"/>
      <family val="2"/>
      <charset val="238"/>
      <scheme val="minor"/>
    </font>
    <font>
      <sz val="11"/>
      <color rgb="FF000000"/>
      <name val="Arial"/>
      <family val="2"/>
      <scheme val="minor"/>
    </font>
    <font>
      <sz val="9"/>
      <color rgb="FF000000"/>
      <name val="Arial"/>
      <family val="2"/>
      <charset val="238"/>
      <scheme val="minor"/>
    </font>
    <font>
      <b/>
      <sz val="9"/>
      <color indexed="81"/>
      <name val="Tahoma"/>
      <family val="2"/>
      <charset val="238"/>
    </font>
    <font>
      <sz val="9"/>
      <color indexed="81"/>
      <name val="Tahoma"/>
      <family val="2"/>
      <charset val="238"/>
    </font>
    <font>
      <b/>
      <sz val="8"/>
      <name val="Arial"/>
      <family val="2"/>
      <charset val="238"/>
      <scheme val="minor"/>
    </font>
    <font>
      <sz val="8"/>
      <name val="Arial"/>
      <family val="2"/>
      <charset val="238"/>
      <scheme val="minor"/>
    </font>
    <font>
      <sz val="11"/>
      <color rgb="FFFF0000"/>
      <name val="Arial"/>
      <family val="2"/>
      <scheme val="minor"/>
    </font>
    <font>
      <sz val="11"/>
      <name val="Arial"/>
      <family val="2"/>
      <scheme val="minor"/>
    </font>
    <font>
      <b/>
      <sz val="9"/>
      <color theme="1"/>
      <name val="Arial"/>
      <family val="2"/>
      <charset val="238"/>
      <scheme val="minor"/>
    </font>
    <font>
      <sz val="9"/>
      <color theme="1"/>
      <name val="Arial"/>
      <family val="2"/>
      <charset val="238"/>
    </font>
    <font>
      <b/>
      <sz val="9"/>
      <color theme="1"/>
      <name val="Arial"/>
      <family val="2"/>
      <charset val="238"/>
    </font>
    <font>
      <sz val="9"/>
      <color rgb="FF222222"/>
      <name val="Arial"/>
      <family val="2"/>
      <charset val="238"/>
    </font>
  </fonts>
  <fills count="17">
    <fill>
      <patternFill patternType="none"/>
    </fill>
    <fill>
      <patternFill patternType="gray125"/>
    </fill>
    <fill>
      <patternFill patternType="solid">
        <fgColor theme="0" tint="-0.499984740745262"/>
        <bgColor indexed="64"/>
      </patternFill>
    </fill>
    <fill>
      <patternFill patternType="solid">
        <fgColor rgb="FFCCECFF"/>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EBF58F"/>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6" tint="0.79998168889431442"/>
        <bgColor indexed="64"/>
      </patternFill>
    </fill>
  </fills>
  <borders count="10">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5" fillId="0" borderId="0"/>
    <xf numFmtId="164" fontId="5" fillId="0" borderId="0" applyFont="0" applyFill="0" applyBorder="0" applyAlignment="0" applyProtection="0"/>
    <xf numFmtId="9" fontId="5" fillId="0" borderId="0" applyFont="0" applyFill="0" applyBorder="0" applyAlignment="0" applyProtection="0"/>
  </cellStyleXfs>
  <cellXfs count="117">
    <xf numFmtId="0" fontId="0" fillId="0" borderId="0" xfId="0"/>
    <xf numFmtId="0" fontId="0" fillId="2" borderId="0" xfId="0" applyFont="1" applyFill="1"/>
    <xf numFmtId="0" fontId="0" fillId="0" borderId="0" xfId="0" applyFont="1" applyFill="1"/>
    <xf numFmtId="0" fontId="0" fillId="0" borderId="0" xfId="0" applyFont="1" applyFill="1" applyAlignment="1">
      <alignment horizontal="right"/>
    </xf>
    <xf numFmtId="0" fontId="0" fillId="0" borderId="0" xfId="0" applyFont="1" applyFill="1" applyAlignment="1"/>
    <xf numFmtId="0" fontId="0" fillId="0" borderId="0" xfId="0" applyFont="1" applyFill="1" applyAlignment="1">
      <alignment horizontal="left" vertical="center"/>
    </xf>
    <xf numFmtId="0" fontId="0" fillId="0" borderId="0" xfId="0" applyFont="1" applyFill="1" applyAlignment="1">
      <alignment horizontal="justify"/>
    </xf>
    <xf numFmtId="0" fontId="4" fillId="0" borderId="0" xfId="0" applyFont="1" applyFill="1" applyAlignment="1">
      <alignment horizontal="center" vertical="center" wrapText="1"/>
    </xf>
    <xf numFmtId="0" fontId="4" fillId="0" borderId="0" xfId="0" applyFont="1" applyFill="1" applyAlignment="1">
      <alignment horizontal="left" vertical="center" wrapText="1"/>
    </xf>
    <xf numFmtId="0" fontId="0" fillId="3" borderId="0" xfId="0" applyFont="1" applyFill="1" applyProtection="1">
      <protection locked="0" hidden="1"/>
    </xf>
    <xf numFmtId="0" fontId="0" fillId="3" borderId="0" xfId="0" applyFont="1" applyFill="1" applyAlignment="1" applyProtection="1">
      <alignment horizontal="right"/>
      <protection locked="0" hidden="1"/>
    </xf>
    <xf numFmtId="0" fontId="0" fillId="0" borderId="0" xfId="0" applyFont="1" applyProtection="1">
      <protection locked="0" hidden="1"/>
    </xf>
    <xf numFmtId="0" fontId="0" fillId="0" borderId="0" xfId="0" applyProtection="1">
      <protection locked="0" hidden="1"/>
    </xf>
    <xf numFmtId="0" fontId="11" fillId="0" borderId="0" xfId="0" applyFont="1" applyProtection="1">
      <protection locked="0" hidden="1"/>
    </xf>
    <xf numFmtId="0" fontId="0" fillId="0" borderId="0" xfId="0" applyAlignment="1" applyProtection="1">
      <alignment horizontal="center"/>
      <protection locked="0" hidden="1"/>
    </xf>
    <xf numFmtId="4" fontId="0" fillId="0" borderId="0" xfId="0" applyNumberFormat="1" applyProtection="1">
      <protection hidden="1"/>
    </xf>
    <xf numFmtId="0" fontId="0" fillId="0" borderId="0" xfId="0" applyFont="1" applyAlignment="1" applyProtection="1">
      <alignment wrapText="1"/>
      <protection locked="0" hidden="1"/>
    </xf>
    <xf numFmtId="0" fontId="11" fillId="0" borderId="0" xfId="0" applyFont="1" applyAlignment="1" applyProtection="1">
      <alignment wrapText="1"/>
      <protection locked="0" hidden="1"/>
    </xf>
    <xf numFmtId="0" fontId="9" fillId="0" borderId="0" xfId="0" applyFont="1"/>
    <xf numFmtId="0" fontId="15" fillId="5"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6" fillId="4" borderId="9" xfId="0" applyNumberFormat="1" applyFont="1" applyFill="1" applyBorder="1" applyAlignment="1">
      <alignment horizontal="center" vertical="center" wrapText="1"/>
    </xf>
    <xf numFmtId="0" fontId="16" fillId="5" borderId="9" xfId="0" applyFont="1" applyFill="1" applyBorder="1" applyAlignment="1">
      <alignment horizontal="center" vertical="center" wrapText="1"/>
    </xf>
    <xf numFmtId="0" fontId="16" fillId="6" borderId="9" xfId="0" applyFont="1" applyFill="1" applyBorder="1" applyAlignment="1">
      <alignment horizontal="center" vertical="center" wrapText="1"/>
    </xf>
    <xf numFmtId="14" fontId="16" fillId="6" borderId="9" xfId="0" applyNumberFormat="1" applyFont="1" applyFill="1" applyBorder="1" applyAlignment="1">
      <alignment horizontal="center" vertical="center" wrapText="1"/>
    </xf>
    <xf numFmtId="14" fontId="16" fillId="7" borderId="9" xfId="0" applyNumberFormat="1" applyFont="1" applyFill="1" applyBorder="1" applyAlignment="1">
      <alignment horizontal="center" vertical="center" wrapText="1"/>
    </xf>
    <xf numFmtId="0" fontId="16" fillId="7" borderId="9" xfId="0" applyFont="1" applyFill="1" applyBorder="1" applyAlignment="1">
      <alignment horizontal="center" vertical="center" wrapText="1"/>
    </xf>
    <xf numFmtId="0" fontId="16" fillId="8" borderId="9" xfId="0" applyFont="1" applyFill="1" applyBorder="1" applyAlignment="1">
      <alignment horizontal="center" vertical="center" wrapText="1"/>
    </xf>
    <xf numFmtId="0" fontId="16" fillId="9" borderId="9" xfId="0" applyFont="1" applyFill="1" applyBorder="1" applyAlignment="1">
      <alignment horizontal="center" vertical="center" wrapText="1"/>
    </xf>
    <xf numFmtId="0" fontId="16" fillId="10" borderId="9" xfId="0" applyFont="1" applyFill="1" applyBorder="1" applyAlignment="1">
      <alignment horizontal="center" vertical="center" wrapText="1"/>
    </xf>
    <xf numFmtId="0" fontId="16" fillId="11" borderId="9" xfId="0" applyFont="1" applyFill="1" applyBorder="1" applyAlignment="1">
      <alignment horizontal="center" vertical="center" wrapText="1"/>
    </xf>
    <xf numFmtId="14" fontId="16" fillId="11" borderId="9" xfId="0" applyNumberFormat="1" applyFont="1" applyFill="1" applyBorder="1" applyAlignment="1">
      <alignment horizontal="center" vertical="center" wrapText="1"/>
    </xf>
    <xf numFmtId="0" fontId="16" fillId="12" borderId="9" xfId="0" applyFont="1" applyFill="1" applyBorder="1" applyAlignment="1">
      <alignment horizontal="center" vertical="center" wrapText="1"/>
    </xf>
    <xf numFmtId="0" fontId="16" fillId="13" borderId="9" xfId="0" applyFont="1" applyFill="1" applyBorder="1" applyAlignment="1">
      <alignment horizontal="center" vertical="center" wrapText="1"/>
    </xf>
    <xf numFmtId="0" fontId="16" fillId="16" borderId="9" xfId="0" applyFont="1" applyFill="1" applyBorder="1" applyAlignment="1">
      <alignment horizontal="center" vertical="center" wrapText="1"/>
    </xf>
    <xf numFmtId="0" fontId="16" fillId="14" borderId="9" xfId="0" applyFont="1" applyFill="1" applyBorder="1" applyAlignment="1">
      <alignment horizontal="center" vertical="center" wrapText="1"/>
    </xf>
    <xf numFmtId="0" fontId="16" fillId="4" borderId="9" xfId="0" applyFont="1" applyFill="1" applyBorder="1" applyAlignment="1">
      <alignment vertical="center" wrapText="1"/>
    </xf>
    <xf numFmtId="0" fontId="16" fillId="4" borderId="9" xfId="0" applyFont="1" applyFill="1" applyBorder="1" applyAlignment="1">
      <alignment horizontal="left" vertical="center" wrapText="1"/>
    </xf>
    <xf numFmtId="14" fontId="16" fillId="4" borderId="9" xfId="0" applyNumberFormat="1" applyFont="1" applyFill="1" applyBorder="1" applyAlignment="1">
      <alignment vertical="center" wrapText="1"/>
    </xf>
    <xf numFmtId="4" fontId="16" fillId="4" borderId="9" xfId="0" applyNumberFormat="1" applyFont="1" applyFill="1" applyBorder="1" applyAlignment="1">
      <alignment horizontal="center" vertical="center" wrapText="1"/>
    </xf>
    <xf numFmtId="0" fontId="16" fillId="15" borderId="9" xfId="0" applyFont="1" applyFill="1" applyBorder="1" applyAlignment="1">
      <alignment vertical="center" wrapText="1"/>
    </xf>
    <xf numFmtId="14" fontId="16" fillId="15" borderId="9" xfId="0" applyNumberFormat="1" applyFont="1" applyFill="1" applyBorder="1" applyAlignment="1">
      <alignment vertical="center" wrapText="1"/>
    </xf>
    <xf numFmtId="0" fontId="16" fillId="0" borderId="0" xfId="0" applyFont="1" applyAlignment="1">
      <alignment horizontal="center" vertical="center" wrapText="1"/>
    </xf>
    <xf numFmtId="0" fontId="9" fillId="4" borderId="3" xfId="0" applyFont="1" applyFill="1" applyBorder="1" applyAlignment="1">
      <alignment horizontal="center"/>
    </xf>
    <xf numFmtId="0" fontId="2" fillId="0" borderId="0" xfId="0" applyFont="1"/>
    <xf numFmtId="1" fontId="2" fillId="0" borderId="0" xfId="0" applyNumberFormat="1" applyFont="1"/>
    <xf numFmtId="14" fontId="2" fillId="0" borderId="0" xfId="0" applyNumberFormat="1" applyFont="1"/>
    <xf numFmtId="49" fontId="2" fillId="0" borderId="0" xfId="0" applyNumberFormat="1" applyFont="1"/>
    <xf numFmtId="4" fontId="17" fillId="0" borderId="0" xfId="0" applyNumberFormat="1" applyFont="1" applyProtection="1">
      <protection locked="0" hidden="1"/>
    </xf>
    <xf numFmtId="0" fontId="18" fillId="0" borderId="0" xfId="0" applyFont="1" applyProtection="1">
      <protection locked="0" hidden="1"/>
    </xf>
    <xf numFmtId="0" fontId="1" fillId="0" borderId="0" xfId="0" applyFont="1" applyFill="1" applyAlignment="1">
      <alignment horizontal="right"/>
    </xf>
    <xf numFmtId="0" fontId="3" fillId="0" borderId="0" xfId="0" applyFont="1" applyFill="1" applyBorder="1" applyAlignment="1">
      <alignment horizontal="center" vertical="top"/>
    </xf>
    <xf numFmtId="0" fontId="10" fillId="0" borderId="0" xfId="0" applyFont="1" applyFill="1" applyBorder="1" applyAlignment="1">
      <alignment horizontal="center" vertical="top"/>
    </xf>
    <xf numFmtId="0" fontId="10" fillId="0" borderId="0" xfId="0" applyFont="1" applyFill="1"/>
    <xf numFmtId="0" fontId="10" fillId="0" borderId="0" xfId="0" applyFont="1" applyAlignment="1">
      <alignment horizontal="center" vertical="center" wrapText="1"/>
    </xf>
    <xf numFmtId="165" fontId="7" fillId="0" borderId="0" xfId="0" applyNumberFormat="1" applyFont="1" applyFill="1" applyAlignment="1">
      <alignment horizontal="center"/>
    </xf>
    <xf numFmtId="0" fontId="3" fillId="0" borderId="2" xfId="0" applyFont="1" applyFill="1" applyBorder="1" applyAlignment="1">
      <alignment horizontal="center" vertical="top"/>
    </xf>
    <xf numFmtId="0" fontId="8" fillId="0" borderId="0" xfId="0" applyFont="1" applyFill="1" applyAlignment="1">
      <alignment horizontal="center"/>
    </xf>
    <xf numFmtId="0" fontId="4" fillId="0" borderId="0" xfId="0" applyFont="1" applyFill="1" applyAlignment="1">
      <alignment horizontal="center" vertical="center" wrapText="1"/>
    </xf>
    <xf numFmtId="0" fontId="0" fillId="0" borderId="0" xfId="0" applyFont="1" applyFill="1" applyBorder="1" applyAlignment="1">
      <alignment horizontal="left"/>
    </xf>
    <xf numFmtId="0" fontId="3" fillId="0" borderId="0" xfId="0" applyFont="1" applyFill="1" applyBorder="1" applyAlignment="1">
      <alignment horizontal="center"/>
    </xf>
    <xf numFmtId="0" fontId="0" fillId="0" borderId="0" xfId="0" applyFont="1" applyFill="1" applyAlignment="1">
      <alignment horizontal="justify" wrapText="1"/>
    </xf>
    <xf numFmtId="0" fontId="0" fillId="0" borderId="1" xfId="0" applyFont="1" applyFill="1" applyBorder="1" applyAlignment="1">
      <alignment horizontal="center"/>
    </xf>
    <xf numFmtId="0" fontId="20" fillId="0" borderId="0" xfId="0" applyFont="1" applyAlignment="1">
      <alignment horizontal="center" vertical="center" wrapText="1"/>
    </xf>
    <xf numFmtId="0" fontId="21" fillId="0" borderId="0" xfId="0" applyFont="1" applyAlignment="1">
      <alignment horizontal="left" vertical="center" wrapText="1"/>
    </xf>
    <xf numFmtId="0" fontId="4" fillId="0" borderId="0" xfId="0" applyFont="1" applyFill="1" applyAlignment="1">
      <alignment horizontal="left" vertical="center" wrapText="1"/>
    </xf>
    <xf numFmtId="0" fontId="0" fillId="0" borderId="0" xfId="0" applyFont="1" applyFill="1" applyAlignment="1">
      <alignment horizontal="left" vertical="center" wrapText="1"/>
    </xf>
    <xf numFmtId="0" fontId="0" fillId="0" borderId="0" xfId="0" applyFont="1" applyFill="1" applyAlignment="1">
      <alignment horizontal="center"/>
    </xf>
    <xf numFmtId="0" fontId="0" fillId="0" borderId="0" xfId="0" applyFont="1" applyFill="1" applyAlignment="1">
      <alignment horizontal="justify"/>
    </xf>
    <xf numFmtId="0" fontId="0" fillId="0" borderId="0" xfId="0" applyFont="1" applyFill="1" applyAlignment="1">
      <alignment horizontal="left" wrapText="1"/>
    </xf>
    <xf numFmtId="0" fontId="0" fillId="0" borderId="0" xfId="0" applyAlignment="1" applyProtection="1">
      <alignment horizontal="center"/>
      <protection hidden="1"/>
    </xf>
    <xf numFmtId="0" fontId="6" fillId="14" borderId="4" xfId="0" applyFont="1" applyFill="1" applyBorder="1" applyAlignment="1">
      <alignment horizontal="center"/>
    </xf>
    <xf numFmtId="0" fontId="6" fillId="14" borderId="3" xfId="0" applyFont="1" applyFill="1" applyBorder="1" applyAlignment="1">
      <alignment horizontal="center"/>
    </xf>
    <xf numFmtId="0" fontId="6" fillId="14" borderId="5" xfId="0" applyFont="1" applyFill="1" applyBorder="1" applyAlignment="1">
      <alignment horizontal="center"/>
    </xf>
    <xf numFmtId="0" fontId="6" fillId="4" borderId="4" xfId="0" applyFont="1" applyFill="1" applyBorder="1" applyAlignment="1">
      <alignment horizontal="center"/>
    </xf>
    <xf numFmtId="0" fontId="6" fillId="4" borderId="3" xfId="0" applyFont="1" applyFill="1" applyBorder="1" applyAlignment="1">
      <alignment horizontal="center"/>
    </xf>
    <xf numFmtId="0" fontId="6" fillId="4" borderId="5" xfId="0" applyFont="1" applyFill="1" applyBorder="1" applyAlignment="1">
      <alignment horizontal="center"/>
    </xf>
    <xf numFmtId="0" fontId="6" fillId="4" borderId="7" xfId="0" applyFont="1" applyFill="1" applyBorder="1" applyAlignment="1">
      <alignment horizontal="center"/>
    </xf>
    <xf numFmtId="0" fontId="9" fillId="4" borderId="1" xfId="0" applyFont="1" applyFill="1" applyBorder="1" applyAlignment="1">
      <alignment horizontal="center"/>
    </xf>
    <xf numFmtId="0" fontId="6" fillId="15" borderId="1" xfId="0" applyFont="1" applyFill="1" applyBorder="1" applyAlignment="1">
      <alignment horizontal="center" vertical="center" wrapText="1"/>
    </xf>
    <xf numFmtId="0" fontId="6" fillId="15" borderId="1" xfId="0" applyFont="1" applyFill="1" applyBorder="1" applyAlignment="1">
      <alignment horizontal="center" wrapText="1"/>
    </xf>
    <xf numFmtId="0" fontId="6" fillId="15" borderId="8" xfId="0" applyFont="1" applyFill="1" applyBorder="1" applyAlignment="1">
      <alignment horizontal="center" wrapText="1"/>
    </xf>
    <xf numFmtId="0" fontId="6" fillId="15" borderId="4" xfId="0" applyFont="1" applyFill="1" applyBorder="1" applyAlignment="1">
      <alignment vertical="center" wrapText="1"/>
    </xf>
    <xf numFmtId="0" fontId="6" fillId="15" borderId="3" xfId="0" applyFont="1" applyFill="1" applyBorder="1" applyAlignment="1">
      <alignment vertical="center" wrapText="1"/>
    </xf>
    <xf numFmtId="0" fontId="6" fillId="15" borderId="5" xfId="0" applyFont="1" applyFill="1" applyBorder="1" applyAlignment="1">
      <alignment vertical="center" wrapText="1"/>
    </xf>
    <xf numFmtId="0" fontId="6" fillId="12" borderId="4" xfId="0" applyFont="1" applyFill="1" applyBorder="1" applyAlignment="1">
      <alignment horizontal="center"/>
    </xf>
    <xf numFmtId="0" fontId="9" fillId="12" borderId="3" xfId="0" applyFont="1" applyFill="1" applyBorder="1" applyAlignment="1">
      <alignment horizontal="center"/>
    </xf>
    <xf numFmtId="0" fontId="9" fillId="12" borderId="5" xfId="0" applyFont="1" applyFill="1" applyBorder="1" applyAlignment="1">
      <alignment horizontal="center"/>
    </xf>
    <xf numFmtId="0" fontId="6" fillId="5" borderId="4" xfId="0" applyFont="1" applyFill="1" applyBorder="1" applyAlignment="1">
      <alignment horizontal="center"/>
    </xf>
    <xf numFmtId="0" fontId="9" fillId="5" borderId="3" xfId="0" applyFont="1" applyFill="1" applyBorder="1" applyAlignment="1">
      <alignment horizontal="center"/>
    </xf>
    <xf numFmtId="0" fontId="6" fillId="6" borderId="6" xfId="0" applyFont="1" applyFill="1" applyBorder="1" applyAlignment="1">
      <alignment horizontal="center"/>
    </xf>
    <xf numFmtId="0" fontId="6" fillId="6" borderId="0" xfId="0" applyFont="1" applyFill="1" applyBorder="1" applyAlignment="1">
      <alignment horizontal="center"/>
    </xf>
    <xf numFmtId="0" fontId="9" fillId="6" borderId="0" xfId="0" applyFont="1" applyFill="1" applyAlignment="1"/>
    <xf numFmtId="0" fontId="6" fillId="7" borderId="7" xfId="0" applyFont="1" applyFill="1" applyBorder="1" applyAlignment="1">
      <alignment horizontal="center"/>
    </xf>
    <xf numFmtId="0" fontId="6" fillId="7" borderId="1" xfId="0" applyFont="1" applyFill="1" applyBorder="1" applyAlignment="1">
      <alignment horizontal="center"/>
    </xf>
    <xf numFmtId="0" fontId="9" fillId="0" borderId="1" xfId="0" applyFont="1" applyBorder="1" applyAlignment="1"/>
    <xf numFmtId="0" fontId="6" fillId="8" borderId="1" xfId="0" applyFont="1" applyFill="1" applyBorder="1" applyAlignment="1">
      <alignment horizontal="center"/>
    </xf>
    <xf numFmtId="0" fontId="6" fillId="9" borderId="4" xfId="0" applyFont="1" applyFill="1" applyBorder="1" applyAlignment="1">
      <alignment horizontal="center"/>
    </xf>
    <xf numFmtId="0" fontId="6" fillId="9" borderId="3" xfId="0" applyFont="1" applyFill="1" applyBorder="1" applyAlignment="1">
      <alignment horizontal="center"/>
    </xf>
    <xf numFmtId="0" fontId="6" fillId="9" borderId="5" xfId="0" applyFont="1" applyFill="1" applyBorder="1" applyAlignment="1">
      <alignment horizontal="center"/>
    </xf>
    <xf numFmtId="0" fontId="6" fillId="10" borderId="4" xfId="0" applyFont="1" applyFill="1" applyBorder="1" applyAlignment="1">
      <alignment horizontal="center"/>
    </xf>
    <xf numFmtId="0" fontId="6" fillId="10" borderId="3" xfId="0" applyFont="1" applyFill="1" applyBorder="1" applyAlignment="1">
      <alignment horizontal="center"/>
    </xf>
    <xf numFmtId="0" fontId="6" fillId="10" borderId="5" xfId="0" applyFont="1" applyFill="1" applyBorder="1" applyAlignment="1">
      <alignment horizontal="center"/>
    </xf>
    <xf numFmtId="0" fontId="6" fillId="11" borderId="7" xfId="0" applyFont="1" applyFill="1" applyBorder="1" applyAlignment="1">
      <alignment horizontal="center"/>
    </xf>
    <xf numFmtId="0" fontId="6" fillId="11" borderId="1" xfId="0" applyFont="1" applyFill="1" applyBorder="1" applyAlignment="1">
      <alignment horizontal="center"/>
    </xf>
    <xf numFmtId="0" fontId="6" fillId="7" borderId="1" xfId="0" applyFont="1" applyFill="1" applyBorder="1" applyAlignment="1">
      <alignment horizontal="center" wrapText="1"/>
    </xf>
    <xf numFmtId="0" fontId="6" fillId="7" borderId="8" xfId="0" applyFont="1" applyFill="1" applyBorder="1" applyAlignment="1">
      <alignment horizontal="center" wrapText="1"/>
    </xf>
    <xf numFmtId="0" fontId="6" fillId="12" borderId="4" xfId="0" applyFont="1" applyFill="1" applyBorder="1" applyAlignment="1">
      <alignment horizontal="center" wrapText="1"/>
    </xf>
    <xf numFmtId="0" fontId="6" fillId="12" borderId="3" xfId="0" applyFont="1" applyFill="1" applyBorder="1" applyAlignment="1">
      <alignment horizontal="center" wrapText="1"/>
    </xf>
    <xf numFmtId="0" fontId="6" fillId="12" borderId="5" xfId="0" applyFont="1" applyFill="1" applyBorder="1" applyAlignment="1">
      <alignment horizontal="center" wrapText="1"/>
    </xf>
    <xf numFmtId="0" fontId="6" fillId="13" borderId="4" xfId="0" applyFont="1" applyFill="1" applyBorder="1" applyAlignment="1">
      <alignment horizontal="center" wrapText="1"/>
    </xf>
    <xf numFmtId="0" fontId="6" fillId="13" borderId="3" xfId="0" applyFont="1" applyFill="1" applyBorder="1" applyAlignment="1">
      <alignment horizontal="center" wrapText="1"/>
    </xf>
    <xf numFmtId="0" fontId="6" fillId="13" borderId="5" xfId="0" applyFont="1" applyFill="1" applyBorder="1" applyAlignment="1">
      <alignment horizontal="center" wrapText="1"/>
    </xf>
    <xf numFmtId="0" fontId="6" fillId="5" borderId="3" xfId="0" applyFont="1" applyFill="1" applyBorder="1" applyAlignment="1">
      <alignment horizontal="center"/>
    </xf>
    <xf numFmtId="0" fontId="9" fillId="4" borderId="3" xfId="0" applyFont="1" applyFill="1" applyBorder="1" applyAlignment="1">
      <alignment horizontal="center"/>
    </xf>
    <xf numFmtId="0" fontId="9" fillId="4" borderId="5" xfId="0" applyFont="1" applyFill="1" applyBorder="1" applyAlignment="1">
      <alignment horizontal="center"/>
    </xf>
    <xf numFmtId="0" fontId="9" fillId="5" borderId="5" xfId="0" applyFont="1" applyFill="1" applyBorder="1" applyAlignment="1">
      <alignment horizontal="center"/>
    </xf>
  </cellXfs>
  <cellStyles count="4">
    <cellStyle name="Comma 2" xfId="2"/>
    <cellStyle name="Normal 2" xfId="1"/>
    <cellStyle name="Normalny" xfId="0" builtinId="0"/>
    <cellStyle name="Percent 2" xfId="3"/>
  </cellStyles>
  <dxfs count="0"/>
  <tableStyles count="0" defaultTableStyle="TableStyleMedium9" defaultPivotStyle="PivotStyleLight16"/>
  <colors>
    <mruColors>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114300</xdr:rowOff>
        </xdr:from>
        <xdr:to>
          <xdr:col>3</xdr:col>
          <xdr:colOff>9525</xdr:colOff>
          <xdr:row>22</xdr:row>
          <xdr:rowOff>114300</xdr:rowOff>
        </xdr:to>
        <xdr:sp macro="" textlink="">
          <xdr:nvSpPr>
            <xdr:cNvPr id="25608" name="OptionButton3" hidden="1">
              <a:extLst>
                <a:ext uri="{63B3BB69-23CF-44E3-9099-C40C66FF867C}">
                  <a14:compatExt spid="_x0000_s256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xdr:row>
          <xdr:rowOff>0</xdr:rowOff>
        </xdr:from>
        <xdr:to>
          <xdr:col>3</xdr:col>
          <xdr:colOff>19050</xdr:colOff>
          <xdr:row>25</xdr:row>
          <xdr:rowOff>0</xdr:rowOff>
        </xdr:to>
        <xdr:sp macro="" textlink="">
          <xdr:nvSpPr>
            <xdr:cNvPr id="25609" name="OptionButton4" hidden="1">
              <a:extLst>
                <a:ext uri="{63B3BB69-23CF-44E3-9099-C40C66FF867C}">
                  <a14:compatExt spid="_x0000_s25609"/>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oto.netcompany.com/cases/GTE10/NCSADMIN/Deloitte/EmployeesStandardImportFile%20do%20kwestionariusz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Dane"/>
      <sheetName val="Bilanse otwarcia"/>
      <sheetName val="Wartości miesięczne"/>
      <sheetName val="Legenda"/>
      <sheetName val="Informacje"/>
      <sheetName val="Zmiany w v6"/>
      <sheetName val="Sheet2"/>
    </sheetNames>
    <sheetDataSet>
      <sheetData sheetId="0" refreshError="1"/>
      <sheetData sheetId="1" refreshError="1"/>
      <sheetData sheetId="2" refreshError="1"/>
      <sheetData sheetId="3" refreshError="1"/>
      <sheetData sheetId="4">
        <row r="1">
          <cell r="R1" t="str">
            <v>Urzędy Skarbowe</v>
          </cell>
        </row>
        <row r="2">
          <cell r="A2" t="str">
            <v>Dowód osobisty</v>
          </cell>
          <cell r="D2" t="str">
            <v>Adres zamieszkania</v>
          </cell>
          <cell r="I2" t="str">
            <v>AFG</v>
          </cell>
          <cell r="L2" t="str">
            <v>Podstawowy</v>
          </cell>
          <cell r="O2" t="str">
            <v>szer.</v>
          </cell>
          <cell r="R2" t="str">
            <v>Izba Skarbowa we Wrocławiu</v>
          </cell>
          <cell r="U2" t="str">
            <v>Podstawowy</v>
          </cell>
          <cell r="X2" t="str">
            <v>Umowa na czas nieokreślony</v>
          </cell>
          <cell r="AA2" t="str">
            <v>ZUS Oddział w Białymstoku</v>
          </cell>
          <cell r="AD2" t="str">
            <v>01 10</v>
          </cell>
        </row>
        <row r="3">
          <cell r="A3" t="str">
            <v>Prawo jazdy</v>
          </cell>
          <cell r="D3" t="str">
            <v>Adres zameldowania</v>
          </cell>
          <cell r="I3" t="str">
            <v>ALB</v>
          </cell>
          <cell r="L3" t="str">
            <v>Zaawansowany</v>
          </cell>
          <cell r="O3" t="str">
            <v>st. szer.</v>
          </cell>
          <cell r="R3" t="str">
            <v>Dolnośląski Urząd Skarbowy we Wrocławiu</v>
          </cell>
          <cell r="U3" t="str">
            <v>Podwyższony</v>
          </cell>
          <cell r="X3" t="str">
            <v>Umowa na czas określony</v>
          </cell>
          <cell r="AA3" t="str">
            <v>ZUS Inspektorat w Augustowie</v>
          </cell>
          <cell r="AD3" t="str">
            <v>01 11</v>
          </cell>
        </row>
        <row r="4">
          <cell r="A4" t="str">
            <v>Paszport</v>
          </cell>
          <cell r="D4" t="str">
            <v>Adres korespondencyjny</v>
          </cell>
          <cell r="I4" t="str">
            <v>DZA</v>
          </cell>
          <cell r="L4" t="str">
            <v>Biegły</v>
          </cell>
          <cell r="O4" t="str">
            <v>kpr.</v>
          </cell>
          <cell r="R4" t="str">
            <v>Urząd Skarbowy w Bolesławcu</v>
          </cell>
          <cell r="U4" t="str">
            <v>Brak</v>
          </cell>
          <cell r="X4" t="str">
            <v>Umowa na czas wykonywania okreslonej pracy</v>
          </cell>
          <cell r="AA4" t="str">
            <v>ZUS Inspektorat w Bielsku Podlaskim</v>
          </cell>
          <cell r="AD4" t="str">
            <v>01 12</v>
          </cell>
        </row>
        <row r="5">
          <cell r="I5" t="str">
            <v>AND</v>
          </cell>
          <cell r="O5" t="str">
            <v>st. kpr.</v>
          </cell>
          <cell r="R5" t="str">
            <v>Urząd Skarbowy w Bystrzycy Kłodzkiej</v>
          </cell>
          <cell r="X5" t="str">
            <v>Umowa na okres próbny</v>
          </cell>
          <cell r="AA5" t="str">
            <v>ZUS Inspektorat w Hajnówce</v>
          </cell>
          <cell r="AD5" t="str">
            <v>01 20</v>
          </cell>
        </row>
        <row r="6">
          <cell r="I6" t="str">
            <v>AGO</v>
          </cell>
          <cell r="O6" t="str">
            <v>plut.</v>
          </cell>
          <cell r="R6" t="str">
            <v>Urząd Skarbowy w Dzierżoniowie</v>
          </cell>
          <cell r="X6" t="str">
            <v>Umowa na zastępstwo</v>
          </cell>
          <cell r="AA6" t="str">
            <v>ZUS Inspektorat w Łomży</v>
          </cell>
          <cell r="AD6" t="str">
            <v>01 24</v>
          </cell>
        </row>
        <row r="7">
          <cell r="I7" t="str">
            <v>AIA</v>
          </cell>
          <cell r="O7" t="str">
            <v>sierż.</v>
          </cell>
          <cell r="R7" t="str">
            <v>Urząd Skarbowy w Głogowie</v>
          </cell>
          <cell r="U7" t="str">
            <v>Podstawowa</v>
          </cell>
          <cell r="X7" t="str">
            <v>Umowa o dzieło</v>
          </cell>
          <cell r="AA7" t="str">
            <v>ZUS Inspektorat w Siemiatyczach</v>
          </cell>
          <cell r="AD7" t="str">
            <v>01 25</v>
          </cell>
        </row>
        <row r="8">
          <cell r="I8" t="str">
            <v>ATA</v>
          </cell>
          <cell r="O8" t="str">
            <v>st. sierż.</v>
          </cell>
          <cell r="R8" t="str">
            <v>Urząd skarbowy w Górze</v>
          </cell>
          <cell r="U8" t="str">
            <v>Podwyższona</v>
          </cell>
          <cell r="X8" t="str">
            <v>Umowa ze studentem</v>
          </cell>
          <cell r="AA8" t="str">
            <v>ZUS Inspektorat w Sokółce</v>
          </cell>
          <cell r="AD8" t="str">
            <v>01 26</v>
          </cell>
        </row>
        <row r="9">
          <cell r="I9" t="str">
            <v>ATG</v>
          </cell>
          <cell r="O9" t="str">
            <v>mł. chor.</v>
          </cell>
          <cell r="R9" t="str">
            <v>Urząd Skarbowy w Jaworze</v>
          </cell>
          <cell r="U9" t="str">
            <v>Brak</v>
          </cell>
          <cell r="X9" t="str">
            <v>Umowa zlecenie</v>
          </cell>
          <cell r="AA9" t="str">
            <v>ZUS Inspektorat w Suwałkach</v>
          </cell>
          <cell r="AD9" t="str">
            <v>02 00</v>
          </cell>
        </row>
        <row r="10">
          <cell r="A10">
            <v>1</v>
          </cell>
          <cell r="I10" t="str">
            <v>SAU</v>
          </cell>
          <cell r="L10">
            <v>1</v>
          </cell>
          <cell r="O10" t="str">
            <v>chor.</v>
          </cell>
          <cell r="R10" t="str">
            <v>Urząd Skarbowy w Jeleniej Górze</v>
          </cell>
          <cell r="X10" t="str">
            <v>Zakaz konkurencji</v>
          </cell>
          <cell r="AA10" t="str">
            <v>ZUS Inspektorat w Wysokiem Mazowieckiem</v>
          </cell>
          <cell r="AD10" t="str">
            <v>03 10</v>
          </cell>
        </row>
        <row r="11">
          <cell r="A11">
            <v>0</v>
          </cell>
          <cell r="I11" t="str">
            <v>ARG</v>
          </cell>
          <cell r="L11">
            <v>2</v>
          </cell>
          <cell r="O11" t="str">
            <v>st. chor.</v>
          </cell>
          <cell r="R11" t="str">
            <v>Urząd Skarbowy w Kamiennej Górze</v>
          </cell>
          <cell r="X11" t="str">
            <v>Aneks</v>
          </cell>
          <cell r="AA11" t="str">
            <v>ZUS Inspektorat w Zambrowie</v>
          </cell>
          <cell r="AD11" t="str">
            <v>03 20</v>
          </cell>
        </row>
        <row r="12">
          <cell r="I12" t="str">
            <v>ARM</v>
          </cell>
          <cell r="L12">
            <v>3</v>
          </cell>
          <cell r="O12" t="str">
            <v>st. chor. szt.</v>
          </cell>
          <cell r="R12" t="str">
            <v>Urząd Skarbowy w Kłodzku</v>
          </cell>
          <cell r="AA12" t="str">
            <v>ZUS Biuro Terenowe w Grajewie</v>
          </cell>
          <cell r="AD12" t="str">
            <v>04 11</v>
          </cell>
        </row>
        <row r="13">
          <cell r="I13" t="str">
            <v>ABW</v>
          </cell>
          <cell r="L13">
            <v>4</v>
          </cell>
          <cell r="O13" t="str">
            <v>ppor.</v>
          </cell>
          <cell r="R13" t="str">
            <v>Urząd Skarbowy w Legnicy</v>
          </cell>
          <cell r="U13" t="str">
            <v>Cały etat</v>
          </cell>
          <cell r="X13" t="str">
            <v>Bez wypowiedzenia</v>
          </cell>
          <cell r="AA13" t="str">
            <v>ZUS Biuro Terenowe w Kolnie</v>
          </cell>
          <cell r="AD13" t="str">
            <v>04 12</v>
          </cell>
        </row>
        <row r="14">
          <cell r="I14" t="str">
            <v>AUS</v>
          </cell>
          <cell r="L14">
            <v>5</v>
          </cell>
          <cell r="O14" t="str">
            <v>por.</v>
          </cell>
          <cell r="R14" t="str">
            <v>Urząd Skarbowy w Lubaniu</v>
          </cell>
          <cell r="U14" t="str">
            <v>3/4 etatu</v>
          </cell>
          <cell r="X14" t="str">
            <v>Śmierć</v>
          </cell>
          <cell r="AA14" t="str">
            <v>ZUS Oddział w Bielsku-Białej</v>
          </cell>
          <cell r="AD14" t="str">
            <v>04 17</v>
          </cell>
        </row>
        <row r="15">
          <cell r="I15" t="str">
            <v>AUT</v>
          </cell>
          <cell r="O15" t="str">
            <v>kpt</v>
          </cell>
          <cell r="R15" t="str">
            <v>Urząd Skarbowy w Lubinie</v>
          </cell>
          <cell r="U15" t="str">
            <v>1/2 etatu</v>
          </cell>
          <cell r="X15" t="str">
            <v>Wypowiedzenie przez pracodawcę</v>
          </cell>
          <cell r="AA15" t="str">
            <v>ZUS Oddział w Bielsku-Białej</v>
          </cell>
          <cell r="AD15" t="str">
            <v>04 18</v>
          </cell>
        </row>
        <row r="16">
          <cell r="A16" t="str">
            <v>Podstawowe</v>
          </cell>
          <cell r="I16" t="str">
            <v>AZE</v>
          </cell>
          <cell r="O16" t="str">
            <v>mjr</v>
          </cell>
          <cell r="R16" t="str">
            <v>Urząd Skarbowy w Lwówku Śląskim</v>
          </cell>
          <cell r="U16" t="str">
            <v>1/4 etatu</v>
          </cell>
          <cell r="X16" t="str">
            <v>Wypowiedzenie przez pracownika</v>
          </cell>
          <cell r="AA16" t="str">
            <v>ZUS Inspektorat w Cieszynie</v>
          </cell>
          <cell r="AD16" t="str">
            <v>04 21</v>
          </cell>
        </row>
        <row r="17">
          <cell r="A17" t="str">
            <v>Gimnazjum</v>
          </cell>
          <cell r="I17" t="str">
            <v>BHS</v>
          </cell>
          <cell r="O17" t="str">
            <v>ppłk</v>
          </cell>
          <cell r="R17" t="str">
            <v>Urząd Skarbowy w Miliczu</v>
          </cell>
          <cell r="U17" t="str">
            <v>1/5 etatu</v>
          </cell>
          <cell r="X17" t="str">
            <v>Z upływem czasu na jaki była zawarta</v>
          </cell>
          <cell r="AA17" t="str">
            <v>ZUS Inspektorat w Żywcu</v>
          </cell>
          <cell r="AD17" t="str">
            <v>04 22</v>
          </cell>
        </row>
        <row r="18">
          <cell r="A18" t="str">
            <v>Zasadnicza szkoła zawodowa - 2-letnia</v>
          </cell>
          <cell r="I18" t="str">
            <v>BHR</v>
          </cell>
          <cell r="O18" t="str">
            <v>płk</v>
          </cell>
          <cell r="R18" t="str">
            <v>Urząd Skarbowy w Nowej Rudzie</v>
          </cell>
          <cell r="X18" t="str">
            <v>Z zakończeniem pracy</v>
          </cell>
          <cell r="AA18" t="str">
            <v>ZUS Oddział w Biłgoraju</v>
          </cell>
          <cell r="AD18" t="str">
            <v>04 24</v>
          </cell>
        </row>
        <row r="19">
          <cell r="A19" t="str">
            <v>Zasadnicza szkoła zawodowa - 3-letnia</v>
          </cell>
          <cell r="I19" t="str">
            <v>BGD</v>
          </cell>
          <cell r="O19" t="str">
            <v>gen. bryg.</v>
          </cell>
          <cell r="R19" t="str">
            <v>Urząd Skarbowy w Oleśnicy</v>
          </cell>
          <cell r="X19" t="str">
            <v>Za porozumieniem stron</v>
          </cell>
          <cell r="AA19" t="str">
            <v>ZUS Inspektorat w Chełmie</v>
          </cell>
          <cell r="AD19" t="str">
            <v>04 25</v>
          </cell>
        </row>
        <row r="20">
          <cell r="A20" t="str">
            <v>Średnia szkoła zawodowa - 2-letnia</v>
          </cell>
          <cell r="I20" t="str">
            <v>BRB</v>
          </cell>
          <cell r="O20" t="str">
            <v>gen. dyw.</v>
          </cell>
          <cell r="R20" t="str">
            <v>Urząd Skarbowy w w Oławie</v>
          </cell>
          <cell r="AA20" t="str">
            <v>ZUS Inspektorat w Hrubieszowie</v>
          </cell>
          <cell r="AD20" t="str">
            <v>04 26</v>
          </cell>
        </row>
        <row r="21">
          <cell r="A21" t="str">
            <v>Średnia szkoła zawodowa - 3-letnia</v>
          </cell>
          <cell r="I21" t="str">
            <v>BEL</v>
          </cell>
          <cell r="O21" t="str">
            <v>gen. broni</v>
          </cell>
          <cell r="R21" t="str">
            <v>Urząd Skarbowy w Polkowicach</v>
          </cell>
          <cell r="AA21" t="str">
            <v>ZUS Inspektorat w Tomaszowie Lubelskim</v>
          </cell>
          <cell r="AD21" t="str">
            <v>04 27</v>
          </cell>
        </row>
        <row r="22">
          <cell r="A22" t="str">
            <v>Średnia szkoła zawodowa - 4-letnia</v>
          </cell>
          <cell r="I22" t="str">
            <v>BLZ</v>
          </cell>
          <cell r="O22" t="str">
            <v>gen</v>
          </cell>
          <cell r="R22" t="str">
            <v>Urząd Skarbowy w Strzelinie</v>
          </cell>
          <cell r="AA22" t="str">
            <v>ZUS Inspektorat w Zamościu</v>
          </cell>
          <cell r="AD22" t="str">
            <v>04 28</v>
          </cell>
        </row>
        <row r="23">
          <cell r="A23" t="str">
            <v>Średnia szkoła zawodowa po zasadniczej</v>
          </cell>
          <cell r="I23" t="str">
            <v>BEN</v>
          </cell>
          <cell r="O23" t="str">
            <v>marsz.</v>
          </cell>
          <cell r="R23" t="str">
            <v>Urząd Skarbowy w Środzie Śląskiej</v>
          </cell>
          <cell r="X23" t="str">
            <v>Podlega</v>
          </cell>
          <cell r="AA23" t="str">
            <v>ZUS Biuro Terenowe w Janowie Lubelskim</v>
          </cell>
          <cell r="AD23" t="str">
            <v>04 29</v>
          </cell>
        </row>
        <row r="24">
          <cell r="A24" t="str">
            <v>Średnia szkoła ogólnokształcąca</v>
          </cell>
          <cell r="I24" t="str">
            <v>BMU</v>
          </cell>
          <cell r="R24" t="str">
            <v>Urząd Skarbowy w Świdnicy</v>
          </cell>
          <cell r="X24" t="str">
            <v>Nie podlega</v>
          </cell>
          <cell r="AA24" t="str">
            <v>ZUS Biuro Terenowe w Krasnymstawie</v>
          </cell>
          <cell r="AD24" t="str">
            <v>05 10</v>
          </cell>
        </row>
        <row r="25">
          <cell r="A25" t="str">
            <v>Szkoła policealna</v>
          </cell>
          <cell r="I25" t="str">
            <v>BTN</v>
          </cell>
          <cell r="R25" t="str">
            <v>Urząd Skarbowy w Trzebnicy</v>
          </cell>
          <cell r="X25" t="str">
            <v>Dobrowolne</v>
          </cell>
          <cell r="AA25" t="str">
            <v>ZUS Biuro Terenowe we Włodawie</v>
          </cell>
          <cell r="AD25" t="str">
            <v>05 11</v>
          </cell>
        </row>
        <row r="26">
          <cell r="A26" t="str">
            <v>Szkoła wyższa</v>
          </cell>
          <cell r="I26" t="str">
            <v>BLR</v>
          </cell>
          <cell r="R26" t="str">
            <v>Urząd Skarbowy w Wałbrzychu</v>
          </cell>
          <cell r="AA26" t="str">
            <v>ZUS Oddział w Bydgoszczy</v>
          </cell>
          <cell r="AD26" t="str">
            <v>05 20</v>
          </cell>
        </row>
        <row r="27">
          <cell r="A27" t="str">
            <v>Studia podyplomowe</v>
          </cell>
          <cell r="I27" t="str">
            <v>BOL</v>
          </cell>
          <cell r="R27" t="str">
            <v>Urząd Skarbowy w Wołowie</v>
          </cell>
          <cell r="AA27" t="str">
            <v>ZUS Inspektorat w Bydgoszczy</v>
          </cell>
          <cell r="AD27" t="str">
            <v>05 30</v>
          </cell>
        </row>
        <row r="28">
          <cell r="A28" t="str">
            <v>Kurs</v>
          </cell>
          <cell r="I28" t="str">
            <v>BES</v>
          </cell>
          <cell r="R28" t="str">
            <v>Urząd Skarbowy Wrocław - Fabryczna</v>
          </cell>
          <cell r="U28">
            <v>0</v>
          </cell>
          <cell r="AA28" t="str">
            <v>ZUS Inspektorat w Inowrocławiu</v>
          </cell>
          <cell r="AD28" t="str">
            <v>05 40</v>
          </cell>
        </row>
        <row r="29">
          <cell r="I29" t="str">
            <v>BIH</v>
          </cell>
          <cell r="R29" t="str">
            <v>Urząd Skarbowy Wrocław - Krzyki</v>
          </cell>
          <cell r="U29">
            <v>1</v>
          </cell>
          <cell r="AA29" t="str">
            <v>ZUS Inspektorat w Nakle nad Notecią</v>
          </cell>
          <cell r="AD29" t="str">
            <v>05 43</v>
          </cell>
        </row>
        <row r="30">
          <cell r="I30" t="str">
            <v>BWA</v>
          </cell>
          <cell r="R30" t="str">
            <v>Urząd Skarbowy Wrocław - Psie Pole</v>
          </cell>
          <cell r="U30">
            <v>2</v>
          </cell>
          <cell r="AA30" t="str">
            <v>ZUS Inspektorat w Świeciu</v>
          </cell>
          <cell r="AD30" t="str">
            <v>05 44</v>
          </cell>
        </row>
        <row r="31">
          <cell r="I31" t="str">
            <v>BRA</v>
          </cell>
          <cell r="R31" t="str">
            <v>Urząd Skarbowy Wrocław - Stare Miasto</v>
          </cell>
          <cell r="U31">
            <v>3</v>
          </cell>
          <cell r="AA31" t="str">
            <v>ZUS Inspektorat w Tucholi</v>
          </cell>
          <cell r="AD31" t="str">
            <v>05 45</v>
          </cell>
        </row>
        <row r="32">
          <cell r="E32" t="str">
            <v>Okresowe szkolenie BHP</v>
          </cell>
          <cell r="I32" t="str">
            <v>BRN</v>
          </cell>
          <cell r="R32" t="str">
            <v>Urząd Skarbowy Wrocław - Śródmieście</v>
          </cell>
          <cell r="U32">
            <v>4</v>
          </cell>
          <cell r="AA32" t="str">
            <v>ZUS Inspektorat w Żninie</v>
          </cell>
          <cell r="AD32" t="str">
            <v>05 50</v>
          </cell>
        </row>
        <row r="33">
          <cell r="E33" t="str">
            <v>Wstępne szkolenie BHP</v>
          </cell>
          <cell r="I33" t="str">
            <v>IOT</v>
          </cell>
          <cell r="R33" t="str">
            <v>Pierwszy Urząd Skarbowy we Wrocławiu</v>
          </cell>
          <cell r="AA33" t="str">
            <v>ZUS Biuro Terenowe w Sępólnie Krajeńskim</v>
          </cell>
          <cell r="AD33" t="str">
            <v>05 60</v>
          </cell>
        </row>
        <row r="34">
          <cell r="I34" t="str">
            <v>VGB</v>
          </cell>
          <cell r="R34" t="str">
            <v>Urząd Skarbowy w Ząbkowicach Śląskich</v>
          </cell>
          <cell r="AA34" t="str">
            <v>ZUS Oddział w Chorzowie</v>
          </cell>
          <cell r="AD34" t="str">
            <v>06 10</v>
          </cell>
        </row>
        <row r="35">
          <cell r="I35" t="str">
            <v>BGR</v>
          </cell>
          <cell r="R35" t="str">
            <v>Urząd Skarbowy w Zgorzelcu</v>
          </cell>
          <cell r="AA35" t="str">
            <v>ZUS Inspektorat w Katowicach</v>
          </cell>
          <cell r="AD35" t="str">
            <v>07 10</v>
          </cell>
        </row>
        <row r="36">
          <cell r="I36" t="str">
            <v>BFA</v>
          </cell>
          <cell r="R36" t="str">
            <v>Urząd Skarbowy w Złotoryi</v>
          </cell>
          <cell r="U36" t="str">
            <v>01</v>
          </cell>
          <cell r="AA36" t="str">
            <v>ZUS Biuro Terenowe w Mysłowicach</v>
          </cell>
          <cell r="AD36" t="str">
            <v>07 20</v>
          </cell>
        </row>
        <row r="37">
          <cell r="I37" t="str">
            <v>BDI</v>
          </cell>
          <cell r="R37" t="str">
            <v>Izba Skarbowa w Bydgoszczy</v>
          </cell>
          <cell r="U37">
            <v>11</v>
          </cell>
          <cell r="AA37" t="str">
            <v>ZUS Biuro Terenowe w Rudzie Śląskiej</v>
          </cell>
          <cell r="AD37" t="str">
            <v>08 00</v>
          </cell>
        </row>
        <row r="38">
          <cell r="I38" t="str">
            <v>CHL</v>
          </cell>
          <cell r="R38" t="str">
            <v>Kujawsko-Pomorski Urząd Skarbowy w Bydgoszczy</v>
          </cell>
          <cell r="U38">
            <v>21</v>
          </cell>
          <cell r="AA38" t="str">
            <v>ZUS Oddział w Chrzanowie</v>
          </cell>
          <cell r="AD38" t="str">
            <v>09 10</v>
          </cell>
        </row>
        <row r="39">
          <cell r="I39" t="str">
            <v>CHN</v>
          </cell>
          <cell r="R39" t="str">
            <v>Urząd Skarbowy w Aleksandrowie Kujawskim</v>
          </cell>
          <cell r="U39">
            <v>30</v>
          </cell>
          <cell r="AA39" t="str">
            <v>ZUS Inspektorat w Olkuszu</v>
          </cell>
          <cell r="AD39" t="str">
            <v>09 11</v>
          </cell>
        </row>
        <row r="40">
          <cell r="I40" t="str">
            <v>HRV</v>
          </cell>
          <cell r="R40" t="str">
            <v>Urząd Skarbowy w Brodnicy</v>
          </cell>
          <cell r="U40">
            <v>31</v>
          </cell>
          <cell r="AA40" t="str">
            <v>ZUS Inspektorat w Oświęcimiu</v>
          </cell>
          <cell r="AD40" t="str">
            <v>09 20</v>
          </cell>
        </row>
        <row r="41">
          <cell r="I41" t="str">
            <v>CUW</v>
          </cell>
          <cell r="R41" t="str">
            <v>Pierwszy Urząd Skarbowy w Bydgoszczy</v>
          </cell>
          <cell r="U41">
            <v>32</v>
          </cell>
          <cell r="AA41" t="str">
            <v>ZUS Inspektorat w Suchej Beskidzkiej</v>
          </cell>
          <cell r="AD41" t="str">
            <v>09 40</v>
          </cell>
        </row>
        <row r="42">
          <cell r="I42" t="str">
            <v>CYP</v>
          </cell>
          <cell r="R42" t="str">
            <v>Drugi Urząd Skarbowy w Bydgoszczy</v>
          </cell>
          <cell r="U42">
            <v>33</v>
          </cell>
          <cell r="AA42" t="str">
            <v>ZUS Inspektorat w Wadowicach</v>
          </cell>
          <cell r="AD42" t="str">
            <v>09 41</v>
          </cell>
        </row>
        <row r="43">
          <cell r="A43" t="str">
            <v>01R</v>
          </cell>
          <cell r="I43" t="str">
            <v>TCD</v>
          </cell>
          <cell r="R43" t="str">
            <v>Trzeci Urząd Skarbowy w Bydgoszczy</v>
          </cell>
          <cell r="U43">
            <v>40</v>
          </cell>
          <cell r="AA43" t="str">
            <v>ZUS Oddział w Częstochowie</v>
          </cell>
          <cell r="AD43" t="str">
            <v>10 10</v>
          </cell>
        </row>
        <row r="44">
          <cell r="A44" t="str">
            <v>02R</v>
          </cell>
          <cell r="I44" t="str">
            <v>MNE</v>
          </cell>
          <cell r="R44" t="str">
            <v>Urząd Skarbowy w Chełmnie</v>
          </cell>
          <cell r="U44">
            <v>41</v>
          </cell>
          <cell r="AA44" t="str">
            <v>ZUS Inspektorat w Kłobucku</v>
          </cell>
          <cell r="AD44" t="str">
            <v>10 11</v>
          </cell>
        </row>
        <row r="45">
          <cell r="A45" t="str">
            <v>03R</v>
          </cell>
          <cell r="I45" t="str">
            <v>CZE</v>
          </cell>
          <cell r="R45" t="str">
            <v>Urząd Skarbowy w Golubiu-Dobrzyniu</v>
          </cell>
          <cell r="U45">
            <v>50</v>
          </cell>
          <cell r="AA45" t="str">
            <v>ZUS Inspektorat w Lublińcu</v>
          </cell>
          <cell r="AD45" t="str">
            <v>10 12</v>
          </cell>
        </row>
        <row r="46">
          <cell r="A46" t="str">
            <v>04R</v>
          </cell>
          <cell r="I46" t="str">
            <v>UMI</v>
          </cell>
          <cell r="R46" t="str">
            <v>Urząd Skarbowy w Grudziądzu</v>
          </cell>
          <cell r="U46">
            <v>60</v>
          </cell>
          <cell r="AA46" t="str">
            <v>ZUS Inspektorat w Myszkowie</v>
          </cell>
          <cell r="AD46" t="str">
            <v>10 20</v>
          </cell>
        </row>
        <row r="47">
          <cell r="A47" t="str">
            <v>05R</v>
          </cell>
          <cell r="I47" t="str">
            <v>DNK</v>
          </cell>
          <cell r="R47" t="str">
            <v>Urząd Skarbowy w Inowrocławiu</v>
          </cell>
          <cell r="AA47" t="str">
            <v>ZUS Biuro Terenowe w Koniecpolu</v>
          </cell>
          <cell r="AD47" t="str">
            <v>10 40</v>
          </cell>
        </row>
        <row r="48">
          <cell r="A48" t="str">
            <v>06R</v>
          </cell>
          <cell r="I48" t="str">
            <v>COD</v>
          </cell>
          <cell r="R48" t="str">
            <v>Urząd Skarbowy w Lipnie</v>
          </cell>
          <cell r="AA48" t="str">
            <v>ZUS Oddział w Elblągu</v>
          </cell>
          <cell r="AD48" t="str">
            <v>10 50</v>
          </cell>
        </row>
        <row r="49">
          <cell r="A49" t="str">
            <v>07R</v>
          </cell>
          <cell r="I49" t="str">
            <v>DMA</v>
          </cell>
          <cell r="R49" t="str">
            <v>Urząd Skarbowy w Mogilnie</v>
          </cell>
          <cell r="AA49" t="str">
            <v>ZUS Inspektorat w Iławie</v>
          </cell>
          <cell r="AD49" t="str">
            <v>11 10</v>
          </cell>
        </row>
        <row r="50">
          <cell r="A50" t="str">
            <v>08R</v>
          </cell>
          <cell r="I50" t="str">
            <v>DOM</v>
          </cell>
          <cell r="R50" t="str">
            <v>Urząd Skarbowy w Nakle nad Notecią</v>
          </cell>
          <cell r="AA50" t="str">
            <v>ZUS Inspektorat w Ostródzie</v>
          </cell>
          <cell r="AD50" t="str">
            <v>11 11</v>
          </cell>
        </row>
        <row r="51">
          <cell r="A51" t="str">
            <v>09R</v>
          </cell>
          <cell r="I51" t="str">
            <v>DJI</v>
          </cell>
          <cell r="R51" t="str">
            <v>Urząd Skarbowy w Radziejowie</v>
          </cell>
          <cell r="AA51" t="str">
            <v>ZUS Biuro Terenowe w Braniewie</v>
          </cell>
          <cell r="AD51" t="str">
            <v>11 12</v>
          </cell>
        </row>
        <row r="52">
          <cell r="A52" t="str">
            <v>10R</v>
          </cell>
          <cell r="I52" t="str">
            <v>EGY</v>
          </cell>
          <cell r="R52" t="str">
            <v>Urząd Skarbowy w Rypinie</v>
          </cell>
          <cell r="AA52" t="str">
            <v>ZUS Oddział w Gdańsku</v>
          </cell>
          <cell r="AD52" t="str">
            <v>11 13</v>
          </cell>
        </row>
        <row r="53">
          <cell r="A53" t="str">
            <v>11R</v>
          </cell>
          <cell r="I53" t="str">
            <v>ECU</v>
          </cell>
          <cell r="R53" t="str">
            <v>Urząd Skarbowy w Sępólnie Krajeńskim</v>
          </cell>
          <cell r="AA53" t="str">
            <v>ZUS Inspektorat Gdańsk-Śródmieście</v>
          </cell>
          <cell r="AD53" t="str">
            <v>11 14</v>
          </cell>
        </row>
        <row r="54">
          <cell r="A54" t="str">
            <v>12R</v>
          </cell>
          <cell r="I54" t="str">
            <v>ERI</v>
          </cell>
          <cell r="R54" t="str">
            <v>Urząd Skarbowy w Świeciu</v>
          </cell>
          <cell r="AA54" t="str">
            <v>ZUS Inspektorat Gdańsk-Wrzeszcz</v>
          </cell>
          <cell r="AD54" t="str">
            <v>11 20</v>
          </cell>
        </row>
        <row r="55">
          <cell r="A55" t="str">
            <v>13R</v>
          </cell>
          <cell r="I55" t="str">
            <v>EST</v>
          </cell>
          <cell r="R55" t="str">
            <v>Pierwszy Urząd Skarbowy w Toruniu</v>
          </cell>
          <cell r="AA55" t="str">
            <v>ZUS Inspektorat w Gdyni</v>
          </cell>
          <cell r="AD55" t="str">
            <v>11 30</v>
          </cell>
        </row>
        <row r="56">
          <cell r="A56" t="str">
            <v>14R</v>
          </cell>
          <cell r="I56" t="str">
            <v>ETH</v>
          </cell>
          <cell r="R56" t="str">
            <v>Drugi Urząd Skarbowy w Toruniu</v>
          </cell>
          <cell r="AA56" t="str">
            <v>ZUS Inspektorat w Kartuzach</v>
          </cell>
          <cell r="AD56" t="str">
            <v>11 31</v>
          </cell>
        </row>
        <row r="57">
          <cell r="A57" t="str">
            <v>15R</v>
          </cell>
          <cell r="I57" t="str">
            <v>FLK</v>
          </cell>
          <cell r="R57" t="str">
            <v>Urząd Skarbowy w Tucholi</v>
          </cell>
          <cell r="AA57" t="str">
            <v>ZUS Inspektorat w Kościerzynie</v>
          </cell>
          <cell r="AD57" t="str">
            <v>11 32</v>
          </cell>
        </row>
        <row r="58">
          <cell r="A58" t="str">
            <v>16R</v>
          </cell>
          <cell r="I58" t="str">
            <v>FJI</v>
          </cell>
          <cell r="R58" t="str">
            <v>Urząd Skarbowy w Wąbrzeźnie</v>
          </cell>
          <cell r="AA58" t="str">
            <v>ZUS Inspektorat w Kwidzynie</v>
          </cell>
          <cell r="AD58" t="str">
            <v>11 33</v>
          </cell>
        </row>
        <row r="59">
          <cell r="I59" t="str">
            <v>PHL</v>
          </cell>
          <cell r="R59" t="str">
            <v>Urząd Skarbowy we Włocławku</v>
          </cell>
          <cell r="AA59" t="str">
            <v>ZUS Inspektorat w Malborku</v>
          </cell>
          <cell r="AD59" t="str">
            <v>11 34</v>
          </cell>
        </row>
        <row r="60">
          <cell r="I60" t="str">
            <v>FIN</v>
          </cell>
          <cell r="R60" t="str">
            <v>Urząd Skarbowy w Żninie</v>
          </cell>
          <cell r="AA60" t="str">
            <v>ZUS Inspektorat w Pruszczu Gdańskim</v>
          </cell>
          <cell r="AD60" t="str">
            <v>11 40</v>
          </cell>
        </row>
        <row r="61">
          <cell r="I61" t="str">
            <v>FRA</v>
          </cell>
          <cell r="R61" t="str">
            <v>Izba Skarbowa w Lublinie</v>
          </cell>
          <cell r="AA61" t="str">
            <v>ZUS Inspektorat w Pucku</v>
          </cell>
          <cell r="AD61" t="str">
            <v>11 50</v>
          </cell>
        </row>
        <row r="62">
          <cell r="I62" t="str">
            <v>ATF</v>
          </cell>
          <cell r="R62" t="str">
            <v>Lubelski Urząd Skarbowy w Lublinie</v>
          </cell>
          <cell r="AA62" t="str">
            <v>ZUS Inspektorat w Sopocie</v>
          </cell>
          <cell r="AD62" t="str">
            <v>11 51</v>
          </cell>
        </row>
        <row r="63">
          <cell r="I63" t="str">
            <v>GAB</v>
          </cell>
          <cell r="R63" t="str">
            <v>Urząd Skarbowy w Białej Podlaskiej</v>
          </cell>
          <cell r="AA63" t="str">
            <v>ZUS Inspektorat w Starogardzie Gdańskim</v>
          </cell>
          <cell r="AD63" t="str">
            <v>11 52</v>
          </cell>
        </row>
        <row r="64">
          <cell r="I64" t="str">
            <v>GMB</v>
          </cell>
          <cell r="R64" t="str">
            <v>Urząd Skarbowy w Biłgoraju</v>
          </cell>
          <cell r="AA64" t="str">
            <v>ZUS Inspektorat w Sztumie</v>
          </cell>
          <cell r="AD64" t="str">
            <v>11 53</v>
          </cell>
        </row>
        <row r="65">
          <cell r="I65" t="str">
            <v>SGS</v>
          </cell>
          <cell r="R65" t="str">
            <v>Urząd Skarbowy w Chełmie</v>
          </cell>
          <cell r="AA65" t="str">
            <v>ZUS Inspektorat w Tczewie</v>
          </cell>
          <cell r="AD65" t="str">
            <v>12 11</v>
          </cell>
        </row>
        <row r="66">
          <cell r="I66" t="str">
            <v>GHA</v>
          </cell>
          <cell r="R66" t="str">
            <v>Urząd Skarbowy w Hrubieszowie</v>
          </cell>
          <cell r="AA66" t="str">
            <v>ZUS Inspektorat w Wejherowie</v>
          </cell>
          <cell r="AD66" t="str">
            <v>12 40</v>
          </cell>
        </row>
        <row r="67">
          <cell r="I67" t="str">
            <v>GIB</v>
          </cell>
          <cell r="R67" t="str">
            <v>Urząd Skarbowy w Janowie Lubelskim</v>
          </cell>
          <cell r="AA67" t="str">
            <v>ZUS Oddział w Gorzowie Wielkopolskim</v>
          </cell>
          <cell r="AD67" t="str">
            <v>13 10</v>
          </cell>
        </row>
        <row r="68">
          <cell r="I68" t="str">
            <v>GRC</v>
          </cell>
          <cell r="R68" t="str">
            <v>Urząd Skarbowy w Krasnymstawie</v>
          </cell>
          <cell r="AA68" t="str">
            <v>ZUS Inspektorat w Słubicach</v>
          </cell>
          <cell r="AD68" t="str">
            <v>13 20</v>
          </cell>
        </row>
        <row r="69">
          <cell r="I69" t="str">
            <v>GRD</v>
          </cell>
          <cell r="R69" t="str">
            <v>Urząd Skarbowy w Kraśniku</v>
          </cell>
          <cell r="AA69" t="str">
            <v>ZUS Inspektorat w Sulęcinie</v>
          </cell>
          <cell r="AD69" t="str">
            <v>13 21</v>
          </cell>
        </row>
        <row r="70">
          <cell r="I70" t="str">
            <v>GRL</v>
          </cell>
          <cell r="R70" t="str">
            <v>Urząd Skarbowy w Lubartowie</v>
          </cell>
          <cell r="AA70" t="str">
            <v>ZUS Biuro Terenowe w Międzyrzeczu</v>
          </cell>
          <cell r="AD70" t="str">
            <v>13 22</v>
          </cell>
        </row>
        <row r="71">
          <cell r="I71" t="str">
            <v>GEO</v>
          </cell>
          <cell r="R71" t="str">
            <v>Pierwszy Urząd Skarbowy w Lublinie</v>
          </cell>
          <cell r="AA71" t="str">
            <v>ZUS Biuro Terenowe w Strzelcach Krajeńskich</v>
          </cell>
          <cell r="AD71" t="str">
            <v>14 22</v>
          </cell>
        </row>
        <row r="72">
          <cell r="I72" t="str">
            <v>GUM</v>
          </cell>
          <cell r="R72" t="str">
            <v>Drugi Urząd Skarbowy w Lublinie</v>
          </cell>
          <cell r="AA72" t="str">
            <v>ZUS Oddział w Jaśle</v>
          </cell>
          <cell r="AD72" t="str">
            <v>15 00</v>
          </cell>
        </row>
        <row r="73">
          <cell r="I73" t="str">
            <v>GGY</v>
          </cell>
          <cell r="R73" t="str">
            <v>Trzeci Urząd Skarbowy w Lublinie</v>
          </cell>
          <cell r="AA73" t="str">
            <v>ZUS Inspektorat w Brzozowie</v>
          </cell>
          <cell r="AD73" t="str">
            <v>16 10</v>
          </cell>
        </row>
        <row r="74">
          <cell r="I74" t="str">
            <v>GUF</v>
          </cell>
          <cell r="R74" t="str">
            <v>Urząd Skarbowy w Łęcznej</v>
          </cell>
          <cell r="AA74" t="str">
            <v>ZUS Inspektorat w Dębicy</v>
          </cell>
          <cell r="AD74" t="str">
            <v>17 00</v>
          </cell>
        </row>
        <row r="75">
          <cell r="I75" t="str">
            <v>GUY</v>
          </cell>
          <cell r="R75" t="str">
            <v>Urząd Skarbowy w Łukowie</v>
          </cell>
          <cell r="AA75" t="str">
            <v>ZUS Inspektorat w Krośnie</v>
          </cell>
          <cell r="AD75" t="str">
            <v>18 10</v>
          </cell>
        </row>
        <row r="76">
          <cell r="I76" t="str">
            <v>GLP</v>
          </cell>
          <cell r="R76" t="str">
            <v>Urząd Skarbowy w Opolu Lubelskim</v>
          </cell>
          <cell r="AA76" t="str">
            <v>ZUS Inspektorat w Sanoku</v>
          </cell>
          <cell r="AD76" t="str">
            <v>18 11</v>
          </cell>
        </row>
        <row r="77">
          <cell r="I77" t="str">
            <v>GTM</v>
          </cell>
          <cell r="R77" t="str">
            <v>Urząd Skarbowy w Parczewie</v>
          </cell>
          <cell r="AA77" t="str">
            <v>ZUS Oddział w Kielcach</v>
          </cell>
          <cell r="AD77" t="str">
            <v>18 30</v>
          </cell>
        </row>
        <row r="78">
          <cell r="I78" t="str">
            <v>GNB</v>
          </cell>
          <cell r="R78" t="str">
            <v>Urząd Skarbowy w Puławach</v>
          </cell>
          <cell r="AA78" t="str">
            <v>ZUS Oddział w Kielcach</v>
          </cell>
          <cell r="AD78" t="str">
            <v>19 00</v>
          </cell>
        </row>
        <row r="79">
          <cell r="I79" t="str">
            <v>GNQ</v>
          </cell>
          <cell r="R79" t="str">
            <v>Urząd Skarbowy w Radzyniu Podl.</v>
          </cell>
          <cell r="AA79" t="str">
            <v>ZUS Inspektorat w Busku-Zdroju</v>
          </cell>
          <cell r="AD79" t="str">
            <v>20 10</v>
          </cell>
        </row>
        <row r="80">
          <cell r="I80" t="str">
            <v>GIN</v>
          </cell>
          <cell r="R80" t="str">
            <v>Urząd Skarbowy w Rykach</v>
          </cell>
          <cell r="AA80" t="str">
            <v>ZUS Inspektorat w Końskich</v>
          </cell>
          <cell r="AD80" t="str">
            <v>20 20</v>
          </cell>
        </row>
        <row r="81">
          <cell r="I81" t="str">
            <v>HTI</v>
          </cell>
          <cell r="R81" t="str">
            <v>Urząd Skarbowy w Tomaszowie Lubelskim</v>
          </cell>
          <cell r="AA81" t="str">
            <v>ZUS Inspektorat w Opatowie</v>
          </cell>
          <cell r="AD81" t="str">
            <v>20 30</v>
          </cell>
        </row>
        <row r="82">
          <cell r="I82" t="str">
            <v>ESP</v>
          </cell>
          <cell r="R82" t="str">
            <v>Urząd Skarbowy we Włodawie</v>
          </cell>
          <cell r="AA82" t="str">
            <v>ZUS Inspektorat w Ostrowcu Świetokrzyskim</v>
          </cell>
          <cell r="AD82" t="str">
            <v>21 10</v>
          </cell>
        </row>
        <row r="83">
          <cell r="I83" t="str">
            <v>NLD</v>
          </cell>
          <cell r="R83" t="str">
            <v>Urząd Skarbowy w Zamościu</v>
          </cell>
          <cell r="AA83" t="str">
            <v>ZUS Inspektorat w Skarżysku Kamiennej</v>
          </cell>
          <cell r="AD83" t="str">
            <v>21 20</v>
          </cell>
        </row>
        <row r="84">
          <cell r="I84" t="str">
            <v>HND</v>
          </cell>
          <cell r="R84" t="str">
            <v>Izba Skarbowa w Zielonej Górze</v>
          </cell>
          <cell r="AA84" t="str">
            <v>ZUS Inspektorat w Starachowicach</v>
          </cell>
          <cell r="AD84" t="str">
            <v>22 10</v>
          </cell>
        </row>
        <row r="85">
          <cell r="I85" t="str">
            <v>HKG</v>
          </cell>
          <cell r="R85" t="str">
            <v>Lubuski Urząd Skarbowy w Zielonej Górze</v>
          </cell>
          <cell r="AA85" t="str">
            <v>ZUS Biuro Terenowe w Jędrzejowie</v>
          </cell>
          <cell r="AD85" t="str">
            <v>22 30</v>
          </cell>
        </row>
        <row r="86">
          <cell r="I86" t="str">
            <v>IND</v>
          </cell>
          <cell r="R86" t="str">
            <v>Urząd Skarbowy w Drezdenku</v>
          </cell>
          <cell r="AA86" t="str">
            <v>ZUS Biuro Terenowe w Pińczowie</v>
          </cell>
          <cell r="AD86" t="str">
            <v>22 40</v>
          </cell>
        </row>
        <row r="87">
          <cell r="I87" t="str">
            <v>IDN</v>
          </cell>
          <cell r="R87" t="str">
            <v>Urząd Skarbowy w Gorzowie Wlkp.</v>
          </cell>
          <cell r="AA87" t="str">
            <v>ZUS Biuro Terenowe w Sandomierzu</v>
          </cell>
          <cell r="AD87" t="str">
            <v>24 10</v>
          </cell>
        </row>
        <row r="88">
          <cell r="I88" t="str">
            <v>IRQ</v>
          </cell>
          <cell r="R88" t="str">
            <v>Urząd Skarbowy w Krośnie Odrz.</v>
          </cell>
          <cell r="AA88" t="str">
            <v>ZUS Biuro Terenowe w Staszowie</v>
          </cell>
          <cell r="AD88" t="str">
            <v>25 00</v>
          </cell>
        </row>
        <row r="89">
          <cell r="I89" t="str">
            <v>IRN</v>
          </cell>
          <cell r="R89" t="str">
            <v>Urząd Skarbowy w Miedzyrzeczu</v>
          </cell>
          <cell r="AA89" t="str">
            <v>ZUS Biuro Terenowe we Włoszczowie</v>
          </cell>
          <cell r="AD89" t="str">
            <v>25 01</v>
          </cell>
        </row>
        <row r="90">
          <cell r="I90" t="str">
            <v>IRL</v>
          </cell>
          <cell r="R90" t="str">
            <v>Urząd Skarbowy w Nowej Soli</v>
          </cell>
          <cell r="AA90" t="str">
            <v>ZUS Oddział w Koszalinie</v>
          </cell>
          <cell r="AD90" t="str">
            <v>25 10</v>
          </cell>
        </row>
        <row r="91">
          <cell r="I91" t="str">
            <v>ISL</v>
          </cell>
          <cell r="R91" t="str">
            <v>Urząd Skarbowy w Słubicach</v>
          </cell>
          <cell r="AA91" t="str">
            <v>ZUS Inspektorat w Białogardzie</v>
          </cell>
          <cell r="AD91" t="str">
            <v>25 11</v>
          </cell>
        </row>
        <row r="92">
          <cell r="I92" t="str">
            <v>ISR</v>
          </cell>
          <cell r="R92" t="str">
            <v>Urząd Skarbowy w Sulęcinie</v>
          </cell>
          <cell r="AA92" t="str">
            <v>ZUS Inspektorat w Drawsku Pomorskim</v>
          </cell>
          <cell r="AD92" t="str">
            <v>30 00</v>
          </cell>
        </row>
        <row r="93">
          <cell r="I93" t="str">
            <v>JAM</v>
          </cell>
          <cell r="R93" t="str">
            <v>Urząd Skarbowy w Świebodzinie</v>
          </cell>
          <cell r="AA93" t="str">
            <v>ZUS Inspektorat w Kołobrzegu</v>
          </cell>
          <cell r="AD93" t="str">
            <v>50 00</v>
          </cell>
        </row>
        <row r="94">
          <cell r="I94" t="str">
            <v>JPN</v>
          </cell>
          <cell r="R94" t="str">
            <v>Urząd Skarbowy we Wschowie</v>
          </cell>
          <cell r="AA94" t="str">
            <v>ZUS Inspektorat w Szczecinku</v>
          </cell>
        </row>
        <row r="95">
          <cell r="I95" t="str">
            <v>YEM</v>
          </cell>
          <cell r="R95" t="str">
            <v>Pierwszy Urząd Skarbowy w Zielonej Górze</v>
          </cell>
          <cell r="AA95" t="str">
            <v>ZUS Inspektorat w Świdwinie</v>
          </cell>
        </row>
        <row r="96">
          <cell r="I96" t="str">
            <v>JEY</v>
          </cell>
          <cell r="R96" t="str">
            <v>Drugi Urząd Skarbowy w Zielonej Górze</v>
          </cell>
          <cell r="AA96" t="str">
            <v>ZUS Inspektorat w Wałczu</v>
          </cell>
        </row>
        <row r="97">
          <cell r="I97" t="str">
            <v>JOR</v>
          </cell>
          <cell r="R97" t="str">
            <v>Urząd Skarbowy w Żaganiu</v>
          </cell>
          <cell r="AA97" t="str">
            <v>ZUS Oddział w Krakowie</v>
          </cell>
        </row>
        <row r="98">
          <cell r="I98" t="str">
            <v>CYM</v>
          </cell>
          <cell r="R98" t="str">
            <v>Urząd Skarbowy w Żarach</v>
          </cell>
          <cell r="AA98" t="str">
            <v>ZUS Inspektorat Kraków - Krowodrza</v>
          </cell>
        </row>
        <row r="99">
          <cell r="I99" t="str">
            <v>KHM</v>
          </cell>
          <cell r="R99" t="str">
            <v>Izba Skarbowa w Łodzi</v>
          </cell>
          <cell r="AA99" t="str">
            <v>ZUS Inspektorat Kraków - Łagiewniki</v>
          </cell>
        </row>
        <row r="100">
          <cell r="I100" t="str">
            <v>CMR</v>
          </cell>
          <cell r="R100" t="str">
            <v>Urząd Skarbowy w Bełchatowie</v>
          </cell>
          <cell r="AA100" t="str">
            <v>ZUS Inspektorat Kraków - Nowa Huta</v>
          </cell>
        </row>
        <row r="101">
          <cell r="I101" t="str">
            <v>CAN</v>
          </cell>
          <cell r="R101" t="str">
            <v>Urząd Skarbowy w Brzezinach</v>
          </cell>
          <cell r="AA101" t="str">
            <v>ZUS Inspektorat Kraków - Podgórze</v>
          </cell>
        </row>
        <row r="102">
          <cell r="I102" t="str">
            <v>QAT</v>
          </cell>
          <cell r="R102" t="str">
            <v>Urząd Skarbowy w Głownie</v>
          </cell>
          <cell r="AA102" t="str">
            <v>ZUS Biuro Terenowe w Miechowie</v>
          </cell>
        </row>
        <row r="103">
          <cell r="I103" t="str">
            <v>KAZ</v>
          </cell>
          <cell r="R103" t="str">
            <v>Urząd Skarbowy w Kutnie</v>
          </cell>
          <cell r="AA103" t="str">
            <v>ZUS Biuro Terenowe w Myślenicach</v>
          </cell>
        </row>
        <row r="104">
          <cell r="I104" t="str">
            <v>KEN</v>
          </cell>
          <cell r="R104" t="str">
            <v>Urząd Skarbowy w Łasku</v>
          </cell>
          <cell r="AA104" t="str">
            <v>ZUS Biuro Terenowe w Proszowicach</v>
          </cell>
        </row>
        <row r="105">
          <cell r="I105" t="str">
            <v>KGZ</v>
          </cell>
          <cell r="R105" t="str">
            <v>Urząd Skarbowy w Łęczycy</v>
          </cell>
          <cell r="AA105" t="str">
            <v>ZUS Oddział w Legnicy</v>
          </cell>
        </row>
        <row r="106">
          <cell r="I106" t="str">
            <v>KIR</v>
          </cell>
          <cell r="R106" t="str">
            <v>Urząd Skarbowy w Łowiczu</v>
          </cell>
          <cell r="AA106" t="str">
            <v>ZUS Inspektorat w Bolesławcu</v>
          </cell>
        </row>
        <row r="107">
          <cell r="I107" t="str">
            <v>COL</v>
          </cell>
          <cell r="R107" t="str">
            <v>Pierwszy Urząd Skarbowy Łódź- Bałuty</v>
          </cell>
          <cell r="AA107" t="str">
            <v>ZUS Inspektorat w Głogowie</v>
          </cell>
        </row>
        <row r="108">
          <cell r="I108" t="str">
            <v>COM</v>
          </cell>
          <cell r="R108" t="str">
            <v>Drugi Urząd Skarbowy Łódź-Bałuty</v>
          </cell>
          <cell r="AA108" t="str">
            <v>ZUS Inspektorat w Jaworze</v>
          </cell>
        </row>
        <row r="109">
          <cell r="I109" t="str">
            <v>COG</v>
          </cell>
          <cell r="R109" t="str">
            <v>Pierwszy Urząd Skarbowy Łódź- Górna</v>
          </cell>
          <cell r="AA109" t="str">
            <v>ZUS Inspektorat w Lubinie</v>
          </cell>
        </row>
        <row r="110">
          <cell r="I110" t="str">
            <v>KOR</v>
          </cell>
          <cell r="R110" t="str">
            <v>Drugi Urząd Skarbowy Łódź-Górna</v>
          </cell>
          <cell r="AA110" t="str">
            <v>ZUS Inspektorat w Złotoryi</v>
          </cell>
        </row>
        <row r="111">
          <cell r="I111" t="str">
            <v>PRK</v>
          </cell>
          <cell r="R111" t="str">
            <v>Urząd Skarbowy Łódź-Polesie</v>
          </cell>
          <cell r="AA111" t="str">
            <v>ZUS Biuro Terenowe w Górze</v>
          </cell>
        </row>
        <row r="112">
          <cell r="I112" t="str">
            <v>CRI</v>
          </cell>
          <cell r="R112" t="str">
            <v>Urząd Skarbowy Łódź-Śródmieście</v>
          </cell>
          <cell r="AA112" t="str">
            <v>ZUS Biuro Terenowe w Lwówku Śląskim</v>
          </cell>
        </row>
        <row r="113">
          <cell r="I113" t="str">
            <v>CUB</v>
          </cell>
          <cell r="R113" t="str">
            <v>Urząd Skarbowy Łódź-Widzew</v>
          </cell>
          <cell r="AA113" t="str">
            <v>ZUS Biuro Terenowe w Polkowicach</v>
          </cell>
        </row>
        <row r="114">
          <cell r="I114" t="str">
            <v>KWT</v>
          </cell>
          <cell r="R114" t="str">
            <v>Urząd Skarbowy w Opocznie</v>
          </cell>
          <cell r="AA114" t="str">
            <v>ZUS Oddział w Lublinie</v>
          </cell>
        </row>
        <row r="115">
          <cell r="I115" t="str">
            <v>LAO</v>
          </cell>
          <cell r="R115" t="str">
            <v>Urząd Skarbowy w Pabianicach</v>
          </cell>
          <cell r="AA115" t="str">
            <v>ZUS Inspektorat w Białej Podlaskiej</v>
          </cell>
        </row>
        <row r="116">
          <cell r="I116" t="str">
            <v>LSO</v>
          </cell>
          <cell r="R116" t="str">
            <v>Urząd Skarbowy w Pajęcznie</v>
          </cell>
          <cell r="AA116" t="str">
            <v>ZUS Inspektorat w Kraśniku</v>
          </cell>
        </row>
        <row r="117">
          <cell r="I117" t="str">
            <v>LBN</v>
          </cell>
          <cell r="R117" t="str">
            <v>Urząd Skarbowy w Piotrkowie Trybunalskim</v>
          </cell>
          <cell r="AA117" t="str">
            <v>ZUS Inspektorat w Lubartowie</v>
          </cell>
        </row>
        <row r="118">
          <cell r="I118" t="str">
            <v>LBR</v>
          </cell>
          <cell r="R118" t="str">
            <v>Urząd Skarbowy w Poddębicach</v>
          </cell>
          <cell r="AA118" t="str">
            <v>ZUS Inspektorat w Łukowie</v>
          </cell>
        </row>
        <row r="119">
          <cell r="I119" t="str">
            <v>LBY</v>
          </cell>
          <cell r="R119" t="str">
            <v>Urząd Skarbowy w Radomsku</v>
          </cell>
          <cell r="AA119" t="str">
            <v>ZUS Inspektorat w Puławach</v>
          </cell>
        </row>
        <row r="120">
          <cell r="I120" t="str">
            <v>LIE</v>
          </cell>
          <cell r="R120" t="str">
            <v>Urząd Skarbowy w Rawie Mazowieckiej</v>
          </cell>
          <cell r="AA120" t="str">
            <v>ZUS Inspektorat w Radzyniu Podlaskim</v>
          </cell>
        </row>
        <row r="121">
          <cell r="I121" t="str">
            <v>LTU</v>
          </cell>
          <cell r="R121" t="str">
            <v>Urząd Skarbowy w Sieradzu</v>
          </cell>
          <cell r="AA121" t="str">
            <v>ZUS Biuro Terenowe w Łęcznej</v>
          </cell>
        </row>
        <row r="122">
          <cell r="I122" t="str">
            <v>LUX</v>
          </cell>
          <cell r="R122" t="str">
            <v>Urząd Skarbowy w Skierniewicach</v>
          </cell>
          <cell r="AA122" t="str">
            <v>ZUS Biuro Terenowe w Opolu Lubelskim</v>
          </cell>
        </row>
        <row r="123">
          <cell r="I123" t="str">
            <v>LVA</v>
          </cell>
          <cell r="R123" t="str">
            <v>Urząd Skarbowy w Tomaszowie Mazowieckim</v>
          </cell>
          <cell r="AA123" t="str">
            <v>ZUS Biuro Terenowe w Parczewie</v>
          </cell>
        </row>
        <row r="124">
          <cell r="I124" t="str">
            <v>MKD</v>
          </cell>
          <cell r="R124" t="str">
            <v>Urząd Skarbowy w Wieluniu</v>
          </cell>
          <cell r="AA124" t="str">
            <v>ZUS Biuro Terenowe w Rykach</v>
          </cell>
        </row>
        <row r="125">
          <cell r="I125" t="str">
            <v>MDG</v>
          </cell>
          <cell r="R125" t="str">
            <v>Urząd Skarbowy w Wieruszowie</v>
          </cell>
          <cell r="AA125" t="str">
            <v>ZUS I Oddział w Łodzi</v>
          </cell>
        </row>
        <row r="126">
          <cell r="I126" t="str">
            <v>MYT</v>
          </cell>
          <cell r="R126" t="str">
            <v>Urząd Skarbowy w Zduńskiej Woli</v>
          </cell>
          <cell r="AA126" t="str">
            <v>ZUS II Inspektorat w Łodzi</v>
          </cell>
        </row>
        <row r="127">
          <cell r="I127" t="str">
            <v>MAC</v>
          </cell>
          <cell r="R127" t="str">
            <v>Urząd Skarbowy w Zgierzu</v>
          </cell>
          <cell r="AA127" t="str">
            <v>ZUS Inspektorat w Kutnie</v>
          </cell>
        </row>
        <row r="128">
          <cell r="I128" t="str">
            <v>MWI</v>
          </cell>
          <cell r="R128" t="str">
            <v>Izba Skarbowa w Krakowie</v>
          </cell>
          <cell r="AA128" t="str">
            <v>ZUS Inspektorat w Łowiczu</v>
          </cell>
        </row>
        <row r="129">
          <cell r="I129" t="str">
            <v>MDV</v>
          </cell>
          <cell r="R129" t="str">
            <v>Małopolski Urząd Skarbowy</v>
          </cell>
          <cell r="AA129" t="str">
            <v>ZUS Inspektorat w Zgierzu</v>
          </cell>
        </row>
        <row r="130">
          <cell r="I130" t="str">
            <v>MYS</v>
          </cell>
          <cell r="R130" t="str">
            <v>Urząd Skarbowy w Bochni</v>
          </cell>
          <cell r="AA130" t="str">
            <v>ZUS Inspektorat w Zgierzu</v>
          </cell>
        </row>
        <row r="131">
          <cell r="I131" t="str">
            <v>MLI</v>
          </cell>
          <cell r="R131" t="str">
            <v>Urząd Skarbowy w Brzesku</v>
          </cell>
          <cell r="AA131" t="str">
            <v>ZUS Biuro Terenowe w Brzezinach</v>
          </cell>
        </row>
        <row r="132">
          <cell r="I132" t="str">
            <v>MLT</v>
          </cell>
          <cell r="R132" t="str">
            <v>Urząd Skarbowy w Chrzanowie</v>
          </cell>
          <cell r="AA132" t="str">
            <v>ZUS Biuro Terenowe w Łęczycy</v>
          </cell>
        </row>
        <row r="133">
          <cell r="I133" t="str">
            <v>MNP</v>
          </cell>
          <cell r="R133" t="str">
            <v>Urząd Skarbowy w Dąbrowie Tarnowskiej</v>
          </cell>
          <cell r="AA133" t="str">
            <v>ZUS II Oddział w Łodzi</v>
          </cell>
        </row>
        <row r="134">
          <cell r="I134" t="str">
            <v>MAR</v>
          </cell>
          <cell r="R134" t="str">
            <v>Urząd Skarbowy w Gorlicach</v>
          </cell>
          <cell r="AA134" t="str">
            <v>ZUS Inspektorat w Łodzi</v>
          </cell>
        </row>
        <row r="135">
          <cell r="I135" t="str">
            <v>MTQ</v>
          </cell>
          <cell r="R135" t="str">
            <v>Pierwszy Urząd Skarbowy Kraków</v>
          </cell>
          <cell r="AA135" t="str">
            <v>ZUS Inspektorat w Pabianicach</v>
          </cell>
        </row>
        <row r="136">
          <cell r="I136" t="str">
            <v>MRT</v>
          </cell>
          <cell r="R136" t="str">
            <v>Drugi Urząd Skarbowy Kraków</v>
          </cell>
          <cell r="AA136" t="str">
            <v>ZUS Inspektorat w Sieradzu</v>
          </cell>
        </row>
        <row r="137">
          <cell r="I137" t="str">
            <v>MUS</v>
          </cell>
          <cell r="R137" t="str">
            <v>Urząd Skarbowy Kraków-Krowodrza</v>
          </cell>
          <cell r="AA137" t="str">
            <v>ZUS Inspektorat w Wieluniu</v>
          </cell>
        </row>
        <row r="138">
          <cell r="I138" t="str">
            <v>MEX</v>
          </cell>
          <cell r="R138" t="str">
            <v>Urząd Skarbowy Kraków-Nowa Huta</v>
          </cell>
          <cell r="AA138" t="str">
            <v>ZUS Biuro Terenowe w Pajęcznie</v>
          </cell>
        </row>
        <row r="139">
          <cell r="I139" t="str">
            <v>FSM</v>
          </cell>
          <cell r="R139" t="str">
            <v>Urząd Skarbowy Kraków-Podgórze</v>
          </cell>
          <cell r="AA139" t="str">
            <v>ZUS Biuro Terenowe w Poddębicach</v>
          </cell>
        </row>
        <row r="140">
          <cell r="I140" t="str">
            <v>MMR</v>
          </cell>
          <cell r="R140" t="str">
            <v>Urząd Skarbowy Kraków-Prądnik</v>
          </cell>
          <cell r="AA140" t="str">
            <v>ZUS Biuro Terenowe w Wieruszowie</v>
          </cell>
        </row>
        <row r="141">
          <cell r="I141" t="str">
            <v>MDA</v>
          </cell>
          <cell r="R141" t="str">
            <v>Urząd Skarbowy Kraków-Stare Miasto</v>
          </cell>
          <cell r="AA141" t="str">
            <v>ZUS Oddział w Nowym Sączu</v>
          </cell>
        </row>
        <row r="142">
          <cell r="I142" t="str">
            <v>MCO</v>
          </cell>
          <cell r="R142" t="str">
            <v>Urząd Skarbowy Kraków-Śródmieście</v>
          </cell>
          <cell r="AA142" t="str">
            <v>ZUS Inspektorat w Gorlicach</v>
          </cell>
        </row>
        <row r="143">
          <cell r="I143" t="str">
            <v>MNG</v>
          </cell>
          <cell r="R143" t="str">
            <v>Urząd Skarbowy w Limanowej</v>
          </cell>
          <cell r="AA143" t="str">
            <v>ZUS Inspektorat w Limanowej</v>
          </cell>
        </row>
        <row r="144">
          <cell r="I144" t="str">
            <v>MSR</v>
          </cell>
          <cell r="R144" t="str">
            <v>Urząd Skarbowy w Miechowie</v>
          </cell>
          <cell r="AA144" t="str">
            <v>ZUS Inspektorat w Nowym Targu</v>
          </cell>
        </row>
        <row r="145">
          <cell r="I145" t="str">
            <v>MOZ</v>
          </cell>
          <cell r="R145" t="str">
            <v>Urząd Skarbowy w Myślenicach</v>
          </cell>
          <cell r="AA145" t="str">
            <v>ZUS Biuro Terenowe w Zakopanem</v>
          </cell>
        </row>
        <row r="146">
          <cell r="I146" t="str">
            <v>NAM</v>
          </cell>
          <cell r="R146" t="str">
            <v>Urząd Skarbowy w Nowym Sączu</v>
          </cell>
          <cell r="AA146" t="str">
            <v>ZUS Oddział w Olsztynie</v>
          </cell>
        </row>
        <row r="147">
          <cell r="I147" t="str">
            <v>NRU</v>
          </cell>
          <cell r="R147" t="str">
            <v>Urząd Skarbowy w Nowym Targu</v>
          </cell>
          <cell r="AA147" t="str">
            <v>ZUS Inspektorat w Bartoszycach</v>
          </cell>
        </row>
        <row r="148">
          <cell r="I148" t="str">
            <v>NPL</v>
          </cell>
          <cell r="R148" t="str">
            <v>Urząd Skarbowy w Olkuszu</v>
          </cell>
          <cell r="AA148" t="str">
            <v>ZUS Inspektorat w Działdowie</v>
          </cell>
        </row>
        <row r="149">
          <cell r="I149" t="str">
            <v>DEU</v>
          </cell>
          <cell r="R149" t="str">
            <v>Urząd Skarbowy w Oświęcimiu</v>
          </cell>
          <cell r="AA149" t="str">
            <v>ZUS Inspektorat w Ełku</v>
          </cell>
        </row>
        <row r="150">
          <cell r="I150" t="str">
            <v>NER</v>
          </cell>
          <cell r="R150" t="str">
            <v>Urząd Skarbowy w Proszowicach</v>
          </cell>
          <cell r="AA150" t="str">
            <v>ZUS Inspektorat w Giżycku</v>
          </cell>
        </row>
        <row r="151">
          <cell r="I151" t="str">
            <v>NGA</v>
          </cell>
          <cell r="R151" t="str">
            <v>Urząd Skarbowy w Suchej Beskidzkiej</v>
          </cell>
          <cell r="AA151" t="str">
            <v>ZUS Inspektorat w Kętrzynie</v>
          </cell>
        </row>
        <row r="152">
          <cell r="I152" t="str">
            <v>NIC</v>
          </cell>
          <cell r="R152" t="str">
            <v>Pierwszy Urząd Skarbowy w Tarnowie</v>
          </cell>
          <cell r="AA152" t="str">
            <v>ZUS Inspektorat w Lidzbarku Warmińskim</v>
          </cell>
        </row>
        <row r="153">
          <cell r="I153" t="str">
            <v>NIU</v>
          </cell>
          <cell r="R153" t="str">
            <v>Drugi Urząd Skarbowy w Tarnowie</v>
          </cell>
          <cell r="AA153" t="str">
            <v>ZUS Inspektorat w Szczytnie</v>
          </cell>
        </row>
        <row r="154">
          <cell r="I154" t="str">
            <v>NFK</v>
          </cell>
          <cell r="R154" t="str">
            <v>Urząd Skarbowy w Wadowicach</v>
          </cell>
          <cell r="AA154" t="str">
            <v>ZUS Biuro Terenowe w Gołdapi</v>
          </cell>
        </row>
        <row r="155">
          <cell r="I155" t="str">
            <v>NOR</v>
          </cell>
          <cell r="R155" t="str">
            <v>Urząd Skarbowy w Wieliczce</v>
          </cell>
          <cell r="AA155" t="str">
            <v>ZUS Biuro Terenowe w Mrągowie</v>
          </cell>
        </row>
        <row r="156">
          <cell r="I156" t="str">
            <v>NCL</v>
          </cell>
          <cell r="R156" t="str">
            <v>Urząd Skarbowy w Zakopanem</v>
          </cell>
          <cell r="AA156" t="str">
            <v>ZUS Biuro Terenowe w Nidzicy</v>
          </cell>
        </row>
        <row r="157">
          <cell r="I157" t="str">
            <v>NZL</v>
          </cell>
          <cell r="R157" t="str">
            <v>Izba Skarbowa w Warszawie</v>
          </cell>
          <cell r="AA157" t="str">
            <v>ZUS Biuro Terenowe w Piszu</v>
          </cell>
        </row>
        <row r="158">
          <cell r="I158" t="str">
            <v>OMN</v>
          </cell>
          <cell r="R158" t="str">
            <v>Pierwszy Mazowiecki Urząd Skarbowy</v>
          </cell>
          <cell r="AA158" t="str">
            <v>ZUS Biuro Terenowe w Węgorzewie</v>
          </cell>
        </row>
        <row r="159">
          <cell r="I159" t="str">
            <v>PAK</v>
          </cell>
          <cell r="R159" t="str">
            <v>Drugi Mazowiecki Urząd Skarbowy</v>
          </cell>
          <cell r="AA159" t="str">
            <v>ZUS Oddział w Opolu</v>
          </cell>
        </row>
        <row r="160">
          <cell r="I160" t="str">
            <v>PLW</v>
          </cell>
          <cell r="R160" t="str">
            <v>Trzeci Mazowiecki Urząd Skarbowy</v>
          </cell>
          <cell r="AA160" t="str">
            <v>ZUS Inspektorat w Brzegu</v>
          </cell>
        </row>
        <row r="161">
          <cell r="I161" t="str">
            <v>PSE</v>
          </cell>
          <cell r="R161" t="str">
            <v>Urząd Skarbowy w Białobrzegach</v>
          </cell>
          <cell r="AA161" t="str">
            <v>ZUS Inspektorat w Głubczycach</v>
          </cell>
        </row>
        <row r="162">
          <cell r="I162" t="str">
            <v>PAN</v>
          </cell>
          <cell r="R162" t="str">
            <v>Urząd Skarbowy w Ciechanowie</v>
          </cell>
          <cell r="AA162" t="str">
            <v>ZUS Inspektorat w Kędzierzynie-Koźlu</v>
          </cell>
        </row>
        <row r="163">
          <cell r="I163" t="str">
            <v>PNG</v>
          </cell>
          <cell r="R163" t="str">
            <v>Urząd Skarbowy w Garwolinie</v>
          </cell>
          <cell r="AA163" t="str">
            <v>ZUS Inspektorat w Kluczborku</v>
          </cell>
        </row>
        <row r="164">
          <cell r="I164" t="str">
            <v>PRY</v>
          </cell>
          <cell r="R164" t="str">
            <v>Urząd Skarbowy w Gostyninie</v>
          </cell>
          <cell r="AA164" t="str">
            <v>ZUS Inspektorat w Nysie</v>
          </cell>
        </row>
        <row r="165">
          <cell r="I165" t="str">
            <v>PER</v>
          </cell>
          <cell r="R165" t="str">
            <v>Urząd Skarbowy w Grodzisku Mazowieckim</v>
          </cell>
          <cell r="AA165" t="str">
            <v>ZUS Inspektorat w Oleśnie</v>
          </cell>
        </row>
        <row r="166">
          <cell r="I166" t="str">
            <v>PCN</v>
          </cell>
          <cell r="R166" t="str">
            <v>Urząd Skarbowy w Grójcu</v>
          </cell>
          <cell r="AA166" t="str">
            <v>ZUS Inspektorat w Prudniku</v>
          </cell>
        </row>
        <row r="167">
          <cell r="I167" t="str">
            <v>PYF</v>
          </cell>
          <cell r="R167" t="str">
            <v>Urząd Skarbowy w Kozienicach</v>
          </cell>
          <cell r="AA167" t="str">
            <v>ZUS Inspektorat w Strzelcach Opolskich</v>
          </cell>
        </row>
        <row r="168">
          <cell r="I168" t="str">
            <v>POL</v>
          </cell>
          <cell r="R168" t="str">
            <v>Urząd Skarbowy w Legionowie</v>
          </cell>
          <cell r="AA168" t="str">
            <v>ZUS Biuro Terenowe w Namysłowie</v>
          </cell>
        </row>
        <row r="169">
          <cell r="I169" t="str">
            <v>PRI</v>
          </cell>
          <cell r="R169" t="str">
            <v>Urząd Skarbowy w Lipsku</v>
          </cell>
          <cell r="AA169" t="str">
            <v>ZUS Oddział w Ostrowie Wielkopolskim</v>
          </cell>
        </row>
        <row r="170">
          <cell r="I170" t="str">
            <v>PRT</v>
          </cell>
          <cell r="R170" t="str">
            <v>Urząd Skarbowy w Łosicach</v>
          </cell>
          <cell r="AA170" t="str">
            <v>ZUS Inspektorat w Jarocinie</v>
          </cell>
        </row>
        <row r="171">
          <cell r="I171" t="str">
            <v>ZAF</v>
          </cell>
          <cell r="R171" t="str">
            <v>Urząd Skarbowy w Makowie Mazowieckim</v>
          </cell>
          <cell r="AA171" t="str">
            <v>ZUS Inspektorat w Kaliszu</v>
          </cell>
        </row>
        <row r="172">
          <cell r="I172" t="str">
            <v>CAF</v>
          </cell>
          <cell r="R172" t="str">
            <v>Urząd Skarbowy w Mińsku Mazowieckim</v>
          </cell>
          <cell r="AA172" t="str">
            <v>ZUS Inspektorat w Kępnie</v>
          </cell>
        </row>
        <row r="173">
          <cell r="I173" t="str">
            <v>CPV</v>
          </cell>
          <cell r="R173" t="str">
            <v>Urząd Skarbowy w Mławie</v>
          </cell>
          <cell r="AA173" t="str">
            <v>ZUS Inspektorat w Kościanie</v>
          </cell>
        </row>
        <row r="174">
          <cell r="I174" t="str">
            <v>REU</v>
          </cell>
          <cell r="R174" t="str">
            <v>Urząd Skarbowy w Nowym Dworze Mazowieckim</v>
          </cell>
          <cell r="AA174" t="str">
            <v>ZUS Inspektorat w Lesznie</v>
          </cell>
        </row>
        <row r="175">
          <cell r="I175" t="str">
            <v>RUS</v>
          </cell>
          <cell r="R175" t="str">
            <v>Urząd Skarbowy w Ostrołęce</v>
          </cell>
          <cell r="AA175" t="str">
            <v>ZUS Inspektorat w Rawiczu</v>
          </cell>
        </row>
        <row r="176">
          <cell r="I176" t="str">
            <v>ROU</v>
          </cell>
          <cell r="R176" t="str">
            <v>Urząd Skarbowy w Ostrowi Mazowieckiej</v>
          </cell>
          <cell r="AA176" t="str">
            <v>ZUS Inspektorat w Wolsztynie</v>
          </cell>
        </row>
        <row r="177">
          <cell r="I177" t="str">
            <v>RWA</v>
          </cell>
          <cell r="R177" t="str">
            <v>Urząd Skarbowy w Otwocku</v>
          </cell>
          <cell r="AA177" t="str">
            <v>ZUS Biuro Terenowe w Gostyniu</v>
          </cell>
        </row>
        <row r="178">
          <cell r="I178" t="str">
            <v>ESH</v>
          </cell>
          <cell r="R178" t="str">
            <v>Urząd Skarbowy w Piasecznie</v>
          </cell>
          <cell r="AA178" t="str">
            <v>ZUS Biuro Terenowe w Krotoszynie</v>
          </cell>
        </row>
        <row r="179">
          <cell r="I179" t="str">
            <v>KNA</v>
          </cell>
          <cell r="R179" t="str">
            <v>Urząd Skarbowy w Płocku</v>
          </cell>
          <cell r="AA179" t="str">
            <v>ZUS Biuro Terenowe w Ostrzeszowie</v>
          </cell>
        </row>
        <row r="180">
          <cell r="I180" t="str">
            <v>LCA</v>
          </cell>
          <cell r="R180" t="str">
            <v>Urząd Skarbowy w Płońsku</v>
          </cell>
          <cell r="AA180" t="str">
            <v>ZUS Biuro Terenowe w Pleszewie</v>
          </cell>
        </row>
        <row r="181">
          <cell r="I181" t="str">
            <v>VCT</v>
          </cell>
          <cell r="R181" t="str">
            <v>Urząd Skarbowy w Pruszkowie</v>
          </cell>
          <cell r="AA181" t="str">
            <v>ZUS Oddział w Pile</v>
          </cell>
        </row>
        <row r="182">
          <cell r="I182" t="str">
            <v>BLM</v>
          </cell>
          <cell r="R182" t="str">
            <v>Urząd Skarbowy w Przasnyszu</v>
          </cell>
          <cell r="AA182" t="str">
            <v>ZUS Inspektorat w Chodzieży</v>
          </cell>
        </row>
        <row r="183">
          <cell r="I183" t="str">
            <v>MAF</v>
          </cell>
          <cell r="R183" t="str">
            <v>Urząd Skarbowy w Przysusze</v>
          </cell>
          <cell r="AA183" t="str">
            <v>ZUS Inspektorat w Czarnkowie</v>
          </cell>
        </row>
        <row r="184">
          <cell r="I184" t="str">
            <v>SPM</v>
          </cell>
          <cell r="R184" t="str">
            <v>Urząd Skarbowy w Pułtusku</v>
          </cell>
          <cell r="AA184" t="str">
            <v>ZUS Inspektorat w Wągrowcu</v>
          </cell>
        </row>
        <row r="185">
          <cell r="I185" t="str">
            <v>SLV</v>
          </cell>
          <cell r="R185" t="str">
            <v>I Urząd Skarbowy w Radomiu</v>
          </cell>
          <cell r="AA185" t="str">
            <v>ZUS Inspektorat w Złotowie</v>
          </cell>
        </row>
        <row r="186">
          <cell r="I186" t="str">
            <v>ASM</v>
          </cell>
          <cell r="R186" t="str">
            <v>II Urząd Skarbowy w Radomiu</v>
          </cell>
          <cell r="AA186" t="str">
            <v>ZUS Oddział w Płocku</v>
          </cell>
        </row>
        <row r="187">
          <cell r="I187" t="str">
            <v>WSM</v>
          </cell>
          <cell r="R187" t="str">
            <v>Urząd Skarbowy w Siedlcach</v>
          </cell>
          <cell r="AA187" t="str">
            <v>ZUS Inspektorat w Ciechanowie</v>
          </cell>
        </row>
        <row r="188">
          <cell r="I188" t="str">
            <v>SMR</v>
          </cell>
          <cell r="R188" t="str">
            <v>Urząd Skarbowy w Sierpcu</v>
          </cell>
          <cell r="AA188" t="str">
            <v>ZUS Inspektorat w Gostyninie</v>
          </cell>
        </row>
        <row r="189">
          <cell r="I189" t="str">
            <v>SEN</v>
          </cell>
          <cell r="R189" t="str">
            <v>Urząd Skarbowy w Sochaczewie</v>
          </cell>
          <cell r="AA189" t="str">
            <v>ZUS Inspektorat w Makowie Mazowieckim</v>
          </cell>
        </row>
        <row r="190">
          <cell r="I190" t="str">
            <v>SRB</v>
          </cell>
          <cell r="R190" t="str">
            <v>Urząd Skarbowy w Sokołowie Podlaskim</v>
          </cell>
          <cell r="AA190" t="str">
            <v>ZUS Inspektorat w Mławie</v>
          </cell>
        </row>
        <row r="191">
          <cell r="I191" t="str">
            <v>SYC</v>
          </cell>
          <cell r="R191" t="str">
            <v>Urząd Skarbowy w Szydłowcu</v>
          </cell>
          <cell r="AA191" t="str">
            <v>ZUS Inspektorat w Ostrołęce</v>
          </cell>
        </row>
        <row r="192">
          <cell r="I192" t="str">
            <v>SLE</v>
          </cell>
          <cell r="R192" t="str">
            <v>Urząd Skarbowy Warszawa-Bemowo</v>
          </cell>
          <cell r="AA192" t="str">
            <v>ZUS Inspektorat w Ostrowi Mazowieckiej</v>
          </cell>
        </row>
        <row r="193">
          <cell r="I193" t="str">
            <v>SGP</v>
          </cell>
          <cell r="R193" t="str">
            <v>Urząd Skarbowy Warszawa-Bielany</v>
          </cell>
          <cell r="AA193" t="str">
            <v>ZUS Inspektorat w Płońsku</v>
          </cell>
        </row>
        <row r="194">
          <cell r="I194" t="str">
            <v>SXM</v>
          </cell>
          <cell r="R194" t="str">
            <v>Urząd Skarbowy Warszawa-Mokotów</v>
          </cell>
          <cell r="AA194" t="str">
            <v>ZUS Inspektorat w Przasnyszu</v>
          </cell>
        </row>
        <row r="195">
          <cell r="I195" t="str">
            <v>SVK</v>
          </cell>
          <cell r="R195" t="str">
            <v>Urząd Skarbowy Warszawa-Praga</v>
          </cell>
          <cell r="AA195" t="str">
            <v>ZUS Inspektorat w Pułtusku</v>
          </cell>
        </row>
        <row r="196">
          <cell r="I196" t="str">
            <v>SVN</v>
          </cell>
          <cell r="R196" t="str">
            <v>Pierwszy Urząd Skarbowy Warszawa-Śródmieście</v>
          </cell>
          <cell r="AA196" t="str">
            <v>ZUS Inspektorat w Sierpcu</v>
          </cell>
        </row>
        <row r="197">
          <cell r="I197" t="str">
            <v>SOM</v>
          </cell>
          <cell r="R197" t="str">
            <v>Drugi Urząd Skarbowy Warszawa-Śródmieście</v>
          </cell>
          <cell r="AA197" t="str">
            <v>ZUS Inspektorat w Wyszkowie</v>
          </cell>
        </row>
        <row r="198">
          <cell r="I198" t="str">
            <v>LKA</v>
          </cell>
          <cell r="R198" t="str">
            <v>Trzeci Urząd Skarbowy Warszawa-Śródmieście</v>
          </cell>
          <cell r="AA198" t="str">
            <v>ZUS Biuro Terenowe w Żurominie</v>
          </cell>
        </row>
        <row r="199">
          <cell r="I199" t="str">
            <v>USA</v>
          </cell>
          <cell r="R199" t="str">
            <v>Urząd Skarbowy Warszawa-Targówek</v>
          </cell>
          <cell r="AA199" t="str">
            <v>ZUS I Oddział w Poznaniu</v>
          </cell>
        </row>
        <row r="200">
          <cell r="I200" t="str">
            <v>SWZ</v>
          </cell>
          <cell r="R200" t="str">
            <v>Urząd Skarbowy Warszawa-Ursynów</v>
          </cell>
          <cell r="AA200" t="str">
            <v>ZUS Inspektorat w Grodzisku Wielkopolskim</v>
          </cell>
        </row>
        <row r="201">
          <cell r="I201" t="str">
            <v>SDN</v>
          </cell>
          <cell r="R201" t="str">
            <v>Urząd Skarbowy Warszawa-Wawer</v>
          </cell>
          <cell r="AA201" t="str">
            <v>ZUS Inspektorat w Międzychodzie</v>
          </cell>
        </row>
        <row r="202">
          <cell r="I202" t="str">
            <v>SSD</v>
          </cell>
          <cell r="R202" t="str">
            <v>Urząd Skarbowy Warszawa-Wola</v>
          </cell>
          <cell r="AA202" t="str">
            <v>ZUS Inspektorat w Nowym Tomyślu</v>
          </cell>
        </row>
        <row r="203">
          <cell r="I203" t="str">
            <v>SUR</v>
          </cell>
          <cell r="R203" t="str">
            <v>Urząd Skarbowy w Węgrowie</v>
          </cell>
          <cell r="AA203" t="str">
            <v>ZUS Inspektorat w Poznaniu</v>
          </cell>
        </row>
        <row r="204">
          <cell r="I204" t="str">
            <v>SJM</v>
          </cell>
          <cell r="R204" t="str">
            <v>Urząd Skarbowy w Wołominie</v>
          </cell>
          <cell r="AA204" t="str">
            <v>ZUS Inspektorat w Szamotułach</v>
          </cell>
        </row>
        <row r="205">
          <cell r="I205" t="str">
            <v>SYR</v>
          </cell>
          <cell r="R205" t="str">
            <v>Urząd Skarbowy w Wyszkowie</v>
          </cell>
          <cell r="AA205" t="str">
            <v>ZUS II Oddział w Poznaniu</v>
          </cell>
        </row>
        <row r="206">
          <cell r="I206" t="str">
            <v>CHE</v>
          </cell>
          <cell r="R206" t="str">
            <v>Urząd Skarbowy w Zwoleniu</v>
          </cell>
          <cell r="AA206" t="str">
            <v>ZUS Inspektorat w Gnieźnie</v>
          </cell>
        </row>
        <row r="207">
          <cell r="I207" t="str">
            <v>SWE</v>
          </cell>
          <cell r="R207" t="str">
            <v>Urząd Skarbowy w Żurominie</v>
          </cell>
          <cell r="AA207" t="str">
            <v>ZUS Inspektorat w Kole</v>
          </cell>
        </row>
        <row r="208">
          <cell r="I208" t="str">
            <v>TJK</v>
          </cell>
          <cell r="R208" t="str">
            <v>Urząd Skarbowy w Żyrardowie</v>
          </cell>
          <cell r="AA208" t="str">
            <v>ZUS Inspektorat w Koninie</v>
          </cell>
        </row>
        <row r="209">
          <cell r="I209" t="str">
            <v>THA</v>
          </cell>
          <cell r="R209" t="str">
            <v>Izba Skarbowa w Opolu</v>
          </cell>
          <cell r="AA209" t="str">
            <v>ZUS Inspektorat w Obornikach</v>
          </cell>
        </row>
        <row r="210">
          <cell r="I210" t="str">
            <v>TWN</v>
          </cell>
          <cell r="R210" t="str">
            <v>Opolski Urząd Skarbowy w Opolu</v>
          </cell>
          <cell r="AA210" t="str">
            <v>ZUS Inspektorat w Śremie</v>
          </cell>
        </row>
        <row r="211">
          <cell r="I211" t="str">
            <v>TZA</v>
          </cell>
          <cell r="R211" t="str">
            <v>Urząd Skarbowy w Brzegu</v>
          </cell>
          <cell r="AA211" t="str">
            <v>ZUS Inspektorat w Środzie Wielkopolskiej</v>
          </cell>
        </row>
        <row r="212">
          <cell r="I212" t="str">
            <v>TLS</v>
          </cell>
          <cell r="R212" t="str">
            <v>Urząd Skarbowy w Głubczycach</v>
          </cell>
          <cell r="AA212" t="str">
            <v>ZUS Inspektorat w Turku</v>
          </cell>
        </row>
        <row r="213">
          <cell r="I213" t="str">
            <v>TGO</v>
          </cell>
          <cell r="R213" t="str">
            <v>Urząd Skarbowy w Kędzierzynie-Koźlu</v>
          </cell>
          <cell r="AA213" t="str">
            <v>ZUS Inspektorat we Wrześni</v>
          </cell>
        </row>
        <row r="214">
          <cell r="I214" t="str">
            <v>TKL</v>
          </cell>
          <cell r="R214" t="str">
            <v>Urząd Skarbowy w Kluczborku</v>
          </cell>
          <cell r="AA214" t="str">
            <v>ZUS Biuro Terenowe w Słupcy</v>
          </cell>
        </row>
        <row r="215">
          <cell r="I215" t="str">
            <v>TON</v>
          </cell>
          <cell r="R215" t="str">
            <v>Urząd Skarbowy w Krapkowicach</v>
          </cell>
          <cell r="AA215" t="str">
            <v>ZUS Oddział w Radomiu</v>
          </cell>
        </row>
        <row r="216">
          <cell r="I216" t="str">
            <v>TTO</v>
          </cell>
          <cell r="R216" t="str">
            <v>Urząd Skarbowy w Namysłowie</v>
          </cell>
          <cell r="AA216" t="str">
            <v>ZUS Inspektorat w Grójcu</v>
          </cell>
        </row>
        <row r="217">
          <cell r="I217" t="str">
            <v>TUN</v>
          </cell>
          <cell r="R217" t="str">
            <v>Urząd Skarbowy w Nysie</v>
          </cell>
          <cell r="AA217" t="str">
            <v>ZUS Inspektorat w Kozienicach</v>
          </cell>
        </row>
        <row r="218">
          <cell r="I218" t="str">
            <v>TUR</v>
          </cell>
          <cell r="R218" t="str">
            <v>Urząd Skarbowy w Oleśnie</v>
          </cell>
          <cell r="AA218" t="str">
            <v>ZUS Inspektorat w Przysusze</v>
          </cell>
        </row>
        <row r="219">
          <cell r="I219" t="str">
            <v>TKM</v>
          </cell>
          <cell r="R219" t="str">
            <v>Pierwszy Urząd Skarbowy w Opolu</v>
          </cell>
          <cell r="AA219" t="str">
            <v>ZUS Inspektorat w Szydłowcu</v>
          </cell>
        </row>
        <row r="220">
          <cell r="I220" t="str">
            <v>TCA</v>
          </cell>
          <cell r="R220" t="str">
            <v>Drugi Urząd Skarbowy w Opolu</v>
          </cell>
          <cell r="AA220" t="str">
            <v>ZUS Inspektorat w Zwoleniu</v>
          </cell>
        </row>
        <row r="221">
          <cell r="I221" t="str">
            <v>TUV</v>
          </cell>
          <cell r="R221" t="str">
            <v>Urząd Skarbowy w Prudniku</v>
          </cell>
          <cell r="AA221" t="str">
            <v>ZUS Biuro Terenowe w Lipsku</v>
          </cell>
        </row>
        <row r="222">
          <cell r="I222" t="str">
            <v>UGA</v>
          </cell>
          <cell r="R222" t="str">
            <v>Urząd Skarbowy w Strzelcach Opolskich</v>
          </cell>
          <cell r="AA222" t="str">
            <v>ZUS Biuro Terenowe w Pionkach</v>
          </cell>
        </row>
        <row r="223">
          <cell r="I223" t="str">
            <v>UKR</v>
          </cell>
          <cell r="R223" t="str">
            <v>Izba Skarbowa w Rzeszowie</v>
          </cell>
          <cell r="AA223" t="str">
            <v>ZUS Oddział w Rybniku</v>
          </cell>
        </row>
        <row r="224">
          <cell r="I224" t="str">
            <v>URY</v>
          </cell>
          <cell r="R224" t="str">
            <v>Podkarpacki Urząd Skarbowy w Rzeszowie</v>
          </cell>
          <cell r="AA224" t="str">
            <v>ZUS Inspektorat w Pszczynie</v>
          </cell>
        </row>
        <row r="225">
          <cell r="I225" t="str">
            <v>UZB</v>
          </cell>
          <cell r="R225" t="str">
            <v>Urząd Skarbowy w Brzozowie</v>
          </cell>
          <cell r="AA225" t="str">
            <v>ZUS Inspektorat w Raciborzu</v>
          </cell>
        </row>
        <row r="226">
          <cell r="I226" t="str">
            <v>VUT</v>
          </cell>
          <cell r="R226" t="str">
            <v>Urząd Skarbowy w Dębicy</v>
          </cell>
          <cell r="AA226" t="str">
            <v>ZUS Inspektorat w Tychach</v>
          </cell>
        </row>
        <row r="227">
          <cell r="I227" t="str">
            <v>WLF</v>
          </cell>
          <cell r="R227" t="str">
            <v>Urząd Skarbowy w Jarosławiu</v>
          </cell>
          <cell r="AA227" t="str">
            <v>ZUS Inspektorat w Wodzisławiu Śląskim</v>
          </cell>
        </row>
        <row r="228">
          <cell r="I228" t="str">
            <v>VAT</v>
          </cell>
          <cell r="R228" t="str">
            <v>Urząd Skarbowy w Jaśle</v>
          </cell>
          <cell r="AA228" t="str">
            <v>ZUS Oddział w Rzeszowie</v>
          </cell>
        </row>
        <row r="229">
          <cell r="I229" t="str">
            <v>VEN</v>
          </cell>
          <cell r="R229" t="str">
            <v>Urząd Skarbowy w Kolbuszowej</v>
          </cell>
          <cell r="AA229" t="str">
            <v>ZUS Inspektorat w Jarosławiu</v>
          </cell>
        </row>
        <row r="230">
          <cell r="I230" t="str">
            <v>HUN</v>
          </cell>
          <cell r="R230" t="str">
            <v>Urząd Skarbowy w Krośnie</v>
          </cell>
          <cell r="AA230" t="str">
            <v>ZUS Inspektorat w Leżajsku</v>
          </cell>
        </row>
        <row r="231">
          <cell r="I231" t="str">
            <v>GBR</v>
          </cell>
          <cell r="R231" t="str">
            <v>Urząd Skarbowy w Lesku</v>
          </cell>
          <cell r="AA231" t="str">
            <v>ZUS Inspektorat w Mielcu</v>
          </cell>
        </row>
        <row r="232">
          <cell r="I232" t="str">
            <v>VNM</v>
          </cell>
          <cell r="R232" t="str">
            <v>Urząd Skarbowy w Leżajsku</v>
          </cell>
          <cell r="AA232" t="str">
            <v>ZUS Inspektorat w Przemyślu</v>
          </cell>
        </row>
        <row r="233">
          <cell r="I233" t="str">
            <v>ITA</v>
          </cell>
          <cell r="R233" t="str">
            <v>Urząd Skarbowy w Lubaczowie</v>
          </cell>
          <cell r="AA233" t="str">
            <v>ZUS Inspektorat w Przeworsku</v>
          </cell>
        </row>
        <row r="234">
          <cell r="I234" t="str">
            <v>CIV</v>
          </cell>
          <cell r="R234" t="str">
            <v>Urząd Skarbowy w Łańcucie</v>
          </cell>
          <cell r="AA234" t="str">
            <v>ZUS Inspektorat w Stalowej Woli</v>
          </cell>
        </row>
        <row r="235">
          <cell r="I235" t="str">
            <v>BVT</v>
          </cell>
          <cell r="R235" t="str">
            <v>Urząd Skarbowy w Mielcu</v>
          </cell>
          <cell r="AA235" t="str">
            <v>ZUS Inspektorat w Tarnobrzegu</v>
          </cell>
        </row>
        <row r="236">
          <cell r="I236" t="str">
            <v>CXR</v>
          </cell>
          <cell r="R236" t="str">
            <v>Urząd Skarbowy w Nisku</v>
          </cell>
          <cell r="AA236" t="str">
            <v>ZUS Biuro Terenowe w Lubaczowie</v>
          </cell>
        </row>
        <row r="237">
          <cell r="I237" t="str">
            <v>IMN</v>
          </cell>
          <cell r="R237" t="str">
            <v>Urząd Skarbowy w Przemyślu</v>
          </cell>
          <cell r="AA237" t="str">
            <v>ZUS Oddział w Siedlcach</v>
          </cell>
        </row>
        <row r="238">
          <cell r="I238" t="str">
            <v>SHN</v>
          </cell>
          <cell r="R238" t="str">
            <v>Urząd Skarbowy w Przeworsku</v>
          </cell>
          <cell r="AA238" t="str">
            <v>ZUS Inspektorat w Garwolinie</v>
          </cell>
        </row>
        <row r="239">
          <cell r="I239" t="str">
            <v>ALA</v>
          </cell>
          <cell r="R239" t="str">
            <v>Urząd Skarbowy w Ropczycach</v>
          </cell>
          <cell r="AA239" t="str">
            <v>ZUS Inspektorat w Mińsku Mazowieckim</v>
          </cell>
        </row>
        <row r="240">
          <cell r="I240" t="str">
            <v>COK</v>
          </cell>
          <cell r="R240" t="str">
            <v>Pierwszy Urząd Skarbowy w Rzeszowie</v>
          </cell>
          <cell r="AA240" t="str">
            <v>ZUS Inspektorat w Sokołowie Podlaskim</v>
          </cell>
        </row>
        <row r="241">
          <cell r="I241" t="str">
            <v>VIR</v>
          </cell>
          <cell r="R241" t="str">
            <v>Drugi Urząd Skarbowy w Rzeszowie</v>
          </cell>
          <cell r="AA241" t="str">
            <v>ZUS Biuro Terenowe w Łosicach</v>
          </cell>
        </row>
        <row r="242">
          <cell r="I242" t="str">
            <v>HMD</v>
          </cell>
          <cell r="R242" t="str">
            <v>Urząd Skarbowy w Sanoku</v>
          </cell>
          <cell r="AA242" t="str">
            <v>ZUS Biuro Terenowe w Węgrowie</v>
          </cell>
        </row>
        <row r="243">
          <cell r="I243" t="str">
            <v>CCK</v>
          </cell>
          <cell r="R243" t="str">
            <v>Urząd Skarbowy w Stalowej Woli</v>
          </cell>
          <cell r="AA243" t="str">
            <v>ZUS Oddział w Słupsku</v>
          </cell>
        </row>
        <row r="244">
          <cell r="I244" t="str">
            <v>MHL</v>
          </cell>
          <cell r="R244" t="str">
            <v>Urząd Skarbowy w Strzyżowie</v>
          </cell>
          <cell r="AA244" t="str">
            <v>ZUS Inspektorat w Bytowie</v>
          </cell>
        </row>
        <row r="245">
          <cell r="I245" t="str">
            <v>FRO</v>
          </cell>
          <cell r="R245" t="str">
            <v>Urząd Skarbowy w Tarnobrzegu</v>
          </cell>
          <cell r="AA245" t="str">
            <v>ZUS Inspektorat w Chojnicach</v>
          </cell>
        </row>
        <row r="246">
          <cell r="I246" t="str">
            <v>SLB</v>
          </cell>
          <cell r="R246" t="str">
            <v>Urząd Skarbowy w Ustrzykach Dolnych</v>
          </cell>
          <cell r="AA246" t="str">
            <v>ZUS Inspektorat w Człuchowie</v>
          </cell>
        </row>
        <row r="247">
          <cell r="I247" t="str">
            <v>STP</v>
          </cell>
          <cell r="R247" t="str">
            <v>Izba Skarbowa w Białymstoku</v>
          </cell>
          <cell r="AA247" t="str">
            <v>ZUS Inspektorat w Lęborku</v>
          </cell>
        </row>
        <row r="248">
          <cell r="I248" t="str">
            <v>ZMB</v>
          </cell>
          <cell r="R248" t="str">
            <v>Podlaski Urząd Skarbowy</v>
          </cell>
          <cell r="AA248" t="str">
            <v>ZUS Inspektorat w Miastku</v>
          </cell>
        </row>
        <row r="249">
          <cell r="I249" t="str">
            <v>ZWE</v>
          </cell>
          <cell r="R249" t="str">
            <v>Urząd Skarbowy w Augustowie</v>
          </cell>
          <cell r="AA249" t="str">
            <v>ZUS Oddział w Sosnowcu</v>
          </cell>
        </row>
        <row r="250">
          <cell r="I250" t="str">
            <v>ARE</v>
          </cell>
          <cell r="R250" t="str">
            <v>Pierwszy Urząd Skarbowy w Białymstoku</v>
          </cell>
          <cell r="AA250" t="str">
            <v>ZUS Inspektorat w Dąbrowie Górniczej</v>
          </cell>
        </row>
        <row r="251">
          <cell r="R251" t="str">
            <v>Drugi Urząd Skarbowy w Białymstoku</v>
          </cell>
          <cell r="AA251" t="str">
            <v>ZUS Inspektorat w Jaworznie</v>
          </cell>
        </row>
        <row r="252">
          <cell r="R252" t="str">
            <v>Urząd Skarbowy w Bielsku Podlaskim</v>
          </cell>
          <cell r="AA252" t="str">
            <v>ZUS Inspektorat w Zawierciu</v>
          </cell>
        </row>
        <row r="253">
          <cell r="R253" t="str">
            <v>Urząd Skarbowy w Grajewie</v>
          </cell>
          <cell r="AA253" t="str">
            <v>ZUS Oddział w Szczecinie</v>
          </cell>
        </row>
        <row r="254">
          <cell r="R254" t="str">
            <v>Urząd Skarbowy w Hajnówce</v>
          </cell>
          <cell r="AA254" t="str">
            <v>ZUS Oddział w Szczecinie</v>
          </cell>
        </row>
        <row r="255">
          <cell r="R255" t="str">
            <v>Urząd Skarbowy w Kolnie</v>
          </cell>
          <cell r="AA255" t="str">
            <v>ZUS Inspektorat w Choszcznie</v>
          </cell>
        </row>
        <row r="256">
          <cell r="R256" t="str">
            <v>Urząd Skarbowy w Łomży</v>
          </cell>
          <cell r="AA256" t="str">
            <v>ZUS Inspektorat w Gryficach</v>
          </cell>
        </row>
        <row r="257">
          <cell r="R257" t="str">
            <v>Urząd Skarbowy w Mońkach</v>
          </cell>
          <cell r="AA257" t="str">
            <v>ZUS Inspektorat w Gryfinie</v>
          </cell>
        </row>
        <row r="258">
          <cell r="R258" t="str">
            <v>Urząd Skarbowy w Siemiatyczach</v>
          </cell>
          <cell r="AA258" t="str">
            <v>ZUS Inspektorat w Łobzie</v>
          </cell>
        </row>
        <row r="259">
          <cell r="R259" t="str">
            <v>Urząd Skarbowy w Sokółce</v>
          </cell>
          <cell r="AA259" t="str">
            <v>ZUS Inspektorat w Myśliborzu</v>
          </cell>
        </row>
        <row r="260">
          <cell r="R260" t="str">
            <v>Urząd Skarbowy w Suwałkach</v>
          </cell>
          <cell r="AA260" t="str">
            <v>ZUS Inspektorat w Pyrzycach</v>
          </cell>
        </row>
        <row r="261">
          <cell r="R261" t="str">
            <v>Urząd Skarbowy w Wysokiem Mazowieckiem</v>
          </cell>
          <cell r="AA261" t="str">
            <v>ZUS Inspektorat w Stargardzie Szczecińskim</v>
          </cell>
        </row>
        <row r="262">
          <cell r="R262" t="str">
            <v>Urząd Skarbowy w Zambrowie</v>
          </cell>
          <cell r="AA262" t="str">
            <v>ZUS Inspektorat w Świnoujściu</v>
          </cell>
        </row>
        <row r="263">
          <cell r="R263" t="str">
            <v>Izba Skarbowa w Gdańsku</v>
          </cell>
          <cell r="AA263" t="str">
            <v>ZUS Biuro Terenowe w Międzyzdrojach</v>
          </cell>
        </row>
        <row r="264">
          <cell r="R264" t="str">
            <v>Pomorski Urząd Skarbowy w Gdańsku</v>
          </cell>
          <cell r="AA264" t="str">
            <v>ZUS Oddział w Tarnowie</v>
          </cell>
        </row>
        <row r="265">
          <cell r="R265" t="str">
            <v>Urząd Skarbowy w Bytowie</v>
          </cell>
          <cell r="AA265" t="str">
            <v>ZUS Inspektorat w Bochni</v>
          </cell>
        </row>
        <row r="266">
          <cell r="R266" t="str">
            <v>Urząd Skarbowy w Chojnicach</v>
          </cell>
          <cell r="AA266" t="str">
            <v>ZUS Oddział w Tomaszowie Mazowieckim</v>
          </cell>
        </row>
        <row r="267">
          <cell r="R267" t="str">
            <v>Urząd Skarbowy w Człuchowie</v>
          </cell>
          <cell r="AA267" t="str">
            <v>ZUS Inspektorat w Bełchatowie</v>
          </cell>
        </row>
        <row r="268">
          <cell r="R268" t="str">
            <v>Pierwszy Urząd Skarbowy w Gdańsku</v>
          </cell>
          <cell r="AA268" t="str">
            <v>ZUS Inspektorat w Opocznie</v>
          </cell>
        </row>
        <row r="269">
          <cell r="R269" t="str">
            <v>Drugi Urząd Skarbowy w Gdańsku</v>
          </cell>
          <cell r="AA269" t="str">
            <v>ZUS Inspektorat w Piotrkowie Trybunalskim</v>
          </cell>
        </row>
        <row r="270">
          <cell r="R270" t="str">
            <v>Trzeci Urząd Skarbowy w Gdańsku</v>
          </cell>
          <cell r="AA270" t="str">
            <v>ZUS Inspektorat w Radomsku</v>
          </cell>
        </row>
        <row r="271">
          <cell r="R271" t="str">
            <v>Pierwszy Urząd Skarbowy w Gdyni</v>
          </cell>
          <cell r="AA271" t="str">
            <v>ZUS Inspektorat w Skierniewicach</v>
          </cell>
        </row>
        <row r="272">
          <cell r="R272" t="str">
            <v>Drugi Urząd Skarbowy w Gdyni</v>
          </cell>
          <cell r="AA272" t="str">
            <v>ZUS Biuro Terenowe w Rawie Mazowieckiej</v>
          </cell>
        </row>
        <row r="273">
          <cell r="R273" t="str">
            <v>Urząd Skarbowy w Kartuzach</v>
          </cell>
          <cell r="AA273" t="str">
            <v>ZUS Oddział w Toruniu</v>
          </cell>
        </row>
        <row r="274">
          <cell r="R274" t="str">
            <v>Urząd Skarbowy w Kościerzynie</v>
          </cell>
          <cell r="AA274" t="str">
            <v>ZUS Oddział w Toruniu</v>
          </cell>
        </row>
        <row r="275">
          <cell r="R275" t="str">
            <v>Urząd Skarbowy w Kwidzynie</v>
          </cell>
          <cell r="AA275" t="str">
            <v>ZUS Inspektorat w Aleksandrowie Kujawskim</v>
          </cell>
        </row>
        <row r="276">
          <cell r="R276" t="str">
            <v>Urząd Skarbowy w Lęborku</v>
          </cell>
          <cell r="AA276" t="str">
            <v>ZUS Inspektorat w Brodnicy</v>
          </cell>
        </row>
        <row r="277">
          <cell r="R277" t="str">
            <v>Urząd Skarbowy w Malborku</v>
          </cell>
          <cell r="AA277" t="str">
            <v>ZUS Inspektorat w Grudziądzu</v>
          </cell>
        </row>
        <row r="278">
          <cell r="R278" t="str">
            <v>Urząd Skarbowy w Pruszczu Gdańskim</v>
          </cell>
          <cell r="AA278" t="str">
            <v>ZUS Inspektorat w Lipnie</v>
          </cell>
        </row>
        <row r="279">
          <cell r="R279" t="str">
            <v>Urząd Skarbowy w Pucku</v>
          </cell>
          <cell r="AA279" t="str">
            <v>ZUS Inspektorat we Włocławku</v>
          </cell>
        </row>
        <row r="280">
          <cell r="R280" t="str">
            <v>Urząd Skarbowy w Słupsku</v>
          </cell>
          <cell r="AA280" t="str">
            <v>ZUS Biuro Terenowe w Golubiu-Dobrzyniu</v>
          </cell>
        </row>
        <row r="281">
          <cell r="R281" t="str">
            <v>Urząd Skarbowy w Sopocie</v>
          </cell>
          <cell r="AA281" t="str">
            <v>ZUS Biuro Terenowe w Rypinie</v>
          </cell>
        </row>
        <row r="282">
          <cell r="R282" t="str">
            <v>Urząd Skarbowy w Starogardzie Gdańskim</v>
          </cell>
          <cell r="AA282" t="str">
            <v>ZUS Oddział w Wałbrzychu</v>
          </cell>
        </row>
        <row r="283">
          <cell r="R283" t="str">
            <v>Urząd Skarbowy w Tczewie</v>
          </cell>
          <cell r="AA283" t="str">
            <v>ZUS Inspektorat w Dzierżoniowie</v>
          </cell>
        </row>
        <row r="284">
          <cell r="R284" t="str">
            <v>Urząd Skarbowy w Wejherowie</v>
          </cell>
          <cell r="AA284" t="str">
            <v>ZUS Inspektorat w Jeleniej Górze</v>
          </cell>
        </row>
        <row r="285">
          <cell r="R285" t="str">
            <v>Izba Skarbowa w Katowicach</v>
          </cell>
          <cell r="AA285" t="str">
            <v>ZUS Inspektorat w Kamiennej Górze</v>
          </cell>
        </row>
        <row r="286">
          <cell r="R286" t="str">
            <v>Pierwszy Śląski Urząd Skarbowy w Sosnowcu</v>
          </cell>
          <cell r="AA286" t="str">
            <v>ZUS Inspektorat w Kłodzku</v>
          </cell>
        </row>
        <row r="287">
          <cell r="R287" t="str">
            <v>Drugi Śląski Urząd Skarbowy w Bielsku- Białej</v>
          </cell>
          <cell r="AA287" t="str">
            <v>ZUS Inspektorat w Lubaniu</v>
          </cell>
        </row>
        <row r="288">
          <cell r="R288" t="str">
            <v>Urząd Skarbowy w Będzinie</v>
          </cell>
          <cell r="AA288" t="str">
            <v>ZUS Inspektorat w Świdnicy</v>
          </cell>
        </row>
        <row r="289">
          <cell r="R289" t="str">
            <v>Pierwszy Urząd Skarbowy w Bielsku- Białej</v>
          </cell>
          <cell r="AA289" t="str">
            <v>ZUS Biuro Terenowe w Bystrzycy Kłodzkiej</v>
          </cell>
        </row>
        <row r="290">
          <cell r="R290" t="str">
            <v>Drugi Urząd Skarbowy w Bielsku -Białej</v>
          </cell>
          <cell r="AA290" t="str">
            <v>ZUS Biuro Terenowe w Nowej Rudzie</v>
          </cell>
        </row>
        <row r="291">
          <cell r="R291" t="str">
            <v>Urząd Skarbowy w Bytomiu</v>
          </cell>
          <cell r="AA291" t="str">
            <v>ZUS Biuro Terenowe w Ząbkowicach Śląskich</v>
          </cell>
        </row>
        <row r="292">
          <cell r="R292" t="str">
            <v>Urząd Skarbowy w Chorzowie</v>
          </cell>
          <cell r="AA292" t="str">
            <v>ZUS Biuro Terenowe w Zgorzelcu</v>
          </cell>
        </row>
        <row r="293">
          <cell r="R293" t="str">
            <v>Urząd Skarbowy w Cieszynie</v>
          </cell>
          <cell r="AA293" t="str">
            <v>ZUS I Oddział w Warszawie</v>
          </cell>
        </row>
        <row r="294">
          <cell r="R294" t="str">
            <v>Urząd Skarbowy w Czechowicach- Dziedzicach</v>
          </cell>
          <cell r="AA294" t="str">
            <v>ZUS Inspektorat Warszawa-Ochota</v>
          </cell>
        </row>
        <row r="295">
          <cell r="R295" t="str">
            <v>Pierwszy Urząd Skarbowy w Częstochowie</v>
          </cell>
          <cell r="AA295" t="str">
            <v>ZUS Inspektorat Warszawa-Wola</v>
          </cell>
        </row>
        <row r="296">
          <cell r="R296" t="str">
            <v>Drugi Urząd Skarbowy w Częstochowie</v>
          </cell>
          <cell r="AA296" t="str">
            <v>ZUS Inspektorat Warszawa-Żoliborz</v>
          </cell>
        </row>
        <row r="297">
          <cell r="R297" t="str">
            <v>Urząd Skarbowy w Dąbrowie Górniczej</v>
          </cell>
          <cell r="AA297" t="str">
            <v>ZUS II Oddział w Warszawie</v>
          </cell>
        </row>
        <row r="298">
          <cell r="R298" t="str">
            <v>Pierwszy Urząd Skarbowy w Gliwicach</v>
          </cell>
          <cell r="AA298" t="str">
            <v>ZUS Inspektorat w Legionowie</v>
          </cell>
        </row>
        <row r="299">
          <cell r="R299" t="str">
            <v>Drugi Urząd Skarbowy w Gliwicach</v>
          </cell>
          <cell r="AA299" t="str">
            <v>ZUS Inspektorat w Nowym Dworze Mazowieckim</v>
          </cell>
        </row>
        <row r="300">
          <cell r="R300" t="str">
            <v>Urząd Skarbowy w Jastrzębiu- Zdrój</v>
          </cell>
          <cell r="AA300" t="str">
            <v>ZUS Inspektorat w Otwocku</v>
          </cell>
        </row>
        <row r="301">
          <cell r="R301" t="str">
            <v>Urząd Skarbowy w Jaworznie</v>
          </cell>
          <cell r="AA301" t="str">
            <v>ZUS Inspektorat w Wołominie</v>
          </cell>
        </row>
        <row r="302">
          <cell r="R302" t="str">
            <v>Pierwszy Urząd Skarbowy w Katowicach</v>
          </cell>
          <cell r="AA302" t="str">
            <v>ZUS Inspektorat Warszawa-Praga Północ</v>
          </cell>
        </row>
        <row r="303">
          <cell r="R303" t="str">
            <v>Drugi Urząd Skarbowy w Katowicach</v>
          </cell>
          <cell r="AA303" t="str">
            <v>ZUS III Oddział w Warszawie</v>
          </cell>
        </row>
        <row r="304">
          <cell r="R304" t="str">
            <v>Urząd Skarbowy w Kłobucku</v>
          </cell>
          <cell r="AA304" t="str">
            <v>ZUS Inspektorat w Piasecznie</v>
          </cell>
        </row>
        <row r="305">
          <cell r="R305" t="str">
            <v>Urząd Skarbowy w Lublińcu</v>
          </cell>
          <cell r="AA305" t="str">
            <v>ZUS Inspektorat w Pruszkowie</v>
          </cell>
        </row>
        <row r="306">
          <cell r="R306" t="str">
            <v>Urząd Skarbowy w Mikołowie</v>
          </cell>
          <cell r="AA306" t="str">
            <v>ZUS Inspektorat w Sochaczewie</v>
          </cell>
        </row>
        <row r="307">
          <cell r="R307" t="str">
            <v>Urząd Skarbowy w Mysłowicach</v>
          </cell>
          <cell r="AA307" t="str">
            <v>ZUS Inspektorat w Żyrardowie</v>
          </cell>
        </row>
        <row r="308">
          <cell r="R308" t="str">
            <v>Urząd Skarbowy w Myszkowie</v>
          </cell>
          <cell r="AA308" t="str">
            <v>ZUS Biuro Terenowe w Grodzisku Mazowieckim</v>
          </cell>
        </row>
        <row r="309">
          <cell r="R309" t="str">
            <v>Urząd Skarbowy w Piekarach Śląskich</v>
          </cell>
          <cell r="AA309" t="str">
            <v>ZUS Biuro Terenowe Warszawa-Ursynów</v>
          </cell>
        </row>
        <row r="310">
          <cell r="R310" t="str">
            <v>Urząd Skarbowy w Pszczynie</v>
          </cell>
          <cell r="AA310" t="str">
            <v>ZUS Oddział we Wrocławiu</v>
          </cell>
        </row>
        <row r="311">
          <cell r="R311" t="str">
            <v>Urząd Skarbowy w Raciborzu</v>
          </cell>
          <cell r="AA311" t="str">
            <v>ZUS I Inspektorat we Wrocławiu</v>
          </cell>
        </row>
        <row r="312">
          <cell r="R312" t="str">
            <v>Urząd Skarbowy w Rudzie Śląskiej</v>
          </cell>
          <cell r="AA312" t="str">
            <v>ZUS II Inspektorat we Wrocławiu</v>
          </cell>
        </row>
        <row r="313">
          <cell r="R313" t="str">
            <v>Urząd Skarbowy w Rybniku</v>
          </cell>
          <cell r="AA313" t="str">
            <v>ZUS Inspektorat w Oleśnicy</v>
          </cell>
        </row>
        <row r="314">
          <cell r="R314" t="str">
            <v>Urząd Skarbowy w Siemianowicach Śląskich</v>
          </cell>
          <cell r="AA314" t="str">
            <v>ZUS Inspektorat w Oławie</v>
          </cell>
        </row>
        <row r="315">
          <cell r="R315" t="str">
            <v>Urząd Skarbowy w Sosnowcu</v>
          </cell>
          <cell r="AA315" t="str">
            <v>ZUS Inspektorat w Trzebnicy</v>
          </cell>
        </row>
        <row r="316">
          <cell r="R316" t="str">
            <v>Urząd Skarbowy w Tarnowskich Górach</v>
          </cell>
          <cell r="AA316" t="str">
            <v>ZUS Biuro Terenowe w Miliczu</v>
          </cell>
        </row>
        <row r="317">
          <cell r="R317" t="str">
            <v>Urząd Skarbowy w Tychach</v>
          </cell>
          <cell r="AA317" t="str">
            <v>ZUS Biuro Terenowe w Strzelinie</v>
          </cell>
        </row>
        <row r="318">
          <cell r="R318" t="str">
            <v>Urząd Skarbowy w Wodzisławiu Śląskim</v>
          </cell>
          <cell r="AA318" t="str">
            <v>ZUS Biuro Terenowe w Sycowie</v>
          </cell>
        </row>
        <row r="319">
          <cell r="R319" t="str">
            <v>Urząd Skarbowy w Zabrzu</v>
          </cell>
          <cell r="AA319" t="str">
            <v>ZUS Biuro Terenowe W Środzie Śląskiej</v>
          </cell>
        </row>
        <row r="320">
          <cell r="R320" t="str">
            <v>Urząd Skarbowy w Zawierciu</v>
          </cell>
          <cell r="AA320" t="str">
            <v>ZUS Biuro Terenowe w Wołowie</v>
          </cell>
        </row>
        <row r="321">
          <cell r="R321" t="str">
            <v>Urząd Skarbowy w Żorach</v>
          </cell>
          <cell r="AA321" t="str">
            <v>ZUS Oddział w Zabrzu</v>
          </cell>
        </row>
        <row r="322">
          <cell r="R322" t="str">
            <v>Urząd Skarbowy w Żywcu</v>
          </cell>
          <cell r="AA322" t="str">
            <v>ZUS Inspektorat w Tarnowskich Górach</v>
          </cell>
        </row>
        <row r="323">
          <cell r="R323" t="str">
            <v>Izba Skarbowa w Kielcach</v>
          </cell>
          <cell r="AA323" t="str">
            <v>ZUS Biuro Terenowe w Bytomiu</v>
          </cell>
        </row>
        <row r="324">
          <cell r="R324" t="str">
            <v>Świętokrzyski Urząd Skarbowy w Kielcach</v>
          </cell>
          <cell r="AA324" t="str">
            <v>ZUS Biuro Terenowe w Gliwicach</v>
          </cell>
        </row>
        <row r="325">
          <cell r="R325" t="str">
            <v>Urząd Skarbowy w Busku Zdroju</v>
          </cell>
          <cell r="AA325" t="str">
            <v>ZUS Oddział w Zielonej Górze</v>
          </cell>
        </row>
        <row r="326">
          <cell r="R326" t="str">
            <v>Urząd Skarbowy w Jędrzejowie</v>
          </cell>
          <cell r="AA326" t="str">
            <v>ZUS Inspektorat w Krośnie Odrzańskim</v>
          </cell>
        </row>
        <row r="327">
          <cell r="R327" t="str">
            <v>Pierwszy Urząd Skarbowy w Kielcach</v>
          </cell>
          <cell r="AA327" t="str">
            <v>ZUS Inspektorat w Nowej Soli</v>
          </cell>
        </row>
        <row r="328">
          <cell r="R328" t="str">
            <v>Drugi Urząd Skarbowy w Kielcach</v>
          </cell>
          <cell r="AA328" t="str">
            <v>ZUS Inspektorat w Świebodzinie</v>
          </cell>
        </row>
        <row r="329">
          <cell r="R329" t="str">
            <v>Urząd Skarbowy w Kazimierzy Wielkiej</v>
          </cell>
          <cell r="AA329" t="str">
            <v>ZUS Inspektorat w Żarach</v>
          </cell>
        </row>
        <row r="330">
          <cell r="R330" t="str">
            <v>Urząd Skarbowy w Końskich</v>
          </cell>
          <cell r="AA330" t="str">
            <v>ZUS Biuro Terenowe w Gubinie</v>
          </cell>
        </row>
        <row r="331">
          <cell r="R331" t="str">
            <v>Urząd Skarbowy w Opatowie</v>
          </cell>
          <cell r="AA331" t="str">
            <v>ZUS Biuro Terenowe we Wschowie</v>
          </cell>
        </row>
        <row r="332">
          <cell r="R332" t="str">
            <v>Urząd Skarbowy w Ostrowcu Świętokrzyskim</v>
          </cell>
        </row>
        <row r="333">
          <cell r="R333" t="str">
            <v>Urząd Skarbowy w Pińczowie</v>
          </cell>
        </row>
        <row r="334">
          <cell r="R334" t="str">
            <v>Urząd Skarbowy w Sandomierzu</v>
          </cell>
        </row>
        <row r="335">
          <cell r="R335" t="str">
            <v>Urząd Skarbowy w Skarżysku Kamiennej</v>
          </cell>
        </row>
        <row r="336">
          <cell r="R336" t="str">
            <v>Urząd Skarbowy w Starachowicach</v>
          </cell>
        </row>
        <row r="337">
          <cell r="R337" t="str">
            <v>Urząd Skarbowy w Staszowie</v>
          </cell>
        </row>
        <row r="338">
          <cell r="R338" t="str">
            <v>Urząd Skarbowy we Włoszczowie</v>
          </cell>
        </row>
        <row r="339">
          <cell r="R339" t="str">
            <v>Izba Skarbowa w Olsztynie</v>
          </cell>
        </row>
        <row r="340">
          <cell r="R340" t="str">
            <v>Warmińsko Mazurski Urząd Skarbowy w Olsztynie</v>
          </cell>
        </row>
        <row r="341">
          <cell r="R341" t="str">
            <v>Urząd Skarbowy w Bartoszycach</v>
          </cell>
        </row>
        <row r="342">
          <cell r="R342" t="str">
            <v>Urząd Skarbowy w Braniewie</v>
          </cell>
        </row>
        <row r="343">
          <cell r="R343" t="str">
            <v>Urząd Skarbowy w Działdowie</v>
          </cell>
        </row>
        <row r="344">
          <cell r="R344" t="str">
            <v>Urząd Skarbowy w Elblągu</v>
          </cell>
        </row>
        <row r="345">
          <cell r="R345" t="str">
            <v>Urząd Skarbowy w Ełku</v>
          </cell>
        </row>
        <row r="346">
          <cell r="R346" t="str">
            <v>Urząd Skarbowy w Giżycku</v>
          </cell>
        </row>
        <row r="347">
          <cell r="R347" t="str">
            <v>Urząd Skarbowy w Iławie</v>
          </cell>
        </row>
        <row r="348">
          <cell r="R348" t="str">
            <v>Urząd Skarbowy w Kętrzynie</v>
          </cell>
        </row>
        <row r="349">
          <cell r="R349" t="str">
            <v>Urząd Skarbowy w Nidzicy</v>
          </cell>
        </row>
        <row r="350">
          <cell r="R350" t="str">
            <v>Urząd Skarbowy w Nowym Mieście Lubawskim</v>
          </cell>
        </row>
        <row r="351">
          <cell r="R351" t="str">
            <v>Urząd Skarbowy w Olecku</v>
          </cell>
        </row>
        <row r="352">
          <cell r="R352" t="str">
            <v>Urząd Skarbowy w Olsztynie</v>
          </cell>
        </row>
        <row r="353">
          <cell r="R353" t="str">
            <v>Urząd Skarbowy w Ostródzie</v>
          </cell>
        </row>
        <row r="354">
          <cell r="R354" t="str">
            <v>Urząd Skarbowy w Piszu</v>
          </cell>
        </row>
        <row r="355">
          <cell r="R355" t="str">
            <v>Urząd Skarbowy w Szczytnie</v>
          </cell>
        </row>
        <row r="356">
          <cell r="R356" t="str">
            <v>Izba Skarbowa w Poznaniu</v>
          </cell>
        </row>
        <row r="357">
          <cell r="R357" t="str">
            <v>Pierwszy Wielkopolski Urząd Skarbowy w Poznaniu</v>
          </cell>
        </row>
        <row r="358">
          <cell r="R358" t="str">
            <v>Drugi Wielkopolski Urząd Skarbowy w Kaliszu</v>
          </cell>
        </row>
        <row r="359">
          <cell r="R359" t="str">
            <v>Urząd Skarbowy w Chodzieży</v>
          </cell>
        </row>
        <row r="360">
          <cell r="R360" t="str">
            <v>Urząd Skarbowy w Czarnkowie</v>
          </cell>
        </row>
        <row r="361">
          <cell r="R361" t="str">
            <v>Urząd Skarbowy w Gnieźnie</v>
          </cell>
        </row>
        <row r="362">
          <cell r="R362" t="str">
            <v>Urząd Skarbowy w Gostyniu</v>
          </cell>
        </row>
        <row r="363">
          <cell r="R363" t="str">
            <v>Urząd Skarbowy w Grodzisku Wielkopolskim</v>
          </cell>
        </row>
        <row r="364">
          <cell r="R364" t="str">
            <v>Urząd Skarbowy w Jarocinie</v>
          </cell>
        </row>
        <row r="365">
          <cell r="R365" t="str">
            <v>Pierwszy Urząd Skarbowy w Kaliszu</v>
          </cell>
        </row>
        <row r="366">
          <cell r="R366" t="str">
            <v>Drugi Urząd Skarbowy w Kaliszu</v>
          </cell>
        </row>
        <row r="367">
          <cell r="R367" t="str">
            <v>Urząd Skarbowy w Kępnie</v>
          </cell>
        </row>
        <row r="368">
          <cell r="R368" t="str">
            <v>Urząd Skarbowy w Kole</v>
          </cell>
        </row>
        <row r="369">
          <cell r="R369" t="str">
            <v>Urząd Skarbowy w Koninie</v>
          </cell>
        </row>
        <row r="370">
          <cell r="R370" t="str">
            <v>Urząd Skarbowy w Kościanie</v>
          </cell>
        </row>
        <row r="371">
          <cell r="R371" t="str">
            <v>Urząd Skarbowy w Krotoszynie</v>
          </cell>
        </row>
        <row r="372">
          <cell r="R372" t="str">
            <v>Urząd Skarbowy w Lesznie</v>
          </cell>
        </row>
        <row r="373">
          <cell r="R373" t="str">
            <v>Urząd Skarbowy w Międzychodzie</v>
          </cell>
        </row>
        <row r="374">
          <cell r="R374" t="str">
            <v>Urząd Skarbowy w Nowym Tomyślu</v>
          </cell>
        </row>
        <row r="375">
          <cell r="R375" t="str">
            <v>Urząd Skarbowy w Obornikach Wlkp.</v>
          </cell>
        </row>
        <row r="376">
          <cell r="R376" t="str">
            <v>Urząd Skarbowy w Ostrowie Wielkopolskim</v>
          </cell>
        </row>
        <row r="377">
          <cell r="R377" t="str">
            <v>Urząd Skarbowy w Ostrzeszowie</v>
          </cell>
        </row>
        <row r="378">
          <cell r="R378" t="str">
            <v>Urząd Skarbowy w Pile</v>
          </cell>
        </row>
        <row r="379">
          <cell r="R379" t="str">
            <v>Urząd Skarbowy w Pleszewie</v>
          </cell>
        </row>
        <row r="380">
          <cell r="R380" t="str">
            <v>Urząd Skarbowy Poznań-Grunwald</v>
          </cell>
        </row>
        <row r="381">
          <cell r="R381" t="str">
            <v>Urząd Skarbowy Poznań-Jeżyce</v>
          </cell>
        </row>
        <row r="382">
          <cell r="R382" t="str">
            <v>Urząd Skarbowy Poznań-Nowe Miasto</v>
          </cell>
        </row>
        <row r="383">
          <cell r="R383" t="str">
            <v>Pierwszy Urząd Skarbowy w Poznaniu</v>
          </cell>
        </row>
        <row r="384">
          <cell r="R384" t="str">
            <v>Urząd Skarbowy Poznań-Winogrady</v>
          </cell>
        </row>
        <row r="385">
          <cell r="R385" t="str">
            <v>Urząd Skarbowy Poznań-Wilda</v>
          </cell>
        </row>
        <row r="386">
          <cell r="R386" t="str">
            <v>Urząd Skarbowy w Rawiczu</v>
          </cell>
        </row>
        <row r="387">
          <cell r="R387" t="str">
            <v>Urząd Skarbowy w Słupcy</v>
          </cell>
        </row>
        <row r="388">
          <cell r="R388" t="str">
            <v>Urząd Skarbowy w Szamotułach</v>
          </cell>
        </row>
        <row r="389">
          <cell r="R389" t="str">
            <v>Urząd Skarbowy w Śremie</v>
          </cell>
        </row>
        <row r="390">
          <cell r="R390" t="str">
            <v>Urząd Skarbowy w Środzie Wielkoposkiej</v>
          </cell>
        </row>
        <row r="391">
          <cell r="R391" t="str">
            <v>Urząd Skarbowy w Turku</v>
          </cell>
        </row>
        <row r="392">
          <cell r="R392" t="str">
            <v>Urząd Skarbowy w Wągrowcu</v>
          </cell>
        </row>
        <row r="393">
          <cell r="R393" t="str">
            <v>Urząd Skarbowy w Wolsztynie</v>
          </cell>
        </row>
        <row r="394">
          <cell r="R394" t="str">
            <v>Urząd Skarbowy we Wrześni</v>
          </cell>
        </row>
        <row r="395">
          <cell r="R395" t="str">
            <v>Urząd Skarbowy w Złotowie</v>
          </cell>
        </row>
        <row r="396">
          <cell r="R396" t="str">
            <v>Izba Skarbowa w Szczecinie</v>
          </cell>
        </row>
        <row r="397">
          <cell r="R397" t="str">
            <v>Zachodniopomorski Urząd Skarbowy w Szczecinie</v>
          </cell>
        </row>
        <row r="398">
          <cell r="R398" t="str">
            <v>Urząd Skarbowy w Białogardzie</v>
          </cell>
        </row>
        <row r="399">
          <cell r="R399" t="str">
            <v>Urząd Skarbowy w Choszcznie</v>
          </cell>
        </row>
        <row r="400">
          <cell r="R400" t="str">
            <v>Urząd Skarbowy w Drawsku Pomorskim</v>
          </cell>
        </row>
        <row r="401">
          <cell r="R401" t="str">
            <v>Urząd Skarbowy w Goleniowie</v>
          </cell>
        </row>
        <row r="402">
          <cell r="R402" t="str">
            <v>Urząd Skarbowy w Gryficach</v>
          </cell>
        </row>
        <row r="403">
          <cell r="R403" t="str">
            <v>Urząd Skarbowy w Gryfinie</v>
          </cell>
        </row>
        <row r="404">
          <cell r="R404" t="str">
            <v>Urząd Skarbowy w Kamieniu Pomorskim</v>
          </cell>
        </row>
        <row r="405">
          <cell r="R405" t="str">
            <v>Urząd Skarbowy w Kołobrzegu</v>
          </cell>
        </row>
        <row r="406">
          <cell r="R406" t="str">
            <v>Pierwszy Urząd Skarbowy w Koszalinie</v>
          </cell>
        </row>
        <row r="407">
          <cell r="R407" t="str">
            <v>Drugi Urząd Skarbowy w Koszalinie</v>
          </cell>
        </row>
        <row r="408">
          <cell r="R408" t="str">
            <v>Urząd Skarbowy w Myśliborzu</v>
          </cell>
        </row>
        <row r="409">
          <cell r="R409" t="str">
            <v>Urząd Skarbowy w Pyrzycach</v>
          </cell>
        </row>
        <row r="410">
          <cell r="R410" t="str">
            <v>Urząd Skarbowy w Stargardzie Szczecińskim</v>
          </cell>
        </row>
        <row r="411">
          <cell r="R411" t="str">
            <v>Pierwszy Urząd Skarbowy w Szczecinie</v>
          </cell>
        </row>
        <row r="412">
          <cell r="R412" t="str">
            <v>Drugi Urząd Skarbowy w Szczecinie</v>
          </cell>
        </row>
        <row r="413">
          <cell r="R413" t="str">
            <v>Trzeci Urząd Skarbowy w Szczecinie</v>
          </cell>
        </row>
        <row r="414">
          <cell r="R414" t="str">
            <v>Urząd Skarbowy w Szczecinku</v>
          </cell>
        </row>
        <row r="415">
          <cell r="R415" t="str">
            <v>Urząd Skarbowy w Świnoujściu</v>
          </cell>
        </row>
        <row r="416">
          <cell r="R416" t="str">
            <v>Urząd Skarbowy w Wałczu</v>
          </cell>
        </row>
      </sheetData>
      <sheetData sheetId="5" refreshError="1"/>
      <sheetData sheetId="6" refreshError="1"/>
      <sheetData sheetId="7" refreshError="1"/>
    </sheetDataSet>
  </externalBook>
</externalLink>
</file>

<file path=xl/theme/theme1.xml><?xml version="1.0" encoding="utf-8"?>
<a:theme xmlns:a="http://schemas.openxmlformats.org/drawingml/2006/main" name="Deloitte">
  <a:themeElements>
    <a:clrScheme name="Deloitte new">
      <a:dk1>
        <a:srgbClr val="000000"/>
      </a:dk1>
      <a:lt1>
        <a:srgbClr val="FFFFFF"/>
      </a:lt1>
      <a:dk2>
        <a:srgbClr val="002776"/>
      </a:dk2>
      <a:lt2>
        <a:srgbClr val="FFFFFF"/>
      </a:lt2>
      <a:accent1>
        <a:srgbClr val="00A1DE"/>
      </a:accent1>
      <a:accent2>
        <a:srgbClr val="92D400"/>
      </a:accent2>
      <a:accent3>
        <a:srgbClr val="72C7E7"/>
      </a:accent3>
      <a:accent4>
        <a:srgbClr val="3C8A2E"/>
      </a:accent4>
      <a:accent5>
        <a:srgbClr val="002776"/>
      </a:accent5>
      <a:accent6>
        <a:srgbClr val="C9DD03"/>
      </a:accent6>
      <a:hlink>
        <a:srgbClr val="00A1DE"/>
      </a:hlink>
      <a:folHlink>
        <a:srgbClr val="72C7E7"/>
      </a:folHlink>
    </a:clrScheme>
    <a:fontScheme name="Deloitte">
      <a:majorFont>
        <a:latin typeface="Times New Roman"/>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H31"/>
  <sheetViews>
    <sheetView showGridLines="0" topLeftCell="A7" zoomScaleNormal="100" zoomScaleSheetLayoutView="100" workbookViewId="0">
      <selection activeCell="B24" sqref="B24:G26"/>
    </sheetView>
  </sheetViews>
  <sheetFormatPr defaultColWidth="9" defaultRowHeight="14.25" x14ac:dyDescent="0.2"/>
  <cols>
    <col min="1" max="1" width="3.125" style="1" customWidth="1"/>
    <col min="2" max="2" width="24" style="1" bestFit="1" customWidth="1"/>
    <col min="3" max="3" width="19.625" style="1" customWidth="1"/>
    <col min="4" max="5" width="10.625" style="1" customWidth="1"/>
    <col min="6" max="7" width="15.625" style="1" customWidth="1"/>
    <col min="8" max="8" width="3.125" style="1" customWidth="1"/>
    <col min="9" max="16384" width="9" style="1"/>
  </cols>
  <sheetData>
    <row r="1" spans="1:8" ht="15" customHeight="1" x14ac:dyDescent="0.2">
      <c r="A1" s="2"/>
      <c r="B1" s="2"/>
      <c r="C1" s="2"/>
      <c r="D1" s="2"/>
      <c r="E1" s="2"/>
      <c r="F1" s="2"/>
      <c r="G1" s="2"/>
      <c r="H1" s="2"/>
    </row>
    <row r="2" spans="1:8" ht="15" customHeight="1" x14ac:dyDescent="0.2">
      <c r="A2" s="2"/>
      <c r="B2" s="2"/>
      <c r="C2" s="2"/>
      <c r="D2" s="2"/>
      <c r="E2" s="50" t="s">
        <v>2808</v>
      </c>
      <c r="F2" s="55">
        <f ca="1">TODAY()</f>
        <v>42671</v>
      </c>
      <c r="G2" s="55"/>
      <c r="H2" s="2"/>
    </row>
    <row r="3" spans="1:8" ht="15" customHeight="1" x14ac:dyDescent="0.2">
      <c r="A3" s="2"/>
      <c r="B3" s="2"/>
      <c r="C3" s="2"/>
      <c r="D3" s="2"/>
      <c r="E3" s="2"/>
      <c r="F3" s="2"/>
      <c r="G3" s="2"/>
      <c r="H3" s="2"/>
    </row>
    <row r="4" spans="1:8" x14ac:dyDescent="0.2">
      <c r="A4" s="2"/>
      <c r="B4" s="4" t="s">
        <v>0</v>
      </c>
      <c r="C4" s="5" t="s">
        <v>2806</v>
      </c>
      <c r="D4" s="2"/>
      <c r="E4" s="2"/>
      <c r="F4" s="2"/>
      <c r="G4" s="2"/>
      <c r="H4" s="2"/>
    </row>
    <row r="5" spans="1:8" x14ac:dyDescent="0.2">
      <c r="A5" s="2"/>
      <c r="B5" s="4" t="s">
        <v>1</v>
      </c>
      <c r="C5" s="5" t="s">
        <v>2807</v>
      </c>
      <c r="D5" s="2"/>
      <c r="E5" s="2"/>
      <c r="F5" s="2"/>
      <c r="G5" s="2"/>
      <c r="H5" s="2"/>
    </row>
    <row r="6" spans="1:8" x14ac:dyDescent="0.2">
      <c r="A6" s="2"/>
      <c r="B6" s="4" t="s">
        <v>2809</v>
      </c>
      <c r="C6" s="5"/>
      <c r="D6" s="2"/>
      <c r="E6" s="2"/>
      <c r="F6" s="2"/>
      <c r="G6" s="2"/>
      <c r="H6" s="2"/>
    </row>
    <row r="7" spans="1:8" x14ac:dyDescent="0.2">
      <c r="A7" s="2"/>
      <c r="B7" s="4"/>
      <c r="C7" s="5"/>
      <c r="D7" s="2"/>
      <c r="E7" s="2"/>
      <c r="F7" s="2"/>
      <c r="G7" s="2"/>
      <c r="H7" s="2"/>
    </row>
    <row r="8" spans="1:8" x14ac:dyDescent="0.2">
      <c r="A8" s="2"/>
      <c r="B8" s="4"/>
      <c r="C8" s="5"/>
      <c r="D8" s="2"/>
      <c r="E8" s="2"/>
      <c r="F8" s="2"/>
      <c r="G8" s="2"/>
      <c r="H8" s="2"/>
    </row>
    <row r="9" spans="1:8" x14ac:dyDescent="0.2">
      <c r="A9" s="2"/>
      <c r="B9" s="4"/>
      <c r="C9" s="4"/>
      <c r="D9" s="2"/>
      <c r="E9" s="2"/>
      <c r="F9" s="2"/>
      <c r="G9" s="2"/>
      <c r="H9" s="2"/>
    </row>
    <row r="10" spans="1:8" ht="15.75" x14ac:dyDescent="0.25">
      <c r="A10" s="2"/>
      <c r="B10" s="57" t="s">
        <v>18</v>
      </c>
      <c r="C10" s="57"/>
      <c r="D10" s="57"/>
      <c r="E10" s="57"/>
      <c r="F10" s="57"/>
      <c r="G10" s="57"/>
      <c r="H10" s="2"/>
    </row>
    <row r="11" spans="1:8" x14ac:dyDescent="0.2">
      <c r="A11" s="2"/>
      <c r="B11" s="2"/>
      <c r="C11" s="2"/>
      <c r="D11" s="2"/>
      <c r="E11" s="2"/>
      <c r="F11" s="2"/>
      <c r="G11" s="2"/>
      <c r="H11" s="2"/>
    </row>
    <row r="12" spans="1:8" x14ac:dyDescent="0.2">
      <c r="A12" s="2"/>
      <c r="B12" s="58" t="s">
        <v>38</v>
      </c>
      <c r="C12" s="58"/>
      <c r="D12" s="58"/>
      <c r="E12" s="58"/>
      <c r="F12" s="58"/>
      <c r="G12" s="58"/>
      <c r="H12" s="2"/>
    </row>
    <row r="13" spans="1:8" x14ac:dyDescent="0.2">
      <c r="A13" s="2"/>
      <c r="B13" s="2"/>
      <c r="C13" s="2"/>
      <c r="D13" s="2"/>
      <c r="E13" s="2"/>
      <c r="F13" s="2"/>
      <c r="G13" s="2"/>
      <c r="H13" s="2"/>
    </row>
    <row r="14" spans="1:8" x14ac:dyDescent="0.2">
      <c r="A14" s="2"/>
      <c r="B14" s="2" t="s">
        <v>21</v>
      </c>
      <c r="C14" s="2"/>
      <c r="D14" s="2"/>
      <c r="E14" s="2"/>
      <c r="F14" s="2"/>
      <c r="G14" s="2"/>
      <c r="H14" s="2"/>
    </row>
    <row r="15" spans="1:8" x14ac:dyDescent="0.2">
      <c r="A15" s="2"/>
      <c r="B15" s="2"/>
      <c r="C15" s="2"/>
      <c r="D15" s="2"/>
      <c r="E15" s="2"/>
      <c r="F15" s="2"/>
      <c r="G15" s="2"/>
      <c r="H15" s="2"/>
    </row>
    <row r="16" spans="1:8" x14ac:dyDescent="0.2">
      <c r="A16" s="2"/>
      <c r="B16" s="59" t="s">
        <v>2805</v>
      </c>
      <c r="C16" s="59"/>
      <c r="D16" s="59"/>
      <c r="E16" s="59"/>
      <c r="F16" s="59"/>
      <c r="G16" s="59"/>
      <c r="H16" s="2"/>
    </row>
    <row r="17" spans="1:8" x14ac:dyDescent="0.2">
      <c r="A17" s="2"/>
      <c r="B17" s="60"/>
      <c r="C17" s="60"/>
      <c r="D17" s="60"/>
      <c r="E17" s="60"/>
      <c r="F17" s="60"/>
      <c r="G17" s="60"/>
      <c r="H17" s="2"/>
    </row>
    <row r="18" spans="1:8" ht="43.5" customHeight="1" x14ac:dyDescent="0.2">
      <c r="A18" s="2"/>
      <c r="B18" s="61" t="s">
        <v>2811</v>
      </c>
      <c r="C18" s="61"/>
      <c r="D18" s="61"/>
      <c r="E18" s="61"/>
      <c r="F18" s="61"/>
      <c r="G18" s="61"/>
      <c r="H18" s="2"/>
    </row>
    <row r="19" spans="1:8" x14ac:dyDescent="0.2">
      <c r="A19" s="2"/>
      <c r="B19" s="2"/>
      <c r="C19" s="2"/>
      <c r="D19" s="2"/>
      <c r="E19" s="2"/>
      <c r="F19" s="2"/>
      <c r="G19" s="2"/>
      <c r="H19" s="2"/>
    </row>
    <row r="20" spans="1:8" ht="50.1" customHeight="1" x14ac:dyDescent="0.2">
      <c r="A20" s="2"/>
      <c r="B20" s="2"/>
      <c r="C20" s="2"/>
      <c r="D20" s="2"/>
      <c r="E20" s="62"/>
      <c r="F20" s="62"/>
      <c r="G20" s="62"/>
      <c r="H20" s="2"/>
    </row>
    <row r="21" spans="1:8" x14ac:dyDescent="0.2">
      <c r="A21" s="2"/>
      <c r="B21" s="2"/>
      <c r="C21" s="2"/>
      <c r="D21" s="2"/>
      <c r="E21" s="56" t="s">
        <v>60</v>
      </c>
      <c r="F21" s="56"/>
      <c r="G21" s="56"/>
      <c r="H21" s="2"/>
    </row>
    <row r="22" spans="1:8" x14ac:dyDescent="0.2">
      <c r="A22" s="2"/>
      <c r="B22" s="2"/>
      <c r="C22" s="2"/>
      <c r="D22" s="2"/>
      <c r="E22" s="51"/>
      <c r="F22" s="51"/>
      <c r="G22" s="51"/>
      <c r="H22" s="2"/>
    </row>
    <row r="23" spans="1:8" x14ac:dyDescent="0.2">
      <c r="A23" s="2"/>
      <c r="B23" s="2"/>
      <c r="C23" s="2"/>
      <c r="D23" s="2"/>
      <c r="E23" s="51"/>
      <c r="F23" s="51"/>
      <c r="G23" s="51"/>
      <c r="H23" s="2"/>
    </row>
    <row r="24" spans="1:8" ht="14.25" customHeight="1" x14ac:dyDescent="0.2">
      <c r="A24" s="2"/>
      <c r="B24" s="54" t="s">
        <v>2814</v>
      </c>
      <c r="C24" s="54"/>
      <c r="D24" s="54"/>
      <c r="E24" s="54"/>
      <c r="F24" s="54"/>
      <c r="G24" s="54"/>
      <c r="H24" s="2"/>
    </row>
    <row r="25" spans="1:8" x14ac:dyDescent="0.2">
      <c r="A25" s="2"/>
      <c r="B25" s="54"/>
      <c r="C25" s="54"/>
      <c r="D25" s="54"/>
      <c r="E25" s="54"/>
      <c r="F25" s="54"/>
      <c r="G25" s="54"/>
      <c r="H25" s="2"/>
    </row>
    <row r="26" spans="1:8" ht="16.5" customHeight="1" x14ac:dyDescent="0.2">
      <c r="A26" s="2"/>
      <c r="B26" s="54"/>
      <c r="C26" s="54"/>
      <c r="D26" s="54"/>
      <c r="E26" s="54"/>
      <c r="F26" s="54"/>
      <c r="G26" s="54"/>
      <c r="H26" s="2"/>
    </row>
    <row r="27" spans="1:8" ht="13.5" customHeight="1" x14ac:dyDescent="0.2">
      <c r="A27" s="2"/>
      <c r="B27" s="53"/>
      <c r="C27" s="53"/>
      <c r="D27" s="53"/>
      <c r="E27" s="52"/>
      <c r="F27" s="52"/>
      <c r="G27" s="52"/>
      <c r="H27" s="2"/>
    </row>
    <row r="28" spans="1:8" ht="19.5" customHeight="1" x14ac:dyDescent="0.2">
      <c r="A28" s="2"/>
      <c r="B28" s="54" t="s">
        <v>2816</v>
      </c>
      <c r="C28" s="54"/>
      <c r="D28" s="54"/>
      <c r="E28" s="54"/>
      <c r="F28" s="54"/>
      <c r="G28" s="54"/>
      <c r="H28" s="2"/>
    </row>
    <row r="29" spans="1:8" x14ac:dyDescent="0.2">
      <c r="A29" s="2"/>
      <c r="B29" s="54"/>
      <c r="C29" s="54"/>
      <c r="D29" s="54"/>
      <c r="E29" s="54"/>
      <c r="F29" s="54"/>
      <c r="G29" s="54"/>
      <c r="H29" s="2"/>
    </row>
    <row r="30" spans="1:8" ht="41.25" customHeight="1" x14ac:dyDescent="0.2">
      <c r="A30" s="2"/>
      <c r="B30" s="54"/>
      <c r="C30" s="54"/>
      <c r="D30" s="54"/>
      <c r="E30" s="54"/>
      <c r="F30" s="54"/>
      <c r="G30" s="54"/>
      <c r="H30" s="2"/>
    </row>
    <row r="31" spans="1:8" ht="25.5" customHeight="1" x14ac:dyDescent="0.2">
      <c r="A31" s="2"/>
      <c r="B31" s="2"/>
      <c r="C31" s="2"/>
      <c r="D31" s="2"/>
      <c r="E31" s="2"/>
      <c r="F31" s="2"/>
      <c r="G31" s="2"/>
      <c r="H31" s="2"/>
    </row>
  </sheetData>
  <sheetProtection selectLockedCells="1"/>
  <mergeCells count="10">
    <mergeCell ref="B24:G26"/>
    <mergeCell ref="B28:G30"/>
    <mergeCell ref="F2:G2"/>
    <mergeCell ref="E21:G21"/>
    <mergeCell ref="B10:G10"/>
    <mergeCell ref="B12:G12"/>
    <mergeCell ref="B16:G16"/>
    <mergeCell ref="B17:G17"/>
    <mergeCell ref="B18:G18"/>
    <mergeCell ref="E20:G20"/>
  </mergeCells>
  <pageMargins left="0.7" right="0.7" top="0.75" bottom="0.75" header="0.3" footer="0.3"/>
  <pageSetup paperSize="9" scale="82"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H46"/>
  <sheetViews>
    <sheetView showGridLines="0" tabSelected="1" zoomScaleNormal="100" zoomScaleSheetLayoutView="100" workbookViewId="0">
      <selection activeCell="C24" sqref="C24"/>
    </sheetView>
  </sheetViews>
  <sheetFormatPr defaultColWidth="10.625" defaultRowHeight="14.25" x14ac:dyDescent="0.2"/>
  <cols>
    <col min="1" max="1" width="3.125" style="1" customWidth="1"/>
    <col min="2" max="2" width="24" style="1" bestFit="1" customWidth="1"/>
    <col min="3" max="3" width="19.625" style="1" customWidth="1"/>
    <col min="4" max="5" width="10.625" style="1" customWidth="1"/>
    <col min="6" max="7" width="15.625" style="1" customWidth="1"/>
    <col min="8" max="8" width="3.125" style="1" customWidth="1"/>
    <col min="9" max="16384" width="10.625" style="1"/>
  </cols>
  <sheetData>
    <row r="1" spans="1:8" ht="15" customHeight="1" x14ac:dyDescent="0.2">
      <c r="A1" s="2"/>
      <c r="B1" s="2"/>
      <c r="C1" s="2"/>
      <c r="D1" s="2"/>
      <c r="E1" s="2"/>
      <c r="F1" s="2"/>
      <c r="G1" s="2"/>
      <c r="H1" s="2"/>
    </row>
    <row r="2" spans="1:8" ht="15" customHeight="1" x14ac:dyDescent="0.2">
      <c r="A2" s="2"/>
      <c r="B2" s="2"/>
      <c r="C2" s="2"/>
      <c r="D2" s="2"/>
      <c r="E2" s="50" t="s">
        <v>59</v>
      </c>
      <c r="F2" s="55">
        <f ca="1">TODAY()</f>
        <v>42671</v>
      </c>
      <c r="G2" s="55"/>
      <c r="H2" s="2"/>
    </row>
    <row r="3" spans="1:8" ht="15" customHeight="1" x14ac:dyDescent="0.2">
      <c r="A3" s="2"/>
      <c r="B3" s="2"/>
      <c r="C3" s="2"/>
      <c r="D3" s="2"/>
      <c r="E3" s="2"/>
      <c r="F3" s="2"/>
      <c r="G3" s="2"/>
      <c r="H3" s="2"/>
    </row>
    <row r="4" spans="1:8" x14ac:dyDescent="0.2">
      <c r="A4" s="2"/>
      <c r="B4" s="4" t="s">
        <v>0</v>
      </c>
      <c r="C4" s="66" t="str">
        <f>Multisport!C4</f>
        <v>Vinnichenko</v>
      </c>
      <c r="D4" s="66"/>
      <c r="E4" s="2"/>
      <c r="F4" s="2"/>
      <c r="G4" s="2"/>
      <c r="H4" s="2"/>
    </row>
    <row r="5" spans="1:8" x14ac:dyDescent="0.2">
      <c r="A5" s="2"/>
      <c r="B5" s="4" t="s">
        <v>1</v>
      </c>
      <c r="C5" s="66" t="str">
        <f>Multisport!C5</f>
        <v xml:space="preserve">Illia </v>
      </c>
      <c r="D5" s="66"/>
      <c r="E5" s="2"/>
      <c r="F5" s="2"/>
      <c r="G5" s="2"/>
      <c r="H5" s="2"/>
    </row>
    <row r="6" spans="1:8" x14ac:dyDescent="0.2">
      <c r="A6" s="2"/>
      <c r="B6" s="4" t="s">
        <v>2809</v>
      </c>
      <c r="C6" s="66">
        <f>Multisport!C6</f>
        <v>0</v>
      </c>
      <c r="D6" s="66"/>
      <c r="E6" s="2"/>
      <c r="F6" s="2"/>
      <c r="G6" s="2"/>
      <c r="H6" s="2"/>
    </row>
    <row r="7" spans="1:8" x14ac:dyDescent="0.2">
      <c r="A7" s="2"/>
      <c r="B7" s="4"/>
      <c r="C7" s="66"/>
      <c r="D7" s="66"/>
      <c r="E7" s="2"/>
      <c r="F7" s="2"/>
      <c r="G7" s="2"/>
      <c r="H7" s="2"/>
    </row>
    <row r="8" spans="1:8" x14ac:dyDescent="0.2">
      <c r="A8" s="2"/>
      <c r="B8" s="4"/>
      <c r="C8" s="66"/>
      <c r="D8" s="66"/>
      <c r="E8" s="2"/>
      <c r="F8" s="2"/>
      <c r="G8" s="2"/>
      <c r="H8" s="2"/>
    </row>
    <row r="9" spans="1:8" x14ac:dyDescent="0.2">
      <c r="A9" s="2"/>
      <c r="B9" s="4"/>
      <c r="C9" s="4"/>
      <c r="D9" s="2"/>
      <c r="E9" s="2"/>
      <c r="F9" s="2"/>
      <c r="G9" s="2"/>
      <c r="H9" s="2"/>
    </row>
    <row r="10" spans="1:8" ht="15.75" x14ac:dyDescent="0.25">
      <c r="A10" s="2"/>
      <c r="B10" s="57" t="s">
        <v>18</v>
      </c>
      <c r="C10" s="57"/>
      <c r="D10" s="57"/>
      <c r="E10" s="57"/>
      <c r="F10" s="57"/>
      <c r="G10" s="57"/>
      <c r="H10" s="2"/>
    </row>
    <row r="11" spans="1:8" x14ac:dyDescent="0.2">
      <c r="A11" s="2"/>
      <c r="B11" s="2"/>
      <c r="C11" s="2"/>
      <c r="D11" s="2"/>
      <c r="E11" s="2"/>
      <c r="F11" s="2"/>
      <c r="G11" s="2"/>
      <c r="H11" s="2"/>
    </row>
    <row r="12" spans="1:8" x14ac:dyDescent="0.2">
      <c r="A12" s="2"/>
      <c r="B12" s="58" t="s">
        <v>41</v>
      </c>
      <c r="C12" s="58"/>
      <c r="D12" s="58"/>
      <c r="E12" s="58"/>
      <c r="F12" s="58"/>
      <c r="G12" s="58"/>
      <c r="H12" s="2"/>
    </row>
    <row r="13" spans="1:8" x14ac:dyDescent="0.2">
      <c r="A13" s="2"/>
      <c r="B13" s="7"/>
      <c r="C13" s="7"/>
      <c r="D13" s="7"/>
      <c r="E13" s="7"/>
      <c r="F13" s="7"/>
      <c r="G13" s="7"/>
      <c r="H13" s="2"/>
    </row>
    <row r="14" spans="1:8" x14ac:dyDescent="0.2">
      <c r="A14" s="2"/>
      <c r="B14" s="8" t="s">
        <v>21</v>
      </c>
      <c r="C14" s="7"/>
      <c r="D14" s="7"/>
      <c r="E14" s="7"/>
      <c r="F14" s="7"/>
      <c r="G14" s="7"/>
      <c r="H14" s="2"/>
    </row>
    <row r="15" spans="1:8" x14ac:dyDescent="0.2">
      <c r="A15" s="2"/>
      <c r="B15" s="8"/>
      <c r="C15" s="7"/>
      <c r="D15" s="7"/>
      <c r="E15" s="7"/>
      <c r="F15" s="7"/>
      <c r="G15" s="7"/>
      <c r="H15" s="2"/>
    </row>
    <row r="16" spans="1:8" x14ac:dyDescent="0.2">
      <c r="A16" s="2"/>
      <c r="B16" s="65" t="s">
        <v>2805</v>
      </c>
      <c r="C16" s="65"/>
      <c r="D16" s="65"/>
      <c r="E16" s="65"/>
      <c r="F16" s="65"/>
      <c r="G16" s="65"/>
      <c r="H16" s="2"/>
    </row>
    <row r="17" spans="1:8" x14ac:dyDescent="0.2">
      <c r="A17" s="2"/>
      <c r="B17" s="2"/>
      <c r="C17" s="2"/>
      <c r="D17" s="2"/>
      <c r="E17" s="2"/>
      <c r="F17" s="2"/>
      <c r="G17" s="2"/>
      <c r="H17" s="2"/>
    </row>
    <row r="18" spans="1:8" ht="28.5" customHeight="1" x14ac:dyDescent="0.2">
      <c r="A18" s="2"/>
      <c r="B18" s="61"/>
      <c r="C18" s="61"/>
      <c r="D18" s="61"/>
      <c r="E18" s="61"/>
      <c r="F18" s="61"/>
      <c r="G18" s="61"/>
      <c r="H18" s="2"/>
    </row>
    <row r="19" spans="1:8" x14ac:dyDescent="0.2">
      <c r="A19" s="2"/>
      <c r="B19" s="2"/>
      <c r="C19" s="2"/>
      <c r="D19" s="2"/>
      <c r="E19" s="2"/>
      <c r="F19" s="2"/>
      <c r="G19" s="2"/>
      <c r="H19" s="2"/>
    </row>
    <row r="20" spans="1:8" x14ac:dyDescent="0.2">
      <c r="A20" s="2"/>
      <c r="B20" s="67" t="s">
        <v>2812</v>
      </c>
      <c r="C20" s="67"/>
      <c r="D20" s="2"/>
      <c r="E20" s="2"/>
      <c r="F20" s="2"/>
      <c r="G20" s="2"/>
      <c r="H20" s="2"/>
    </row>
    <row r="21" spans="1:8" x14ac:dyDescent="0.2">
      <c r="A21" s="2"/>
      <c r="B21" s="2"/>
      <c r="C21" s="2"/>
      <c r="D21" s="2"/>
      <c r="E21" s="2"/>
      <c r="F21" s="2"/>
      <c r="G21" s="2"/>
      <c r="H21" s="2"/>
    </row>
    <row r="22" spans="1:8" x14ac:dyDescent="0.2">
      <c r="A22" s="2"/>
      <c r="B22" s="2"/>
      <c r="C22" s="2"/>
      <c r="D22" s="2"/>
      <c r="E22" s="2"/>
      <c r="F22" s="2"/>
      <c r="G22" s="2"/>
      <c r="H22" s="2"/>
    </row>
    <row r="23" spans="1:8" x14ac:dyDescent="0.2">
      <c r="A23" s="2"/>
      <c r="B23" s="2"/>
      <c r="C23" s="2"/>
      <c r="D23" s="2"/>
      <c r="E23" s="2"/>
      <c r="F23" s="2"/>
      <c r="G23" s="2"/>
      <c r="H23" s="2"/>
    </row>
    <row r="24" spans="1:8" x14ac:dyDescent="0.2">
      <c r="A24" s="2"/>
      <c r="B24" s="2"/>
      <c r="C24" s="2"/>
      <c r="D24" s="2"/>
      <c r="E24" s="2"/>
      <c r="F24" s="2"/>
      <c r="G24" s="2"/>
      <c r="H24" s="2"/>
    </row>
    <row r="25" spans="1:8" x14ac:dyDescent="0.2">
      <c r="A25" s="2"/>
      <c r="B25" s="2"/>
      <c r="C25" s="2"/>
      <c r="D25" s="2"/>
      <c r="E25" s="2"/>
      <c r="F25" s="2"/>
      <c r="G25" s="2"/>
      <c r="H25" s="2"/>
    </row>
    <row r="26" spans="1:8" x14ac:dyDescent="0.2">
      <c r="A26" s="2"/>
      <c r="B26" s="2"/>
      <c r="C26" s="2"/>
      <c r="D26" s="2"/>
      <c r="E26" s="2"/>
      <c r="F26" s="2"/>
      <c r="G26" s="2"/>
      <c r="H26" s="2"/>
    </row>
    <row r="27" spans="1:8" x14ac:dyDescent="0.2">
      <c r="A27" s="2"/>
      <c r="B27" s="67"/>
      <c r="C27" s="67"/>
      <c r="D27" s="2"/>
      <c r="E27" s="2"/>
      <c r="F27" s="2"/>
      <c r="G27" s="2"/>
      <c r="H27" s="2"/>
    </row>
    <row r="28" spans="1:8" x14ac:dyDescent="0.2">
      <c r="A28" s="2"/>
      <c r="B28" s="2"/>
      <c r="C28" s="2"/>
      <c r="D28" s="2"/>
      <c r="E28" s="2"/>
      <c r="F28" s="2"/>
      <c r="G28" s="2"/>
      <c r="H28" s="2"/>
    </row>
    <row r="29" spans="1:8" x14ac:dyDescent="0.2">
      <c r="A29" s="2"/>
      <c r="B29" s="60"/>
      <c r="C29" s="60"/>
      <c r="D29" s="60"/>
      <c r="E29" s="60"/>
      <c r="F29" s="60"/>
      <c r="G29" s="60"/>
      <c r="H29" s="2"/>
    </row>
    <row r="30" spans="1:8" ht="44.25" customHeight="1" x14ac:dyDescent="0.2">
      <c r="A30" s="2"/>
      <c r="B30" s="61" t="s">
        <v>2810</v>
      </c>
      <c r="C30" s="61"/>
      <c r="D30" s="61"/>
      <c r="E30" s="61"/>
      <c r="F30" s="61"/>
      <c r="G30" s="61"/>
      <c r="H30" s="2"/>
    </row>
    <row r="31" spans="1:8" ht="14.25" customHeight="1" x14ac:dyDescent="0.2">
      <c r="A31" s="2"/>
      <c r="B31" s="68" t="s">
        <v>42</v>
      </c>
      <c r="C31" s="68"/>
      <c r="D31" s="10"/>
      <c r="E31" s="68" t="s">
        <v>55</v>
      </c>
      <c r="F31" s="68"/>
      <c r="G31" s="68"/>
      <c r="H31" s="2"/>
    </row>
    <row r="32" spans="1:8" ht="14.25" customHeight="1" x14ac:dyDescent="0.2">
      <c r="A32" s="2"/>
      <c r="B32" s="69" t="s">
        <v>56</v>
      </c>
      <c r="C32" s="69"/>
      <c r="D32" s="69"/>
      <c r="E32" s="69"/>
      <c r="F32" s="69"/>
      <c r="G32" s="69"/>
      <c r="H32" s="2"/>
    </row>
    <row r="33" spans="1:8" x14ac:dyDescent="0.2">
      <c r="A33" s="2"/>
      <c r="B33" s="6"/>
      <c r="C33" s="6"/>
      <c r="D33" s="3"/>
      <c r="E33" s="6"/>
      <c r="F33" s="6"/>
      <c r="G33" s="6"/>
      <c r="H33" s="2"/>
    </row>
    <row r="34" spans="1:8" ht="50.1" customHeight="1" x14ac:dyDescent="0.2">
      <c r="A34" s="2"/>
      <c r="B34" s="2"/>
      <c r="C34" s="2"/>
      <c r="D34" s="2"/>
      <c r="E34" s="62"/>
      <c r="F34" s="62"/>
      <c r="G34" s="62"/>
      <c r="H34" s="2"/>
    </row>
    <row r="35" spans="1:8" x14ac:dyDescent="0.2">
      <c r="A35" s="2"/>
      <c r="B35" s="2"/>
      <c r="C35" s="2"/>
      <c r="D35" s="2"/>
      <c r="E35" s="56" t="s">
        <v>60</v>
      </c>
      <c r="F35" s="56"/>
      <c r="G35" s="56"/>
      <c r="H35" s="2"/>
    </row>
    <row r="36" spans="1:8" x14ac:dyDescent="0.2">
      <c r="A36" s="2"/>
      <c r="B36" s="2"/>
      <c r="C36" s="2"/>
      <c r="D36" s="2"/>
      <c r="E36" s="51"/>
      <c r="F36" s="51"/>
      <c r="G36" s="51"/>
      <c r="H36" s="2"/>
    </row>
    <row r="37" spans="1:8" ht="30" customHeight="1" x14ac:dyDescent="0.2">
      <c r="A37" s="2"/>
      <c r="B37" s="63" t="s">
        <v>2813</v>
      </c>
      <c r="C37" s="63"/>
      <c r="D37" s="63"/>
      <c r="E37" s="63"/>
      <c r="F37" s="63"/>
      <c r="G37" s="63"/>
      <c r="H37" s="53"/>
    </row>
    <row r="38" spans="1:8" x14ac:dyDescent="0.2">
      <c r="A38" s="2"/>
      <c r="B38" s="63"/>
      <c r="C38" s="63"/>
      <c r="D38" s="63"/>
      <c r="E38" s="63"/>
      <c r="F38" s="63"/>
      <c r="G38" s="63"/>
      <c r="H38" s="53"/>
    </row>
    <row r="39" spans="1:8" x14ac:dyDescent="0.2">
      <c r="A39" s="2"/>
      <c r="B39" s="63"/>
      <c r="C39" s="63"/>
      <c r="D39" s="63"/>
      <c r="E39" s="63"/>
      <c r="F39" s="63"/>
      <c r="G39" s="63"/>
      <c r="H39" s="53"/>
    </row>
    <row r="40" spans="1:8" x14ac:dyDescent="0.2">
      <c r="A40" s="2"/>
      <c r="B40" s="64" t="s">
        <v>2815</v>
      </c>
      <c r="C40" s="64"/>
      <c r="D40" s="64"/>
      <c r="E40" s="64"/>
      <c r="F40" s="64"/>
      <c r="G40" s="64"/>
      <c r="H40" s="64"/>
    </row>
    <row r="41" spans="1:8" ht="3.75" customHeight="1" x14ac:dyDescent="0.2">
      <c r="A41" s="2"/>
      <c r="B41" s="64"/>
      <c r="C41" s="64"/>
      <c r="D41" s="64"/>
      <c r="E41" s="64"/>
      <c r="F41" s="64"/>
      <c r="G41" s="64"/>
      <c r="H41" s="64"/>
    </row>
    <row r="42" spans="1:8" ht="30.75" customHeight="1" x14ac:dyDescent="0.2">
      <c r="A42" s="2"/>
      <c r="B42" s="64"/>
      <c r="C42" s="64"/>
      <c r="D42" s="64"/>
      <c r="E42" s="64"/>
      <c r="F42" s="64"/>
      <c r="G42" s="64"/>
      <c r="H42" s="64"/>
    </row>
    <row r="43" spans="1:8" ht="29.25" customHeight="1" x14ac:dyDescent="0.2">
      <c r="A43" s="2"/>
      <c r="B43" s="64"/>
      <c r="C43" s="64"/>
      <c r="D43" s="64"/>
      <c r="E43" s="64"/>
      <c r="F43" s="64"/>
      <c r="G43" s="64"/>
      <c r="H43" s="64"/>
    </row>
    <row r="44" spans="1:8" x14ac:dyDescent="0.2">
      <c r="A44" s="2"/>
      <c r="B44" s="64"/>
      <c r="C44" s="64"/>
      <c r="D44" s="64"/>
      <c r="E44" s="64"/>
      <c r="F44" s="64"/>
      <c r="G44" s="64"/>
      <c r="H44" s="64"/>
    </row>
    <row r="45" spans="1:8" x14ac:dyDescent="0.2">
      <c r="A45" s="2"/>
      <c r="B45" s="64"/>
      <c r="C45" s="64"/>
      <c r="D45" s="64"/>
      <c r="E45" s="64"/>
      <c r="F45" s="64"/>
      <c r="G45" s="64"/>
      <c r="H45" s="64"/>
    </row>
    <row r="46" spans="1:8" ht="15" customHeight="1" x14ac:dyDescent="0.2">
      <c r="A46" s="2"/>
      <c r="B46" s="64"/>
      <c r="C46" s="64"/>
      <c r="D46" s="64"/>
      <c r="E46" s="64"/>
      <c r="F46" s="64"/>
      <c r="G46" s="64"/>
      <c r="H46" s="64"/>
    </row>
  </sheetData>
  <sheetProtection selectLockedCells="1"/>
  <mergeCells count="21">
    <mergeCell ref="B31:C31"/>
    <mergeCell ref="E31:G31"/>
    <mergeCell ref="B32:G32"/>
    <mergeCell ref="E34:G34"/>
    <mergeCell ref="B29:G29"/>
    <mergeCell ref="B37:G39"/>
    <mergeCell ref="B40:H46"/>
    <mergeCell ref="F2:G2"/>
    <mergeCell ref="B10:G10"/>
    <mergeCell ref="B12:G12"/>
    <mergeCell ref="B16:G16"/>
    <mergeCell ref="C4:D4"/>
    <mergeCell ref="C5:D5"/>
    <mergeCell ref="C6:D6"/>
    <mergeCell ref="C7:D7"/>
    <mergeCell ref="C8:D8"/>
    <mergeCell ref="B30:G30"/>
    <mergeCell ref="E35:G35"/>
    <mergeCell ref="B18:G18"/>
    <mergeCell ref="B20:C20"/>
    <mergeCell ref="B27:C27"/>
  </mergeCells>
  <dataValidations count="1">
    <dataValidation type="list" allowBlank="1" showInputMessage="1" showErrorMessage="1" sqref="D31 D33">
      <formula1>Miesiące2</formula1>
    </dataValidation>
  </dataValidations>
  <pageMargins left="0.7" right="0.7" top="0.75" bottom="0.75" header="0.3" footer="0.3"/>
  <pageSetup paperSize="9" scale="82" orientation="portrait" r:id="rId1"/>
  <drawing r:id="rId2"/>
  <legacyDrawing r:id="rId3"/>
  <controls>
    <mc:AlternateContent xmlns:mc="http://schemas.openxmlformats.org/markup-compatibility/2006">
      <mc:Choice Requires="x14">
        <control shapeId="25609" r:id="rId4" name="OptionButton4">
          <controlPr locked="0" autoLine="0" autoPict="0" r:id="rId5">
            <anchor moveWithCells="1">
              <from>
                <xdr:col>2</xdr:col>
                <xdr:colOff>9525</xdr:colOff>
                <xdr:row>24</xdr:row>
                <xdr:rowOff>0</xdr:rowOff>
              </from>
              <to>
                <xdr:col>3</xdr:col>
                <xdr:colOff>19050</xdr:colOff>
                <xdr:row>25</xdr:row>
                <xdr:rowOff>0</xdr:rowOff>
              </to>
            </anchor>
          </controlPr>
        </control>
      </mc:Choice>
      <mc:Fallback>
        <control shapeId="25609" r:id="rId4" name="OptionButton4"/>
      </mc:Fallback>
    </mc:AlternateContent>
    <mc:AlternateContent xmlns:mc="http://schemas.openxmlformats.org/markup-compatibility/2006">
      <mc:Choice Requires="x14">
        <control shapeId="25608" r:id="rId6" name="OptionButton3">
          <controlPr locked="0" autoLine="0" autoPict="0" r:id="rId7">
            <anchor moveWithCells="1">
              <from>
                <xdr:col>2</xdr:col>
                <xdr:colOff>0</xdr:colOff>
                <xdr:row>21</xdr:row>
                <xdr:rowOff>114300</xdr:rowOff>
              </from>
              <to>
                <xdr:col>3</xdr:col>
                <xdr:colOff>9525</xdr:colOff>
                <xdr:row>22</xdr:row>
                <xdr:rowOff>114300</xdr:rowOff>
              </to>
            </anchor>
          </controlPr>
        </control>
      </mc:Choice>
      <mc:Fallback>
        <control shapeId="25608" r:id="rId6" name="Option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2799"/>
  <sheetViews>
    <sheetView showGridLines="0" topLeftCell="W1" workbookViewId="0">
      <selection activeCell="W1" sqref="W1"/>
    </sheetView>
  </sheetViews>
  <sheetFormatPr defaultColWidth="9" defaultRowHeight="14.25" x14ac:dyDescent="0.2"/>
  <cols>
    <col min="1" max="1" width="56" style="11" hidden="1" customWidth="1"/>
    <col min="2" max="16" width="9" style="11" hidden="1" customWidth="1"/>
    <col min="17" max="17" width="38.875" style="11" hidden="1" customWidth="1"/>
    <col min="18" max="18" width="13.875" style="11" hidden="1" customWidth="1"/>
    <col min="19" max="21" width="9" style="11" hidden="1" customWidth="1"/>
    <col min="22" max="22" width="10.75" style="11" hidden="1" customWidth="1"/>
    <col min="23" max="23" width="9" style="11" customWidth="1"/>
    <col min="24" max="16384" width="9" style="11"/>
  </cols>
  <sheetData>
    <row r="1" spans="1:22" x14ac:dyDescent="0.2">
      <c r="A1" s="11" t="s">
        <v>2625</v>
      </c>
      <c r="R1" s="70" t="s">
        <v>2623</v>
      </c>
      <c r="S1" s="70"/>
      <c r="T1" s="70"/>
      <c r="U1" s="14" t="s">
        <v>2624</v>
      </c>
      <c r="V1" s="15">
        <v>118770</v>
      </c>
    </row>
    <row r="2" spans="1:22" x14ac:dyDescent="0.2">
      <c r="A2" s="11" t="s">
        <v>2626</v>
      </c>
      <c r="R2" s="70" t="s">
        <v>2623</v>
      </c>
      <c r="S2" s="70"/>
      <c r="T2" s="70"/>
      <c r="U2" s="14" t="s">
        <v>2802</v>
      </c>
      <c r="V2" s="15">
        <v>121650</v>
      </c>
    </row>
    <row r="3" spans="1:22" x14ac:dyDescent="0.2">
      <c r="A3" s="9" t="s">
        <v>2622</v>
      </c>
      <c r="R3" s="48" t="s">
        <v>2801</v>
      </c>
      <c r="U3" s="49">
        <v>2016</v>
      </c>
    </row>
    <row r="4" spans="1:22" x14ac:dyDescent="0.2">
      <c r="A4" s="11" t="s">
        <v>2</v>
      </c>
    </row>
    <row r="5" spans="1:22" x14ac:dyDescent="0.2">
      <c r="A5" s="11" t="s">
        <v>3</v>
      </c>
    </row>
    <row r="6" spans="1:22" x14ac:dyDescent="0.2">
      <c r="A6" s="11" t="s">
        <v>4</v>
      </c>
    </row>
    <row r="7" spans="1:22" x14ac:dyDescent="0.2">
      <c r="A7" s="11" t="s">
        <v>5</v>
      </c>
    </row>
    <row r="8" spans="1:22" x14ac:dyDescent="0.2">
      <c r="A8" s="11" t="s">
        <v>6</v>
      </c>
    </row>
    <row r="9" spans="1:22" x14ac:dyDescent="0.2">
      <c r="A9" s="11" t="s">
        <v>7</v>
      </c>
    </row>
    <row r="10" spans="1:22" x14ac:dyDescent="0.2">
      <c r="A10" s="11" t="s">
        <v>8</v>
      </c>
    </row>
    <row r="11" spans="1:22" x14ac:dyDescent="0.2">
      <c r="A11" s="11" t="s">
        <v>9</v>
      </c>
    </row>
    <row r="12" spans="1:22" x14ac:dyDescent="0.2">
      <c r="A12" s="11" t="s">
        <v>10</v>
      </c>
    </row>
    <row r="13" spans="1:22" x14ac:dyDescent="0.2">
      <c r="A13" s="11" t="s">
        <v>11</v>
      </c>
      <c r="D13" s="11" t="b">
        <v>1</v>
      </c>
    </row>
    <row r="14" spans="1:22" x14ac:dyDescent="0.2">
      <c r="A14" s="11" t="s">
        <v>12</v>
      </c>
    </row>
    <row r="15" spans="1:22" x14ac:dyDescent="0.2">
      <c r="A15" s="11" t="s">
        <v>13</v>
      </c>
      <c r="C15" s="11" t="e">
        <f>#REF!</f>
        <v>#REF!</v>
      </c>
      <c r="D15" s="11" t="e">
        <f>IF(C15=D13,"(nie prowadzę działalności gospodarczej/nie jestem "&amp;F26&amp;" jako podatnik VAT/nie jestem płatnikiem podatków lub składek ZUS)","(prowadzę działalność gospodarczą/jestem "&amp;F26&amp;" jako podatnik VAT/jestem płatnikiem podatków lub składek ZUS)")</f>
        <v>#REF!</v>
      </c>
    </row>
    <row r="16" spans="1:22" x14ac:dyDescent="0.2">
      <c r="A16" s="11" t="s">
        <v>14</v>
      </c>
    </row>
    <row r="17" spans="1:8" x14ac:dyDescent="0.2">
      <c r="A17" s="11" t="s">
        <v>15</v>
      </c>
    </row>
    <row r="18" spans="1:8" x14ac:dyDescent="0.2">
      <c r="A18" s="11" t="s">
        <v>16</v>
      </c>
    </row>
    <row r="19" spans="1:8" x14ac:dyDescent="0.2">
      <c r="A19" s="11" t="s">
        <v>17</v>
      </c>
      <c r="C19" s="11">
        <v>1</v>
      </c>
      <c r="D19" s="11" t="str">
        <f>IF(C19=1,"małżonkiem.","dzieckiem (jako osoba samotnie wychowująca dziecko).")</f>
        <v>małżonkiem.</v>
      </c>
    </row>
    <row r="20" spans="1:8" x14ac:dyDescent="0.2">
      <c r="A20" s="9" t="s">
        <v>2621</v>
      </c>
      <c r="D20" s="11" t="str">
        <f>IF(C19=1,"mój małżonek","moje dziecko")</f>
        <v>mój małżonek</v>
      </c>
    </row>
    <row r="21" spans="1:8" ht="26.25" x14ac:dyDescent="0.2">
      <c r="A21" s="16" t="s">
        <v>2627</v>
      </c>
      <c r="D21" s="11" t="str">
        <f>IF(C19=1,"małżonka","dziecka")</f>
        <v>małżonka</v>
      </c>
    </row>
    <row r="22" spans="1:8" ht="26.25" x14ac:dyDescent="0.2">
      <c r="A22" s="16" t="s">
        <v>2628</v>
      </c>
    </row>
    <row r="23" spans="1:8" ht="26.25" x14ac:dyDescent="0.2">
      <c r="A23" s="16" t="s">
        <v>2629</v>
      </c>
      <c r="D23" s="11" t="s">
        <v>19</v>
      </c>
      <c r="E23" s="11" t="s">
        <v>40</v>
      </c>
    </row>
    <row r="24" spans="1:8" ht="26.25" x14ac:dyDescent="0.2">
      <c r="A24" s="16" t="s">
        <v>2630</v>
      </c>
      <c r="D24" s="11" t="s">
        <v>20</v>
      </c>
      <c r="E24" s="11" t="s">
        <v>39</v>
      </c>
    </row>
    <row r="25" spans="1:8" ht="26.25" x14ac:dyDescent="0.2">
      <c r="A25" s="16" t="s">
        <v>2631</v>
      </c>
    </row>
    <row r="26" spans="1:8" ht="26.25" x14ac:dyDescent="0.2">
      <c r="A26" s="16" t="s">
        <v>2632</v>
      </c>
      <c r="D26" s="11" t="s">
        <v>22</v>
      </c>
      <c r="F26" s="11" t="e">
        <f>IF(#REF!=Słownik!A1,"zarejestrowana","zarejestrowany")</f>
        <v>#REF!</v>
      </c>
      <c r="H26" s="11" t="s">
        <v>57</v>
      </c>
    </row>
    <row r="27" spans="1:8" x14ac:dyDescent="0.2">
      <c r="A27" s="9" t="s">
        <v>2620</v>
      </c>
      <c r="D27" s="11" t="s">
        <v>23</v>
      </c>
      <c r="H27" s="11" t="s">
        <v>58</v>
      </c>
    </row>
    <row r="28" spans="1:8" ht="26.25" x14ac:dyDescent="0.2">
      <c r="A28" s="16" t="s">
        <v>2797</v>
      </c>
    </row>
    <row r="29" spans="1:8" ht="26.25" x14ac:dyDescent="0.2">
      <c r="A29" s="16" t="s">
        <v>2798</v>
      </c>
      <c r="D29" s="11" t="s">
        <v>37</v>
      </c>
    </row>
    <row r="30" spans="1:8" ht="26.25" x14ac:dyDescent="0.2">
      <c r="A30" s="16" t="s">
        <v>2799</v>
      </c>
      <c r="D30" s="11" t="s">
        <v>36</v>
      </c>
    </row>
    <row r="32" spans="1:8" x14ac:dyDescent="0.2">
      <c r="A32" s="9" t="s">
        <v>2619</v>
      </c>
    </row>
    <row r="33" spans="1:4" ht="26.25" x14ac:dyDescent="0.2">
      <c r="A33" s="16" t="s">
        <v>2633</v>
      </c>
      <c r="C33" s="11">
        <v>2</v>
      </c>
      <c r="D33" s="11" t="s">
        <v>2803</v>
      </c>
    </row>
    <row r="34" spans="1:4" ht="27.75" customHeight="1" x14ac:dyDescent="0.2">
      <c r="A34" s="16" t="s">
        <v>2634</v>
      </c>
      <c r="D34" s="11" t="s">
        <v>2804</v>
      </c>
    </row>
    <row r="35" spans="1:4" x14ac:dyDescent="0.2">
      <c r="A35" s="9" t="s">
        <v>2618</v>
      </c>
    </row>
    <row r="36" spans="1:4" x14ac:dyDescent="0.2">
      <c r="A36" s="11" t="s">
        <v>24</v>
      </c>
      <c r="D36" s="11" t="e">
        <f>"Jednocześnie oświaczam, iż "&amp;IF(#REF!=Słownik!A1,Słownik!D29,Słownik!D30)&amp;" nie skorzysta w "&amp;U3&amp;" r. z dni wolnych przysługujących z tytułu opieki nad dziećmi w wieku do lat 14."</f>
        <v>#REF!</v>
      </c>
    </row>
    <row r="37" spans="1:4" x14ac:dyDescent="0.2">
      <c r="A37" s="11" t="s">
        <v>25</v>
      </c>
      <c r="D37" s="11" t="e">
        <f>"Jednocześnie oświaczam, iż "&amp;IF(#REF!=Słownik!A1,Słownik!D29,Słownik!D30)&amp;" wykorzysta 1 dzień / 8 godzin w "&amp;U3&amp;" r., przysługujący z tytułu opieki nad dziećmi w wieku do lat 14."</f>
        <v>#REF!</v>
      </c>
    </row>
    <row r="38" spans="1:4" x14ac:dyDescent="0.2">
      <c r="A38" s="11" t="s">
        <v>26</v>
      </c>
    </row>
    <row r="39" spans="1:4" x14ac:dyDescent="0.2">
      <c r="A39" s="11" t="s">
        <v>27</v>
      </c>
    </row>
    <row r="40" spans="1:4" x14ac:dyDescent="0.2">
      <c r="A40" s="11" t="s">
        <v>28</v>
      </c>
    </row>
    <row r="41" spans="1:4" x14ac:dyDescent="0.2">
      <c r="A41" s="11" t="s">
        <v>29</v>
      </c>
    </row>
    <row r="42" spans="1:4" x14ac:dyDescent="0.2">
      <c r="A42" s="11" t="s">
        <v>30</v>
      </c>
    </row>
    <row r="43" spans="1:4" x14ac:dyDescent="0.2">
      <c r="A43" s="11" t="s">
        <v>31</v>
      </c>
    </row>
    <row r="44" spans="1:4" x14ac:dyDescent="0.2">
      <c r="A44" s="11" t="s">
        <v>32</v>
      </c>
    </row>
    <row r="45" spans="1:4" x14ac:dyDescent="0.2">
      <c r="A45" s="11" t="s">
        <v>35</v>
      </c>
    </row>
    <row r="46" spans="1:4" x14ac:dyDescent="0.2">
      <c r="A46" s="11" t="s">
        <v>33</v>
      </c>
    </row>
    <row r="47" spans="1:4" x14ac:dyDescent="0.2">
      <c r="A47" s="11" t="s">
        <v>34</v>
      </c>
    </row>
    <row r="49" spans="1:1" x14ac:dyDescent="0.2">
      <c r="A49" s="11" t="s">
        <v>43</v>
      </c>
    </row>
    <row r="50" spans="1:1" x14ac:dyDescent="0.2">
      <c r="A50" s="11" t="s">
        <v>44</v>
      </c>
    </row>
    <row r="51" spans="1:1" x14ac:dyDescent="0.2">
      <c r="A51" s="11" t="s">
        <v>45</v>
      </c>
    </row>
    <row r="52" spans="1:1" x14ac:dyDescent="0.2">
      <c r="A52" s="11" t="s">
        <v>46</v>
      </c>
    </row>
    <row r="53" spans="1:1" x14ac:dyDescent="0.2">
      <c r="A53" s="11" t="s">
        <v>47</v>
      </c>
    </row>
    <row r="54" spans="1:1" x14ac:dyDescent="0.2">
      <c r="A54" s="11" t="s">
        <v>48</v>
      </c>
    </row>
    <row r="55" spans="1:1" x14ac:dyDescent="0.2">
      <c r="A55" s="11" t="s">
        <v>49</v>
      </c>
    </row>
    <row r="56" spans="1:1" x14ac:dyDescent="0.2">
      <c r="A56" s="11" t="s">
        <v>50</v>
      </c>
    </row>
    <row r="57" spans="1:1" x14ac:dyDescent="0.2">
      <c r="A57" s="11" t="s">
        <v>51</v>
      </c>
    </row>
    <row r="58" spans="1:1" x14ac:dyDescent="0.2">
      <c r="A58" s="11" t="s">
        <v>52</v>
      </c>
    </row>
    <row r="59" spans="1:1" x14ac:dyDescent="0.2">
      <c r="A59" s="11" t="s">
        <v>53</v>
      </c>
    </row>
    <row r="60" spans="1:1" x14ac:dyDescent="0.2">
      <c r="A60" s="11" t="s">
        <v>54</v>
      </c>
    </row>
    <row r="62" spans="1:1" ht="26.25" x14ac:dyDescent="0.2">
      <c r="A62" s="17" t="s">
        <v>2793</v>
      </c>
    </row>
    <row r="63" spans="1:1" ht="28.5" customHeight="1" x14ac:dyDescent="0.2">
      <c r="A63" s="17" t="s">
        <v>2794</v>
      </c>
    </row>
    <row r="64" spans="1:1" ht="28.5" customHeight="1" x14ac:dyDescent="0.2">
      <c r="A64" s="17" t="s">
        <v>2795</v>
      </c>
    </row>
    <row r="65" spans="1:1" ht="29.25" customHeight="1" x14ac:dyDescent="0.2">
      <c r="A65" s="17" t="s">
        <v>2796</v>
      </c>
    </row>
    <row r="66" spans="1:1" x14ac:dyDescent="0.2">
      <c r="A66" s="13"/>
    </row>
    <row r="68" spans="1:1" x14ac:dyDescent="0.2">
      <c r="A68" s="11" t="s">
        <v>61</v>
      </c>
    </row>
    <row r="69" spans="1:1" x14ac:dyDescent="0.2">
      <c r="A69" s="11" t="s">
        <v>62</v>
      </c>
    </row>
    <row r="70" spans="1:1" x14ac:dyDescent="0.2">
      <c r="A70" s="11" t="s">
        <v>63</v>
      </c>
    </row>
    <row r="71" spans="1:1" x14ac:dyDescent="0.2">
      <c r="A71" s="11" t="s">
        <v>64</v>
      </c>
    </row>
    <row r="72" spans="1:1" x14ac:dyDescent="0.2">
      <c r="A72" s="11" t="s">
        <v>76</v>
      </c>
    </row>
    <row r="73" spans="1:1" x14ac:dyDescent="0.2">
      <c r="A73" s="11" t="s">
        <v>65</v>
      </c>
    </row>
    <row r="74" spans="1:1" x14ac:dyDescent="0.2">
      <c r="A74" s="11" t="s">
        <v>66</v>
      </c>
    </row>
    <row r="75" spans="1:1" x14ac:dyDescent="0.2">
      <c r="A75" s="11" t="s">
        <v>67</v>
      </c>
    </row>
    <row r="76" spans="1:1" x14ac:dyDescent="0.2">
      <c r="A76" s="11" t="s">
        <v>68</v>
      </c>
    </row>
    <row r="77" spans="1:1" x14ac:dyDescent="0.2">
      <c r="A77" s="11" t="s">
        <v>69</v>
      </c>
    </row>
    <row r="78" spans="1:1" x14ac:dyDescent="0.2">
      <c r="A78" s="11" t="s">
        <v>70</v>
      </c>
    </row>
    <row r="79" spans="1:1" x14ac:dyDescent="0.2">
      <c r="A79" s="11" t="s">
        <v>71</v>
      </c>
    </row>
    <row r="80" spans="1:1" x14ac:dyDescent="0.2">
      <c r="A80" s="11" t="s">
        <v>72</v>
      </c>
    </row>
    <row r="81" spans="1:1" x14ac:dyDescent="0.2">
      <c r="A81" s="11" t="s">
        <v>73</v>
      </c>
    </row>
    <row r="82" spans="1:1" x14ac:dyDescent="0.2">
      <c r="A82" s="11" t="s">
        <v>74</v>
      </c>
    </row>
    <row r="83" spans="1:1" x14ac:dyDescent="0.2">
      <c r="A83" s="11" t="s">
        <v>75</v>
      </c>
    </row>
    <row r="85" spans="1:1" x14ac:dyDescent="0.2">
      <c r="A85" s="12" t="s">
        <v>77</v>
      </c>
    </row>
    <row r="86" spans="1:1" x14ac:dyDescent="0.2">
      <c r="A86" s="12" t="s">
        <v>78</v>
      </c>
    </row>
    <row r="87" spans="1:1" x14ac:dyDescent="0.2">
      <c r="A87" s="12" t="s">
        <v>79</v>
      </c>
    </row>
    <row r="88" spans="1:1" x14ac:dyDescent="0.2">
      <c r="A88" s="12" t="s">
        <v>80</v>
      </c>
    </row>
    <row r="89" spans="1:1" x14ac:dyDescent="0.2">
      <c r="A89" s="12" t="s">
        <v>81</v>
      </c>
    </row>
    <row r="90" spans="1:1" x14ac:dyDescent="0.2">
      <c r="A90" s="12" t="s">
        <v>82</v>
      </c>
    </row>
    <row r="91" spans="1:1" x14ac:dyDescent="0.2">
      <c r="A91" s="12" t="s">
        <v>83</v>
      </c>
    </row>
    <row r="92" spans="1:1" x14ac:dyDescent="0.2">
      <c r="A92" s="12" t="s">
        <v>84</v>
      </c>
    </row>
    <row r="93" spans="1:1" x14ac:dyDescent="0.2">
      <c r="A93" s="12" t="s">
        <v>85</v>
      </c>
    </row>
    <row r="94" spans="1:1" x14ac:dyDescent="0.2">
      <c r="A94" s="12" t="s">
        <v>86</v>
      </c>
    </row>
    <row r="95" spans="1:1" x14ac:dyDescent="0.2">
      <c r="A95" s="12" t="s">
        <v>87</v>
      </c>
    </row>
    <row r="96" spans="1:1" x14ac:dyDescent="0.2">
      <c r="A96" s="12" t="s">
        <v>88</v>
      </c>
    </row>
    <row r="97" spans="1:1" x14ac:dyDescent="0.2">
      <c r="A97" s="12" t="s">
        <v>88</v>
      </c>
    </row>
    <row r="98" spans="1:1" x14ac:dyDescent="0.2">
      <c r="A98" s="12" t="s">
        <v>89</v>
      </c>
    </row>
    <row r="99" spans="1:1" x14ac:dyDescent="0.2">
      <c r="A99" s="12" t="s">
        <v>90</v>
      </c>
    </row>
    <row r="100" spans="1:1" x14ac:dyDescent="0.2">
      <c r="A100" s="12" t="s">
        <v>91</v>
      </c>
    </row>
    <row r="101" spans="1:1" x14ac:dyDescent="0.2">
      <c r="A101" s="12" t="s">
        <v>92</v>
      </c>
    </row>
    <row r="102" spans="1:1" x14ac:dyDescent="0.2">
      <c r="A102" s="12" t="s">
        <v>93</v>
      </c>
    </row>
    <row r="103" spans="1:1" x14ac:dyDescent="0.2">
      <c r="A103" s="12" t="s">
        <v>94</v>
      </c>
    </row>
    <row r="104" spans="1:1" x14ac:dyDescent="0.2">
      <c r="A104" s="12" t="s">
        <v>95</v>
      </c>
    </row>
    <row r="105" spans="1:1" x14ac:dyDescent="0.2">
      <c r="A105" s="12" t="s">
        <v>96</v>
      </c>
    </row>
    <row r="106" spans="1:1" x14ac:dyDescent="0.2">
      <c r="A106" s="12" t="s">
        <v>97</v>
      </c>
    </row>
    <row r="107" spans="1:1" x14ac:dyDescent="0.2">
      <c r="A107" s="12" t="s">
        <v>97</v>
      </c>
    </row>
    <row r="108" spans="1:1" x14ac:dyDescent="0.2">
      <c r="A108" s="12" t="s">
        <v>98</v>
      </c>
    </row>
    <row r="109" spans="1:1" x14ac:dyDescent="0.2">
      <c r="A109" s="12" t="s">
        <v>99</v>
      </c>
    </row>
    <row r="110" spans="1:1" x14ac:dyDescent="0.2">
      <c r="A110" s="12" t="s">
        <v>100</v>
      </c>
    </row>
    <row r="111" spans="1:1" x14ac:dyDescent="0.2">
      <c r="A111" s="12" t="s">
        <v>101</v>
      </c>
    </row>
    <row r="112" spans="1:1" x14ac:dyDescent="0.2">
      <c r="A112" s="12" t="s">
        <v>102</v>
      </c>
    </row>
    <row r="113" spans="1:1" x14ac:dyDescent="0.2">
      <c r="A113" s="12" t="s">
        <v>103</v>
      </c>
    </row>
    <row r="114" spans="1:1" x14ac:dyDescent="0.2">
      <c r="A114" s="12" t="s">
        <v>104</v>
      </c>
    </row>
    <row r="115" spans="1:1" x14ac:dyDescent="0.2">
      <c r="A115" s="12" t="s">
        <v>105</v>
      </c>
    </row>
    <row r="116" spans="1:1" x14ac:dyDescent="0.2">
      <c r="A116" s="12" t="s">
        <v>106</v>
      </c>
    </row>
    <row r="117" spans="1:1" x14ac:dyDescent="0.2">
      <c r="A117" s="12" t="s">
        <v>107</v>
      </c>
    </row>
    <row r="118" spans="1:1" x14ac:dyDescent="0.2">
      <c r="A118" s="12" t="s">
        <v>108</v>
      </c>
    </row>
    <row r="119" spans="1:1" x14ac:dyDescent="0.2">
      <c r="A119" s="12" t="s">
        <v>109</v>
      </c>
    </row>
    <row r="120" spans="1:1" x14ac:dyDescent="0.2">
      <c r="A120" s="12" t="s">
        <v>110</v>
      </c>
    </row>
    <row r="121" spans="1:1" x14ac:dyDescent="0.2">
      <c r="A121" s="12" t="s">
        <v>111</v>
      </c>
    </row>
    <row r="122" spans="1:1" x14ac:dyDescent="0.2">
      <c r="A122" s="12" t="s">
        <v>112</v>
      </c>
    </row>
    <row r="123" spans="1:1" x14ac:dyDescent="0.2">
      <c r="A123" s="12" t="s">
        <v>113</v>
      </c>
    </row>
    <row r="124" spans="1:1" x14ac:dyDescent="0.2">
      <c r="A124" s="12" t="s">
        <v>114</v>
      </c>
    </row>
    <row r="125" spans="1:1" x14ac:dyDescent="0.2">
      <c r="A125" s="12" t="s">
        <v>115</v>
      </c>
    </row>
    <row r="126" spans="1:1" x14ac:dyDescent="0.2">
      <c r="A126" s="12" t="s">
        <v>116</v>
      </c>
    </row>
    <row r="127" spans="1:1" x14ac:dyDescent="0.2">
      <c r="A127" s="12" t="s">
        <v>117</v>
      </c>
    </row>
    <row r="128" spans="1:1" x14ac:dyDescent="0.2">
      <c r="A128" s="12" t="s">
        <v>118</v>
      </c>
    </row>
    <row r="129" spans="1:1" x14ac:dyDescent="0.2">
      <c r="A129" s="12" t="s">
        <v>119</v>
      </c>
    </row>
    <row r="130" spans="1:1" x14ac:dyDescent="0.2">
      <c r="A130" s="12" t="s">
        <v>120</v>
      </c>
    </row>
    <row r="131" spans="1:1" x14ac:dyDescent="0.2">
      <c r="A131" s="12" t="s">
        <v>121</v>
      </c>
    </row>
    <row r="132" spans="1:1" x14ac:dyDescent="0.2">
      <c r="A132" s="12" t="s">
        <v>122</v>
      </c>
    </row>
    <row r="133" spans="1:1" x14ac:dyDescent="0.2">
      <c r="A133" s="12" t="s">
        <v>123</v>
      </c>
    </row>
    <row r="134" spans="1:1" x14ac:dyDescent="0.2">
      <c r="A134" s="12" t="s">
        <v>124</v>
      </c>
    </row>
    <row r="135" spans="1:1" x14ac:dyDescent="0.2">
      <c r="A135" s="12" t="s">
        <v>125</v>
      </c>
    </row>
    <row r="136" spans="1:1" x14ac:dyDescent="0.2">
      <c r="A136" s="12" t="s">
        <v>126</v>
      </c>
    </row>
    <row r="137" spans="1:1" x14ac:dyDescent="0.2">
      <c r="A137" s="12" t="s">
        <v>127</v>
      </c>
    </row>
    <row r="138" spans="1:1" x14ac:dyDescent="0.2">
      <c r="A138" s="12" t="s">
        <v>128</v>
      </c>
    </row>
    <row r="139" spans="1:1" x14ac:dyDescent="0.2">
      <c r="A139" s="12" t="s">
        <v>129</v>
      </c>
    </row>
    <row r="140" spans="1:1" x14ac:dyDescent="0.2">
      <c r="A140" s="12" t="s">
        <v>130</v>
      </c>
    </row>
    <row r="141" spans="1:1" x14ac:dyDescent="0.2">
      <c r="A141" s="12" t="s">
        <v>131</v>
      </c>
    </row>
    <row r="142" spans="1:1" x14ac:dyDescent="0.2">
      <c r="A142" s="12" t="s">
        <v>132</v>
      </c>
    </row>
    <row r="143" spans="1:1" x14ac:dyDescent="0.2">
      <c r="A143" s="12" t="s">
        <v>133</v>
      </c>
    </row>
    <row r="144" spans="1:1" x14ac:dyDescent="0.2">
      <c r="A144" s="12" t="s">
        <v>134</v>
      </c>
    </row>
    <row r="145" spans="1:1" x14ac:dyDescent="0.2">
      <c r="A145" s="12" t="s">
        <v>135</v>
      </c>
    </row>
    <row r="146" spans="1:1" x14ac:dyDescent="0.2">
      <c r="A146" s="12" t="s">
        <v>136</v>
      </c>
    </row>
    <row r="147" spans="1:1" x14ac:dyDescent="0.2">
      <c r="A147" s="12" t="s">
        <v>137</v>
      </c>
    </row>
    <row r="148" spans="1:1" x14ac:dyDescent="0.2">
      <c r="A148" s="12" t="s">
        <v>138</v>
      </c>
    </row>
    <row r="149" spans="1:1" x14ac:dyDescent="0.2">
      <c r="A149" s="12" t="s">
        <v>139</v>
      </c>
    </row>
    <row r="150" spans="1:1" x14ac:dyDescent="0.2">
      <c r="A150" s="12" t="s">
        <v>140</v>
      </c>
    </row>
    <row r="151" spans="1:1" x14ac:dyDescent="0.2">
      <c r="A151" s="12" t="s">
        <v>141</v>
      </c>
    </row>
    <row r="152" spans="1:1" x14ac:dyDescent="0.2">
      <c r="A152" s="12" t="s">
        <v>142</v>
      </c>
    </row>
    <row r="153" spans="1:1" x14ac:dyDescent="0.2">
      <c r="A153" s="12" t="s">
        <v>143</v>
      </c>
    </row>
    <row r="154" spans="1:1" x14ac:dyDescent="0.2">
      <c r="A154" s="12" t="s">
        <v>144</v>
      </c>
    </row>
    <row r="155" spans="1:1" x14ac:dyDescent="0.2">
      <c r="A155" s="12" t="s">
        <v>145</v>
      </c>
    </row>
    <row r="156" spans="1:1" x14ac:dyDescent="0.2">
      <c r="A156" s="12" t="s">
        <v>146</v>
      </c>
    </row>
    <row r="157" spans="1:1" x14ac:dyDescent="0.2">
      <c r="A157" s="12" t="s">
        <v>147</v>
      </c>
    </row>
    <row r="158" spans="1:1" x14ac:dyDescent="0.2">
      <c r="A158" s="12" t="s">
        <v>148</v>
      </c>
    </row>
    <row r="159" spans="1:1" x14ac:dyDescent="0.2">
      <c r="A159" s="12" t="s">
        <v>148</v>
      </c>
    </row>
    <row r="160" spans="1:1" x14ac:dyDescent="0.2">
      <c r="A160" s="12" t="s">
        <v>149</v>
      </c>
    </row>
    <row r="161" spans="1:1" x14ac:dyDescent="0.2">
      <c r="A161" s="12" t="s">
        <v>150</v>
      </c>
    </row>
    <row r="162" spans="1:1" x14ac:dyDescent="0.2">
      <c r="A162" s="12" t="s">
        <v>151</v>
      </c>
    </row>
    <row r="163" spans="1:1" x14ac:dyDescent="0.2">
      <c r="A163" s="12" t="s">
        <v>152</v>
      </c>
    </row>
    <row r="164" spans="1:1" x14ac:dyDescent="0.2">
      <c r="A164" s="12" t="s">
        <v>153</v>
      </c>
    </row>
    <row r="165" spans="1:1" x14ac:dyDescent="0.2">
      <c r="A165" s="12" t="s">
        <v>154</v>
      </c>
    </row>
    <row r="166" spans="1:1" x14ac:dyDescent="0.2">
      <c r="A166" s="12" t="s">
        <v>155</v>
      </c>
    </row>
    <row r="167" spans="1:1" x14ac:dyDescent="0.2">
      <c r="A167" s="12" t="s">
        <v>156</v>
      </c>
    </row>
    <row r="168" spans="1:1" x14ac:dyDescent="0.2">
      <c r="A168" s="12" t="s">
        <v>157</v>
      </c>
    </row>
    <row r="169" spans="1:1" x14ac:dyDescent="0.2">
      <c r="A169" s="12" t="s">
        <v>158</v>
      </c>
    </row>
    <row r="170" spans="1:1" x14ac:dyDescent="0.2">
      <c r="A170" s="12" t="s">
        <v>159</v>
      </c>
    </row>
    <row r="171" spans="1:1" x14ac:dyDescent="0.2">
      <c r="A171" s="12" t="s">
        <v>160</v>
      </c>
    </row>
    <row r="172" spans="1:1" x14ac:dyDescent="0.2">
      <c r="A172" s="12" t="s">
        <v>161</v>
      </c>
    </row>
    <row r="173" spans="1:1" x14ac:dyDescent="0.2">
      <c r="A173" s="12" t="s">
        <v>162</v>
      </c>
    </row>
    <row r="174" spans="1:1" x14ac:dyDescent="0.2">
      <c r="A174" s="12" t="s">
        <v>163</v>
      </c>
    </row>
    <row r="175" spans="1:1" x14ac:dyDescent="0.2">
      <c r="A175" s="12" t="s">
        <v>164</v>
      </c>
    </row>
    <row r="176" spans="1:1" x14ac:dyDescent="0.2">
      <c r="A176" s="12" t="s">
        <v>165</v>
      </c>
    </row>
    <row r="177" spans="1:1" x14ac:dyDescent="0.2">
      <c r="A177" s="12" t="s">
        <v>166</v>
      </c>
    </row>
    <row r="178" spans="1:1" x14ac:dyDescent="0.2">
      <c r="A178" s="12" t="s">
        <v>167</v>
      </c>
    </row>
    <row r="179" spans="1:1" x14ac:dyDescent="0.2">
      <c r="A179" s="12" t="s">
        <v>168</v>
      </c>
    </row>
    <row r="180" spans="1:1" x14ac:dyDescent="0.2">
      <c r="A180" s="12" t="s">
        <v>169</v>
      </c>
    </row>
    <row r="181" spans="1:1" x14ac:dyDescent="0.2">
      <c r="A181" s="12" t="s">
        <v>170</v>
      </c>
    </row>
    <row r="182" spans="1:1" x14ac:dyDescent="0.2">
      <c r="A182" s="12" t="s">
        <v>171</v>
      </c>
    </row>
    <row r="183" spans="1:1" x14ac:dyDescent="0.2">
      <c r="A183" s="12" t="s">
        <v>172</v>
      </c>
    </row>
    <row r="184" spans="1:1" x14ac:dyDescent="0.2">
      <c r="A184" s="12" t="s">
        <v>173</v>
      </c>
    </row>
    <row r="185" spans="1:1" x14ac:dyDescent="0.2">
      <c r="A185" s="12" t="s">
        <v>174</v>
      </c>
    </row>
    <row r="186" spans="1:1" x14ac:dyDescent="0.2">
      <c r="A186" s="12" t="s">
        <v>175</v>
      </c>
    </row>
    <row r="187" spans="1:1" x14ac:dyDescent="0.2">
      <c r="A187" s="12" t="s">
        <v>176</v>
      </c>
    </row>
    <row r="188" spans="1:1" x14ac:dyDescent="0.2">
      <c r="A188" s="12" t="s">
        <v>177</v>
      </c>
    </row>
    <row r="189" spans="1:1" x14ac:dyDescent="0.2">
      <c r="A189" s="12" t="s">
        <v>178</v>
      </c>
    </row>
    <row r="190" spans="1:1" x14ac:dyDescent="0.2">
      <c r="A190" s="12" t="s">
        <v>179</v>
      </c>
    </row>
    <row r="191" spans="1:1" x14ac:dyDescent="0.2">
      <c r="A191" s="12" t="s">
        <v>180</v>
      </c>
    </row>
    <row r="192" spans="1:1" x14ac:dyDescent="0.2">
      <c r="A192" s="12" t="s">
        <v>181</v>
      </c>
    </row>
    <row r="193" spans="1:1" x14ac:dyDescent="0.2">
      <c r="A193" s="12" t="s">
        <v>182</v>
      </c>
    </row>
    <row r="194" spans="1:1" x14ac:dyDescent="0.2">
      <c r="A194" s="12" t="s">
        <v>183</v>
      </c>
    </row>
    <row r="195" spans="1:1" x14ac:dyDescent="0.2">
      <c r="A195" s="12" t="s">
        <v>184</v>
      </c>
    </row>
    <row r="196" spans="1:1" x14ac:dyDescent="0.2">
      <c r="A196" s="12" t="s">
        <v>185</v>
      </c>
    </row>
    <row r="197" spans="1:1" x14ac:dyDescent="0.2">
      <c r="A197" s="12" t="s">
        <v>186</v>
      </c>
    </row>
    <row r="198" spans="1:1" x14ac:dyDescent="0.2">
      <c r="A198" s="12" t="s">
        <v>187</v>
      </c>
    </row>
    <row r="199" spans="1:1" x14ac:dyDescent="0.2">
      <c r="A199" s="12" t="s">
        <v>188</v>
      </c>
    </row>
    <row r="200" spans="1:1" x14ac:dyDescent="0.2">
      <c r="A200" s="12" t="s">
        <v>189</v>
      </c>
    </row>
    <row r="201" spans="1:1" x14ac:dyDescent="0.2">
      <c r="A201" s="12" t="s">
        <v>190</v>
      </c>
    </row>
    <row r="202" spans="1:1" x14ac:dyDescent="0.2">
      <c r="A202" s="12" t="s">
        <v>191</v>
      </c>
    </row>
    <row r="203" spans="1:1" x14ac:dyDescent="0.2">
      <c r="A203" s="12" t="s">
        <v>192</v>
      </c>
    </row>
    <row r="204" spans="1:1" x14ac:dyDescent="0.2">
      <c r="A204" s="12" t="s">
        <v>193</v>
      </c>
    </row>
    <row r="205" spans="1:1" x14ac:dyDescent="0.2">
      <c r="A205" s="12" t="s">
        <v>194</v>
      </c>
    </row>
    <row r="206" spans="1:1" x14ac:dyDescent="0.2">
      <c r="A206" s="12" t="s">
        <v>195</v>
      </c>
    </row>
    <row r="207" spans="1:1" x14ac:dyDescent="0.2">
      <c r="A207" s="12" t="s">
        <v>196</v>
      </c>
    </row>
    <row r="208" spans="1:1" x14ac:dyDescent="0.2">
      <c r="A208" s="12" t="s">
        <v>197</v>
      </c>
    </row>
    <row r="209" spans="1:1" x14ac:dyDescent="0.2">
      <c r="A209" s="12" t="s">
        <v>198</v>
      </c>
    </row>
    <row r="210" spans="1:1" x14ac:dyDescent="0.2">
      <c r="A210" s="12" t="s">
        <v>199</v>
      </c>
    </row>
    <row r="211" spans="1:1" x14ac:dyDescent="0.2">
      <c r="A211" s="12" t="s">
        <v>200</v>
      </c>
    </row>
    <row r="212" spans="1:1" x14ac:dyDescent="0.2">
      <c r="A212" s="12" t="s">
        <v>201</v>
      </c>
    </row>
    <row r="213" spans="1:1" x14ac:dyDescent="0.2">
      <c r="A213" s="12" t="s">
        <v>201</v>
      </c>
    </row>
    <row r="214" spans="1:1" x14ac:dyDescent="0.2">
      <c r="A214" s="12" t="s">
        <v>202</v>
      </c>
    </row>
    <row r="215" spans="1:1" x14ac:dyDescent="0.2">
      <c r="A215" s="12" t="s">
        <v>203</v>
      </c>
    </row>
    <row r="216" spans="1:1" x14ac:dyDescent="0.2">
      <c r="A216" s="12" t="s">
        <v>204</v>
      </c>
    </row>
    <row r="217" spans="1:1" x14ac:dyDescent="0.2">
      <c r="A217" s="12" t="s">
        <v>205</v>
      </c>
    </row>
    <row r="218" spans="1:1" x14ac:dyDescent="0.2">
      <c r="A218" s="12" t="s">
        <v>206</v>
      </c>
    </row>
    <row r="219" spans="1:1" x14ac:dyDescent="0.2">
      <c r="A219" s="12" t="s">
        <v>207</v>
      </c>
    </row>
    <row r="220" spans="1:1" x14ac:dyDescent="0.2">
      <c r="A220" s="12" t="s">
        <v>208</v>
      </c>
    </row>
    <row r="221" spans="1:1" x14ac:dyDescent="0.2">
      <c r="A221" s="12" t="s">
        <v>209</v>
      </c>
    </row>
    <row r="222" spans="1:1" x14ac:dyDescent="0.2">
      <c r="A222" s="12" t="s">
        <v>210</v>
      </c>
    </row>
    <row r="223" spans="1:1" x14ac:dyDescent="0.2">
      <c r="A223" s="12" t="s">
        <v>211</v>
      </c>
    </row>
    <row r="224" spans="1:1" x14ac:dyDescent="0.2">
      <c r="A224" s="12" t="s">
        <v>212</v>
      </c>
    </row>
    <row r="225" spans="1:1" x14ac:dyDescent="0.2">
      <c r="A225" s="12" t="s">
        <v>213</v>
      </c>
    </row>
    <row r="226" spans="1:1" x14ac:dyDescent="0.2">
      <c r="A226" s="12" t="s">
        <v>214</v>
      </c>
    </row>
    <row r="227" spans="1:1" x14ac:dyDescent="0.2">
      <c r="A227" s="12" t="s">
        <v>215</v>
      </c>
    </row>
    <row r="228" spans="1:1" x14ac:dyDescent="0.2">
      <c r="A228" s="12" t="s">
        <v>216</v>
      </c>
    </row>
    <row r="229" spans="1:1" x14ac:dyDescent="0.2">
      <c r="A229" s="12" t="s">
        <v>217</v>
      </c>
    </row>
    <row r="230" spans="1:1" x14ac:dyDescent="0.2">
      <c r="A230" s="12" t="s">
        <v>218</v>
      </c>
    </row>
    <row r="231" spans="1:1" x14ac:dyDescent="0.2">
      <c r="A231" s="12" t="s">
        <v>219</v>
      </c>
    </row>
    <row r="232" spans="1:1" x14ac:dyDescent="0.2">
      <c r="A232" s="12" t="s">
        <v>220</v>
      </c>
    </row>
    <row r="233" spans="1:1" x14ac:dyDescent="0.2">
      <c r="A233" s="12" t="s">
        <v>221</v>
      </c>
    </row>
    <row r="234" spans="1:1" x14ac:dyDescent="0.2">
      <c r="A234" s="12" t="s">
        <v>222</v>
      </c>
    </row>
    <row r="235" spans="1:1" x14ac:dyDescent="0.2">
      <c r="A235" s="12" t="s">
        <v>223</v>
      </c>
    </row>
    <row r="236" spans="1:1" x14ac:dyDescent="0.2">
      <c r="A236" s="12" t="s">
        <v>224</v>
      </c>
    </row>
    <row r="237" spans="1:1" x14ac:dyDescent="0.2">
      <c r="A237" s="12" t="s">
        <v>225</v>
      </c>
    </row>
    <row r="238" spans="1:1" x14ac:dyDescent="0.2">
      <c r="A238" s="12" t="s">
        <v>226</v>
      </c>
    </row>
    <row r="239" spans="1:1" x14ac:dyDescent="0.2">
      <c r="A239" s="12" t="s">
        <v>227</v>
      </c>
    </row>
    <row r="240" spans="1:1" x14ac:dyDescent="0.2">
      <c r="A240" s="12" t="s">
        <v>228</v>
      </c>
    </row>
    <row r="241" spans="1:1" x14ac:dyDescent="0.2">
      <c r="A241" s="12" t="s">
        <v>229</v>
      </c>
    </row>
    <row r="242" spans="1:1" x14ac:dyDescent="0.2">
      <c r="A242" s="12" t="s">
        <v>230</v>
      </c>
    </row>
    <row r="243" spans="1:1" x14ac:dyDescent="0.2">
      <c r="A243" s="12" t="s">
        <v>231</v>
      </c>
    </row>
    <row r="244" spans="1:1" x14ac:dyDescent="0.2">
      <c r="A244" s="12" t="s">
        <v>232</v>
      </c>
    </row>
    <row r="245" spans="1:1" x14ac:dyDescent="0.2">
      <c r="A245" s="12" t="s">
        <v>233</v>
      </c>
    </row>
    <row r="246" spans="1:1" x14ac:dyDescent="0.2">
      <c r="A246" s="12" t="s">
        <v>234</v>
      </c>
    </row>
    <row r="247" spans="1:1" x14ac:dyDescent="0.2">
      <c r="A247" s="12" t="s">
        <v>235</v>
      </c>
    </row>
    <row r="248" spans="1:1" x14ac:dyDescent="0.2">
      <c r="A248" s="12" t="s">
        <v>236</v>
      </c>
    </row>
    <row r="249" spans="1:1" x14ac:dyDescent="0.2">
      <c r="A249" s="12" t="s">
        <v>237</v>
      </c>
    </row>
    <row r="250" spans="1:1" x14ac:dyDescent="0.2">
      <c r="A250" s="12" t="s">
        <v>238</v>
      </c>
    </row>
    <row r="251" spans="1:1" x14ac:dyDescent="0.2">
      <c r="A251" s="12" t="s">
        <v>239</v>
      </c>
    </row>
    <row r="252" spans="1:1" x14ac:dyDescent="0.2">
      <c r="A252" s="12" t="s">
        <v>240</v>
      </c>
    </row>
    <row r="253" spans="1:1" x14ac:dyDescent="0.2">
      <c r="A253" s="12" t="s">
        <v>241</v>
      </c>
    </row>
    <row r="254" spans="1:1" x14ac:dyDescent="0.2">
      <c r="A254" s="12" t="s">
        <v>242</v>
      </c>
    </row>
    <row r="255" spans="1:1" x14ac:dyDescent="0.2">
      <c r="A255" s="12" t="s">
        <v>243</v>
      </c>
    </row>
    <row r="256" spans="1:1" x14ac:dyDescent="0.2">
      <c r="A256" s="12" t="s">
        <v>244</v>
      </c>
    </row>
    <row r="257" spans="1:1" x14ac:dyDescent="0.2">
      <c r="A257" s="12" t="s">
        <v>245</v>
      </c>
    </row>
    <row r="258" spans="1:1" x14ac:dyDescent="0.2">
      <c r="A258" s="12" t="s">
        <v>246</v>
      </c>
    </row>
    <row r="259" spans="1:1" x14ac:dyDescent="0.2">
      <c r="A259" s="12" t="s">
        <v>247</v>
      </c>
    </row>
    <row r="260" spans="1:1" x14ac:dyDescent="0.2">
      <c r="A260" s="12" t="s">
        <v>248</v>
      </c>
    </row>
    <row r="261" spans="1:1" x14ac:dyDescent="0.2">
      <c r="A261" s="12" t="s">
        <v>249</v>
      </c>
    </row>
    <row r="262" spans="1:1" x14ac:dyDescent="0.2">
      <c r="A262" s="12" t="s">
        <v>250</v>
      </c>
    </row>
    <row r="263" spans="1:1" x14ac:dyDescent="0.2">
      <c r="A263" s="12" t="s">
        <v>251</v>
      </c>
    </row>
    <row r="264" spans="1:1" x14ac:dyDescent="0.2">
      <c r="A264" s="12" t="s">
        <v>252</v>
      </c>
    </row>
    <row r="265" spans="1:1" x14ac:dyDescent="0.2">
      <c r="A265" s="12" t="s">
        <v>253</v>
      </c>
    </row>
    <row r="266" spans="1:1" x14ac:dyDescent="0.2">
      <c r="A266" s="12" t="s">
        <v>254</v>
      </c>
    </row>
    <row r="267" spans="1:1" x14ac:dyDescent="0.2">
      <c r="A267" s="12" t="s">
        <v>255</v>
      </c>
    </row>
    <row r="268" spans="1:1" x14ac:dyDescent="0.2">
      <c r="A268" s="12" t="s">
        <v>256</v>
      </c>
    </row>
    <row r="269" spans="1:1" x14ac:dyDescent="0.2">
      <c r="A269" s="12" t="s">
        <v>257</v>
      </c>
    </row>
    <row r="270" spans="1:1" x14ac:dyDescent="0.2">
      <c r="A270" s="12" t="s">
        <v>258</v>
      </c>
    </row>
    <row r="271" spans="1:1" x14ac:dyDescent="0.2">
      <c r="A271" s="12" t="s">
        <v>258</v>
      </c>
    </row>
    <row r="272" spans="1:1" x14ac:dyDescent="0.2">
      <c r="A272" s="12" t="s">
        <v>259</v>
      </c>
    </row>
    <row r="273" spans="1:1" x14ac:dyDescent="0.2">
      <c r="A273" s="12" t="s">
        <v>260</v>
      </c>
    </row>
    <row r="274" spans="1:1" x14ac:dyDescent="0.2">
      <c r="A274" s="12" t="s">
        <v>261</v>
      </c>
    </row>
    <row r="275" spans="1:1" x14ac:dyDescent="0.2">
      <c r="A275" s="12" t="s">
        <v>262</v>
      </c>
    </row>
    <row r="276" spans="1:1" x14ac:dyDescent="0.2">
      <c r="A276" s="12" t="s">
        <v>263</v>
      </c>
    </row>
    <row r="277" spans="1:1" x14ac:dyDescent="0.2">
      <c r="A277" s="12" t="s">
        <v>264</v>
      </c>
    </row>
    <row r="278" spans="1:1" x14ac:dyDescent="0.2">
      <c r="A278" s="12" t="s">
        <v>265</v>
      </c>
    </row>
    <row r="279" spans="1:1" x14ac:dyDescent="0.2">
      <c r="A279" s="12" t="s">
        <v>266</v>
      </c>
    </row>
    <row r="280" spans="1:1" x14ac:dyDescent="0.2">
      <c r="A280" s="12" t="s">
        <v>267</v>
      </c>
    </row>
    <row r="281" spans="1:1" x14ac:dyDescent="0.2">
      <c r="A281" s="12" t="s">
        <v>268</v>
      </c>
    </row>
    <row r="282" spans="1:1" x14ac:dyDescent="0.2">
      <c r="A282" s="12" t="s">
        <v>269</v>
      </c>
    </row>
    <row r="283" spans="1:1" x14ac:dyDescent="0.2">
      <c r="A283" s="12" t="s">
        <v>270</v>
      </c>
    </row>
    <row r="284" spans="1:1" x14ac:dyDescent="0.2">
      <c r="A284" s="12" t="s">
        <v>271</v>
      </c>
    </row>
    <row r="285" spans="1:1" x14ac:dyDescent="0.2">
      <c r="A285" s="12" t="s">
        <v>272</v>
      </c>
    </row>
    <row r="286" spans="1:1" x14ac:dyDescent="0.2">
      <c r="A286" s="12" t="s">
        <v>273</v>
      </c>
    </row>
    <row r="287" spans="1:1" x14ac:dyDescent="0.2">
      <c r="A287" s="12" t="s">
        <v>274</v>
      </c>
    </row>
    <row r="288" spans="1:1" x14ac:dyDescent="0.2">
      <c r="A288" s="12" t="s">
        <v>275</v>
      </c>
    </row>
    <row r="289" spans="1:1" x14ac:dyDescent="0.2">
      <c r="A289" s="12" t="s">
        <v>276</v>
      </c>
    </row>
    <row r="290" spans="1:1" x14ac:dyDescent="0.2">
      <c r="A290" s="12" t="s">
        <v>277</v>
      </c>
    </row>
    <row r="291" spans="1:1" x14ac:dyDescent="0.2">
      <c r="A291" s="12" t="s">
        <v>277</v>
      </c>
    </row>
    <row r="292" spans="1:1" x14ac:dyDescent="0.2">
      <c r="A292" s="12" t="s">
        <v>278</v>
      </c>
    </row>
    <row r="293" spans="1:1" x14ac:dyDescent="0.2">
      <c r="A293" s="12" t="s">
        <v>279</v>
      </c>
    </row>
    <row r="294" spans="1:1" x14ac:dyDescent="0.2">
      <c r="A294" s="12" t="s">
        <v>280</v>
      </c>
    </row>
    <row r="295" spans="1:1" x14ac:dyDescent="0.2">
      <c r="A295" s="12" t="s">
        <v>281</v>
      </c>
    </row>
    <row r="296" spans="1:1" x14ac:dyDescent="0.2">
      <c r="A296" s="12" t="s">
        <v>281</v>
      </c>
    </row>
    <row r="297" spans="1:1" x14ac:dyDescent="0.2">
      <c r="A297" s="12" t="s">
        <v>282</v>
      </c>
    </row>
    <row r="298" spans="1:1" x14ac:dyDescent="0.2">
      <c r="A298" s="12" t="s">
        <v>283</v>
      </c>
    </row>
    <row r="299" spans="1:1" x14ac:dyDescent="0.2">
      <c r="A299" s="12" t="s">
        <v>284</v>
      </c>
    </row>
    <row r="300" spans="1:1" x14ac:dyDescent="0.2">
      <c r="A300" s="12" t="s">
        <v>285</v>
      </c>
    </row>
    <row r="301" spans="1:1" x14ac:dyDescent="0.2">
      <c r="A301" s="12" t="s">
        <v>286</v>
      </c>
    </row>
    <row r="302" spans="1:1" x14ac:dyDescent="0.2">
      <c r="A302" s="12" t="s">
        <v>287</v>
      </c>
    </row>
    <row r="303" spans="1:1" x14ac:dyDescent="0.2">
      <c r="A303" s="12" t="s">
        <v>288</v>
      </c>
    </row>
    <row r="304" spans="1:1" x14ac:dyDescent="0.2">
      <c r="A304" s="12" t="s">
        <v>289</v>
      </c>
    </row>
    <row r="305" spans="1:1" x14ac:dyDescent="0.2">
      <c r="A305" s="12" t="s">
        <v>290</v>
      </c>
    </row>
    <row r="306" spans="1:1" x14ac:dyDescent="0.2">
      <c r="A306" s="12" t="s">
        <v>291</v>
      </c>
    </row>
    <row r="307" spans="1:1" x14ac:dyDescent="0.2">
      <c r="A307" s="12" t="s">
        <v>292</v>
      </c>
    </row>
    <row r="308" spans="1:1" x14ac:dyDescent="0.2">
      <c r="A308" s="12" t="s">
        <v>293</v>
      </c>
    </row>
    <row r="309" spans="1:1" x14ac:dyDescent="0.2">
      <c r="A309" s="12" t="s">
        <v>294</v>
      </c>
    </row>
    <row r="310" spans="1:1" x14ac:dyDescent="0.2">
      <c r="A310" s="12" t="s">
        <v>295</v>
      </c>
    </row>
    <row r="311" spans="1:1" x14ac:dyDescent="0.2">
      <c r="A311" s="12" t="s">
        <v>296</v>
      </c>
    </row>
    <row r="312" spans="1:1" x14ac:dyDescent="0.2">
      <c r="A312" s="12" t="s">
        <v>297</v>
      </c>
    </row>
    <row r="313" spans="1:1" x14ac:dyDescent="0.2">
      <c r="A313" s="12" t="s">
        <v>298</v>
      </c>
    </row>
    <row r="314" spans="1:1" x14ac:dyDescent="0.2">
      <c r="A314" s="12" t="s">
        <v>299</v>
      </c>
    </row>
    <row r="315" spans="1:1" x14ac:dyDescent="0.2">
      <c r="A315" s="12" t="s">
        <v>300</v>
      </c>
    </row>
    <row r="316" spans="1:1" x14ac:dyDescent="0.2">
      <c r="A316" s="12" t="s">
        <v>301</v>
      </c>
    </row>
    <row r="317" spans="1:1" x14ac:dyDescent="0.2">
      <c r="A317" s="12" t="s">
        <v>302</v>
      </c>
    </row>
    <row r="318" spans="1:1" x14ac:dyDescent="0.2">
      <c r="A318" s="12" t="s">
        <v>303</v>
      </c>
    </row>
    <row r="319" spans="1:1" x14ac:dyDescent="0.2">
      <c r="A319" s="12" t="s">
        <v>304</v>
      </c>
    </row>
    <row r="320" spans="1:1" x14ac:dyDescent="0.2">
      <c r="A320" s="12" t="s">
        <v>305</v>
      </c>
    </row>
    <row r="321" spans="1:1" x14ac:dyDescent="0.2">
      <c r="A321" s="12" t="s">
        <v>306</v>
      </c>
    </row>
    <row r="322" spans="1:1" x14ac:dyDescent="0.2">
      <c r="A322" s="12" t="s">
        <v>307</v>
      </c>
    </row>
    <row r="323" spans="1:1" x14ac:dyDescent="0.2">
      <c r="A323" s="12" t="s">
        <v>308</v>
      </c>
    </row>
    <row r="324" spans="1:1" x14ac:dyDescent="0.2">
      <c r="A324" s="12" t="s">
        <v>309</v>
      </c>
    </row>
    <row r="325" spans="1:1" x14ac:dyDescent="0.2">
      <c r="A325" s="12" t="s">
        <v>310</v>
      </c>
    </row>
    <row r="326" spans="1:1" x14ac:dyDescent="0.2">
      <c r="A326" s="12" t="s">
        <v>311</v>
      </c>
    </row>
    <row r="327" spans="1:1" x14ac:dyDescent="0.2">
      <c r="A327" s="12" t="s">
        <v>312</v>
      </c>
    </row>
    <row r="328" spans="1:1" x14ac:dyDescent="0.2">
      <c r="A328" s="12" t="s">
        <v>313</v>
      </c>
    </row>
    <row r="329" spans="1:1" x14ac:dyDescent="0.2">
      <c r="A329" s="12" t="s">
        <v>314</v>
      </c>
    </row>
    <row r="330" spans="1:1" x14ac:dyDescent="0.2">
      <c r="A330" s="12" t="s">
        <v>315</v>
      </c>
    </row>
    <row r="331" spans="1:1" x14ac:dyDescent="0.2">
      <c r="A331" s="12" t="s">
        <v>316</v>
      </c>
    </row>
    <row r="332" spans="1:1" x14ac:dyDescent="0.2">
      <c r="A332" s="12" t="s">
        <v>317</v>
      </c>
    </row>
    <row r="333" spans="1:1" x14ac:dyDescent="0.2">
      <c r="A333" s="12" t="s">
        <v>318</v>
      </c>
    </row>
    <row r="334" spans="1:1" x14ac:dyDescent="0.2">
      <c r="A334" s="12" t="s">
        <v>319</v>
      </c>
    </row>
    <row r="335" spans="1:1" x14ac:dyDescent="0.2">
      <c r="A335" s="12" t="s">
        <v>320</v>
      </c>
    </row>
    <row r="336" spans="1:1" x14ac:dyDescent="0.2">
      <c r="A336" s="12" t="s">
        <v>321</v>
      </c>
    </row>
    <row r="337" spans="1:1" x14ac:dyDescent="0.2">
      <c r="A337" s="12" t="s">
        <v>322</v>
      </c>
    </row>
    <row r="338" spans="1:1" x14ac:dyDescent="0.2">
      <c r="A338" s="12" t="s">
        <v>323</v>
      </c>
    </row>
    <row r="339" spans="1:1" x14ac:dyDescent="0.2">
      <c r="A339" s="12" t="s">
        <v>324</v>
      </c>
    </row>
    <row r="340" spans="1:1" x14ac:dyDescent="0.2">
      <c r="A340" s="12" t="s">
        <v>325</v>
      </c>
    </row>
    <row r="341" spans="1:1" x14ac:dyDescent="0.2">
      <c r="A341" s="12" t="s">
        <v>326</v>
      </c>
    </row>
    <row r="342" spans="1:1" x14ac:dyDescent="0.2">
      <c r="A342" s="12" t="s">
        <v>327</v>
      </c>
    </row>
    <row r="343" spans="1:1" x14ac:dyDescent="0.2">
      <c r="A343" s="12" t="s">
        <v>328</v>
      </c>
    </row>
    <row r="344" spans="1:1" x14ac:dyDescent="0.2">
      <c r="A344" s="12" t="s">
        <v>329</v>
      </c>
    </row>
    <row r="345" spans="1:1" x14ac:dyDescent="0.2">
      <c r="A345" s="12" t="s">
        <v>330</v>
      </c>
    </row>
    <row r="346" spans="1:1" x14ac:dyDescent="0.2">
      <c r="A346" s="12" t="s">
        <v>331</v>
      </c>
    </row>
    <row r="347" spans="1:1" x14ac:dyDescent="0.2">
      <c r="A347" s="12" t="s">
        <v>332</v>
      </c>
    </row>
    <row r="348" spans="1:1" x14ac:dyDescent="0.2">
      <c r="A348" s="12" t="s">
        <v>333</v>
      </c>
    </row>
    <row r="349" spans="1:1" x14ac:dyDescent="0.2">
      <c r="A349" s="12" t="s">
        <v>334</v>
      </c>
    </row>
    <row r="350" spans="1:1" x14ac:dyDescent="0.2">
      <c r="A350" s="12" t="s">
        <v>335</v>
      </c>
    </row>
    <row r="351" spans="1:1" x14ac:dyDescent="0.2">
      <c r="A351" s="12" t="s">
        <v>336</v>
      </c>
    </row>
    <row r="352" spans="1:1" x14ac:dyDescent="0.2">
      <c r="A352" s="12" t="s">
        <v>337</v>
      </c>
    </row>
    <row r="353" spans="1:1" x14ac:dyDescent="0.2">
      <c r="A353" s="12" t="s">
        <v>338</v>
      </c>
    </row>
    <row r="354" spans="1:1" x14ac:dyDescent="0.2">
      <c r="A354" s="12" t="s">
        <v>339</v>
      </c>
    </row>
    <row r="355" spans="1:1" x14ac:dyDescent="0.2">
      <c r="A355" s="12" t="s">
        <v>340</v>
      </c>
    </row>
    <row r="356" spans="1:1" x14ac:dyDescent="0.2">
      <c r="A356" s="12" t="s">
        <v>341</v>
      </c>
    </row>
    <row r="357" spans="1:1" x14ac:dyDescent="0.2">
      <c r="A357" s="12" t="s">
        <v>342</v>
      </c>
    </row>
    <row r="358" spans="1:1" x14ac:dyDescent="0.2">
      <c r="A358" s="12" t="s">
        <v>343</v>
      </c>
    </row>
    <row r="359" spans="1:1" x14ac:dyDescent="0.2">
      <c r="A359" s="12" t="s">
        <v>344</v>
      </c>
    </row>
    <row r="360" spans="1:1" x14ac:dyDescent="0.2">
      <c r="A360" s="12" t="s">
        <v>345</v>
      </c>
    </row>
    <row r="361" spans="1:1" x14ac:dyDescent="0.2">
      <c r="A361" s="12" t="s">
        <v>346</v>
      </c>
    </row>
    <row r="362" spans="1:1" x14ac:dyDescent="0.2">
      <c r="A362" s="12" t="s">
        <v>347</v>
      </c>
    </row>
    <row r="363" spans="1:1" x14ac:dyDescent="0.2">
      <c r="A363" s="12" t="s">
        <v>348</v>
      </c>
    </row>
    <row r="364" spans="1:1" x14ac:dyDescent="0.2">
      <c r="A364" s="12" t="s">
        <v>349</v>
      </c>
    </row>
    <row r="365" spans="1:1" x14ac:dyDescent="0.2">
      <c r="A365" s="12" t="s">
        <v>350</v>
      </c>
    </row>
    <row r="366" spans="1:1" x14ac:dyDescent="0.2">
      <c r="A366" s="12" t="s">
        <v>351</v>
      </c>
    </row>
    <row r="367" spans="1:1" x14ac:dyDescent="0.2">
      <c r="A367" s="12" t="s">
        <v>352</v>
      </c>
    </row>
    <row r="368" spans="1:1" x14ac:dyDescent="0.2">
      <c r="A368" s="12" t="s">
        <v>353</v>
      </c>
    </row>
    <row r="369" spans="1:1" x14ac:dyDescent="0.2">
      <c r="A369" s="12" t="s">
        <v>354</v>
      </c>
    </row>
    <row r="370" spans="1:1" x14ac:dyDescent="0.2">
      <c r="A370" s="12" t="s">
        <v>355</v>
      </c>
    </row>
    <row r="371" spans="1:1" x14ac:dyDescent="0.2">
      <c r="A371" s="12" t="s">
        <v>356</v>
      </c>
    </row>
    <row r="372" spans="1:1" x14ac:dyDescent="0.2">
      <c r="A372" s="12" t="s">
        <v>357</v>
      </c>
    </row>
    <row r="373" spans="1:1" x14ac:dyDescent="0.2">
      <c r="A373" s="12" t="s">
        <v>358</v>
      </c>
    </row>
    <row r="374" spans="1:1" x14ac:dyDescent="0.2">
      <c r="A374" s="12" t="s">
        <v>359</v>
      </c>
    </row>
    <row r="375" spans="1:1" x14ac:dyDescent="0.2">
      <c r="A375" s="12" t="s">
        <v>360</v>
      </c>
    </row>
    <row r="376" spans="1:1" x14ac:dyDescent="0.2">
      <c r="A376" s="12" t="s">
        <v>361</v>
      </c>
    </row>
    <row r="377" spans="1:1" x14ac:dyDescent="0.2">
      <c r="A377" s="12" t="s">
        <v>362</v>
      </c>
    </row>
    <row r="378" spans="1:1" x14ac:dyDescent="0.2">
      <c r="A378" s="12" t="s">
        <v>363</v>
      </c>
    </row>
    <row r="379" spans="1:1" x14ac:dyDescent="0.2">
      <c r="A379" s="12" t="s">
        <v>364</v>
      </c>
    </row>
    <row r="380" spans="1:1" x14ac:dyDescent="0.2">
      <c r="A380" s="12" t="s">
        <v>365</v>
      </c>
    </row>
    <row r="381" spans="1:1" x14ac:dyDescent="0.2">
      <c r="A381" s="12" t="s">
        <v>366</v>
      </c>
    </row>
    <row r="382" spans="1:1" x14ac:dyDescent="0.2">
      <c r="A382" s="12" t="s">
        <v>367</v>
      </c>
    </row>
    <row r="383" spans="1:1" x14ac:dyDescent="0.2">
      <c r="A383" s="12" t="s">
        <v>368</v>
      </c>
    </row>
    <row r="384" spans="1:1" x14ac:dyDescent="0.2">
      <c r="A384" s="12" t="s">
        <v>369</v>
      </c>
    </row>
    <row r="385" spans="1:1" x14ac:dyDescent="0.2">
      <c r="A385" s="12" t="s">
        <v>370</v>
      </c>
    </row>
    <row r="386" spans="1:1" x14ac:dyDescent="0.2">
      <c r="A386" s="12" t="s">
        <v>371</v>
      </c>
    </row>
    <row r="387" spans="1:1" x14ac:dyDescent="0.2">
      <c r="A387" s="12" t="s">
        <v>372</v>
      </c>
    </row>
    <row r="388" spans="1:1" x14ac:dyDescent="0.2">
      <c r="A388" s="12" t="s">
        <v>373</v>
      </c>
    </row>
    <row r="389" spans="1:1" x14ac:dyDescent="0.2">
      <c r="A389" s="12" t="s">
        <v>374</v>
      </c>
    </row>
    <row r="390" spans="1:1" x14ac:dyDescent="0.2">
      <c r="A390" s="12" t="s">
        <v>375</v>
      </c>
    </row>
    <row r="391" spans="1:1" x14ac:dyDescent="0.2">
      <c r="A391" s="12" t="s">
        <v>376</v>
      </c>
    </row>
    <row r="392" spans="1:1" x14ac:dyDescent="0.2">
      <c r="A392" s="12" t="s">
        <v>376</v>
      </c>
    </row>
    <row r="393" spans="1:1" x14ac:dyDescent="0.2">
      <c r="A393" s="12" t="s">
        <v>377</v>
      </c>
    </row>
    <row r="394" spans="1:1" x14ac:dyDescent="0.2">
      <c r="A394" s="12" t="s">
        <v>378</v>
      </c>
    </row>
    <row r="395" spans="1:1" x14ac:dyDescent="0.2">
      <c r="A395" s="12" t="s">
        <v>378</v>
      </c>
    </row>
    <row r="396" spans="1:1" x14ac:dyDescent="0.2">
      <c r="A396" s="12" t="s">
        <v>379</v>
      </c>
    </row>
    <row r="397" spans="1:1" x14ac:dyDescent="0.2">
      <c r="A397" s="12" t="s">
        <v>380</v>
      </c>
    </row>
    <row r="398" spans="1:1" x14ac:dyDescent="0.2">
      <c r="A398" s="12" t="s">
        <v>381</v>
      </c>
    </row>
    <row r="399" spans="1:1" x14ac:dyDescent="0.2">
      <c r="A399" s="12" t="s">
        <v>382</v>
      </c>
    </row>
    <row r="400" spans="1:1" x14ac:dyDescent="0.2">
      <c r="A400" s="12" t="s">
        <v>383</v>
      </c>
    </row>
    <row r="401" spans="1:1" x14ac:dyDescent="0.2">
      <c r="A401" s="12" t="s">
        <v>384</v>
      </c>
    </row>
    <row r="402" spans="1:1" x14ac:dyDescent="0.2">
      <c r="A402" s="12" t="s">
        <v>385</v>
      </c>
    </row>
    <row r="403" spans="1:1" x14ac:dyDescent="0.2">
      <c r="A403" s="12" t="s">
        <v>386</v>
      </c>
    </row>
    <row r="404" spans="1:1" x14ac:dyDescent="0.2">
      <c r="A404" s="12" t="s">
        <v>387</v>
      </c>
    </row>
    <row r="405" spans="1:1" x14ac:dyDescent="0.2">
      <c r="A405" s="12" t="s">
        <v>388</v>
      </c>
    </row>
    <row r="406" spans="1:1" x14ac:dyDescent="0.2">
      <c r="A406" s="12" t="s">
        <v>389</v>
      </c>
    </row>
    <row r="407" spans="1:1" x14ac:dyDescent="0.2">
      <c r="A407" s="12" t="s">
        <v>390</v>
      </c>
    </row>
    <row r="408" spans="1:1" x14ac:dyDescent="0.2">
      <c r="A408" s="12" t="s">
        <v>391</v>
      </c>
    </row>
    <row r="409" spans="1:1" x14ac:dyDescent="0.2">
      <c r="A409" s="12" t="s">
        <v>391</v>
      </c>
    </row>
    <row r="410" spans="1:1" x14ac:dyDescent="0.2">
      <c r="A410" s="12" t="s">
        <v>392</v>
      </c>
    </row>
    <row r="411" spans="1:1" x14ac:dyDescent="0.2">
      <c r="A411" s="12" t="s">
        <v>393</v>
      </c>
    </row>
    <row r="412" spans="1:1" x14ac:dyDescent="0.2">
      <c r="A412" s="12" t="s">
        <v>394</v>
      </c>
    </row>
    <row r="413" spans="1:1" x14ac:dyDescent="0.2">
      <c r="A413" s="12" t="s">
        <v>395</v>
      </c>
    </row>
    <row r="414" spans="1:1" x14ac:dyDescent="0.2">
      <c r="A414" s="12" t="s">
        <v>396</v>
      </c>
    </row>
    <row r="415" spans="1:1" x14ac:dyDescent="0.2">
      <c r="A415" s="12" t="s">
        <v>397</v>
      </c>
    </row>
    <row r="416" spans="1:1" x14ac:dyDescent="0.2">
      <c r="A416" s="12" t="s">
        <v>398</v>
      </c>
    </row>
    <row r="417" spans="1:1" x14ac:dyDescent="0.2">
      <c r="A417" s="12" t="s">
        <v>399</v>
      </c>
    </row>
    <row r="418" spans="1:1" x14ac:dyDescent="0.2">
      <c r="A418" s="12" t="s">
        <v>400</v>
      </c>
    </row>
    <row r="419" spans="1:1" x14ac:dyDescent="0.2">
      <c r="A419" s="12" t="s">
        <v>401</v>
      </c>
    </row>
    <row r="420" spans="1:1" x14ac:dyDescent="0.2">
      <c r="A420" s="12" t="s">
        <v>402</v>
      </c>
    </row>
    <row r="421" spans="1:1" x14ac:dyDescent="0.2">
      <c r="A421" s="12" t="s">
        <v>403</v>
      </c>
    </row>
    <row r="422" spans="1:1" x14ac:dyDescent="0.2">
      <c r="A422" s="12" t="s">
        <v>404</v>
      </c>
    </row>
    <row r="423" spans="1:1" x14ac:dyDescent="0.2">
      <c r="A423" s="12" t="s">
        <v>405</v>
      </c>
    </row>
    <row r="424" spans="1:1" x14ac:dyDescent="0.2">
      <c r="A424" s="12" t="s">
        <v>406</v>
      </c>
    </row>
    <row r="425" spans="1:1" x14ac:dyDescent="0.2">
      <c r="A425" s="12" t="s">
        <v>407</v>
      </c>
    </row>
    <row r="426" spans="1:1" x14ac:dyDescent="0.2">
      <c r="A426" s="12" t="s">
        <v>408</v>
      </c>
    </row>
    <row r="427" spans="1:1" x14ac:dyDescent="0.2">
      <c r="A427" s="12" t="s">
        <v>409</v>
      </c>
    </row>
    <row r="428" spans="1:1" x14ac:dyDescent="0.2">
      <c r="A428" s="12" t="s">
        <v>410</v>
      </c>
    </row>
    <row r="429" spans="1:1" x14ac:dyDescent="0.2">
      <c r="A429" s="12" t="s">
        <v>411</v>
      </c>
    </row>
    <row r="430" spans="1:1" x14ac:dyDescent="0.2">
      <c r="A430" s="12" t="s">
        <v>412</v>
      </c>
    </row>
    <row r="431" spans="1:1" x14ac:dyDescent="0.2">
      <c r="A431" s="12" t="s">
        <v>413</v>
      </c>
    </row>
    <row r="432" spans="1:1" x14ac:dyDescent="0.2">
      <c r="A432" s="12" t="s">
        <v>414</v>
      </c>
    </row>
    <row r="433" spans="1:1" x14ac:dyDescent="0.2">
      <c r="A433" s="12" t="s">
        <v>415</v>
      </c>
    </row>
    <row r="434" spans="1:1" x14ac:dyDescent="0.2">
      <c r="A434" s="12" t="s">
        <v>416</v>
      </c>
    </row>
    <row r="435" spans="1:1" x14ac:dyDescent="0.2">
      <c r="A435" s="12" t="s">
        <v>417</v>
      </c>
    </row>
    <row r="436" spans="1:1" x14ac:dyDescent="0.2">
      <c r="A436" s="12" t="s">
        <v>418</v>
      </c>
    </row>
    <row r="437" spans="1:1" x14ac:dyDescent="0.2">
      <c r="A437" s="12" t="s">
        <v>419</v>
      </c>
    </row>
    <row r="438" spans="1:1" x14ac:dyDescent="0.2">
      <c r="A438" s="12" t="s">
        <v>420</v>
      </c>
    </row>
    <row r="439" spans="1:1" x14ac:dyDescent="0.2">
      <c r="A439" s="12" t="s">
        <v>421</v>
      </c>
    </row>
    <row r="440" spans="1:1" x14ac:dyDescent="0.2">
      <c r="A440" s="12" t="s">
        <v>422</v>
      </c>
    </row>
    <row r="441" spans="1:1" x14ac:dyDescent="0.2">
      <c r="A441" s="12" t="s">
        <v>423</v>
      </c>
    </row>
    <row r="442" spans="1:1" x14ac:dyDescent="0.2">
      <c r="A442" s="12" t="s">
        <v>424</v>
      </c>
    </row>
    <row r="443" spans="1:1" x14ac:dyDescent="0.2">
      <c r="A443" s="12" t="s">
        <v>425</v>
      </c>
    </row>
    <row r="444" spans="1:1" x14ac:dyDescent="0.2">
      <c r="A444" s="12" t="s">
        <v>426</v>
      </c>
    </row>
    <row r="445" spans="1:1" x14ac:dyDescent="0.2">
      <c r="A445" s="12" t="s">
        <v>427</v>
      </c>
    </row>
    <row r="446" spans="1:1" x14ac:dyDescent="0.2">
      <c r="A446" s="12" t="s">
        <v>428</v>
      </c>
    </row>
    <row r="447" spans="1:1" x14ac:dyDescent="0.2">
      <c r="A447" s="12" t="s">
        <v>429</v>
      </c>
    </row>
    <row r="448" spans="1:1" x14ac:dyDescent="0.2">
      <c r="A448" s="12" t="s">
        <v>430</v>
      </c>
    </row>
    <row r="449" spans="1:1" x14ac:dyDescent="0.2">
      <c r="A449" s="12" t="s">
        <v>431</v>
      </c>
    </row>
    <row r="450" spans="1:1" x14ac:dyDescent="0.2">
      <c r="A450" s="12" t="s">
        <v>432</v>
      </c>
    </row>
    <row r="451" spans="1:1" x14ac:dyDescent="0.2">
      <c r="A451" s="12" t="s">
        <v>433</v>
      </c>
    </row>
    <row r="452" spans="1:1" x14ac:dyDescent="0.2">
      <c r="A452" s="12" t="s">
        <v>434</v>
      </c>
    </row>
    <row r="453" spans="1:1" x14ac:dyDescent="0.2">
      <c r="A453" s="12" t="s">
        <v>435</v>
      </c>
    </row>
    <row r="454" spans="1:1" x14ac:dyDescent="0.2">
      <c r="A454" s="12" t="s">
        <v>436</v>
      </c>
    </row>
    <row r="455" spans="1:1" x14ac:dyDescent="0.2">
      <c r="A455" s="12" t="s">
        <v>437</v>
      </c>
    </row>
    <row r="456" spans="1:1" x14ac:dyDescent="0.2">
      <c r="A456" s="12" t="s">
        <v>438</v>
      </c>
    </row>
    <row r="457" spans="1:1" x14ac:dyDescent="0.2">
      <c r="A457" s="12" t="s">
        <v>439</v>
      </c>
    </row>
    <row r="458" spans="1:1" x14ac:dyDescent="0.2">
      <c r="A458" s="12" t="s">
        <v>440</v>
      </c>
    </row>
    <row r="459" spans="1:1" x14ac:dyDescent="0.2">
      <c r="A459" s="12" t="s">
        <v>441</v>
      </c>
    </row>
    <row r="460" spans="1:1" x14ac:dyDescent="0.2">
      <c r="A460" s="12" t="s">
        <v>442</v>
      </c>
    </row>
    <row r="461" spans="1:1" x14ac:dyDescent="0.2">
      <c r="A461" s="12" t="s">
        <v>443</v>
      </c>
    </row>
    <row r="462" spans="1:1" x14ac:dyDescent="0.2">
      <c r="A462" s="12" t="s">
        <v>444</v>
      </c>
    </row>
    <row r="463" spans="1:1" x14ac:dyDescent="0.2">
      <c r="A463" s="12" t="s">
        <v>445</v>
      </c>
    </row>
    <row r="464" spans="1:1" x14ac:dyDescent="0.2">
      <c r="A464" s="9" t="s">
        <v>2617</v>
      </c>
    </row>
    <row r="465" spans="1:1" x14ac:dyDescent="0.2">
      <c r="A465" s="12" t="s">
        <v>446</v>
      </c>
    </row>
    <row r="466" spans="1:1" x14ac:dyDescent="0.2">
      <c r="A466" s="12" t="s">
        <v>447</v>
      </c>
    </row>
    <row r="467" spans="1:1" x14ac:dyDescent="0.2">
      <c r="A467" s="12" t="s">
        <v>447</v>
      </c>
    </row>
    <row r="468" spans="1:1" x14ac:dyDescent="0.2">
      <c r="A468" s="12" t="s">
        <v>448</v>
      </c>
    </row>
    <row r="469" spans="1:1" x14ac:dyDescent="0.2">
      <c r="A469" s="12" t="s">
        <v>449</v>
      </c>
    </row>
    <row r="470" spans="1:1" x14ac:dyDescent="0.2">
      <c r="A470" s="12" t="s">
        <v>449</v>
      </c>
    </row>
    <row r="471" spans="1:1" x14ac:dyDescent="0.2">
      <c r="A471" s="12" t="s">
        <v>450</v>
      </c>
    </row>
    <row r="472" spans="1:1" x14ac:dyDescent="0.2">
      <c r="A472" s="12" t="s">
        <v>451</v>
      </c>
    </row>
    <row r="473" spans="1:1" x14ac:dyDescent="0.2">
      <c r="A473" s="12" t="s">
        <v>452</v>
      </c>
    </row>
    <row r="474" spans="1:1" x14ac:dyDescent="0.2">
      <c r="A474" s="12" t="s">
        <v>453</v>
      </c>
    </row>
    <row r="475" spans="1:1" x14ac:dyDescent="0.2">
      <c r="A475" s="12" t="s">
        <v>454</v>
      </c>
    </row>
    <row r="476" spans="1:1" x14ac:dyDescent="0.2">
      <c r="A476" s="12" t="s">
        <v>455</v>
      </c>
    </row>
    <row r="477" spans="1:1" x14ac:dyDescent="0.2">
      <c r="A477" s="12" t="s">
        <v>456</v>
      </c>
    </row>
    <row r="478" spans="1:1" x14ac:dyDescent="0.2">
      <c r="A478" s="12" t="s">
        <v>457</v>
      </c>
    </row>
    <row r="479" spans="1:1" x14ac:dyDescent="0.2">
      <c r="A479" s="12" t="s">
        <v>458</v>
      </c>
    </row>
    <row r="480" spans="1:1" x14ac:dyDescent="0.2">
      <c r="A480" s="12" t="s">
        <v>459</v>
      </c>
    </row>
    <row r="481" spans="1:1" x14ac:dyDescent="0.2">
      <c r="A481" s="12" t="s">
        <v>460</v>
      </c>
    </row>
    <row r="482" spans="1:1" x14ac:dyDescent="0.2">
      <c r="A482" s="12" t="s">
        <v>461</v>
      </c>
    </row>
    <row r="483" spans="1:1" x14ac:dyDescent="0.2">
      <c r="A483" s="12" t="s">
        <v>462</v>
      </c>
    </row>
    <row r="484" spans="1:1" x14ac:dyDescent="0.2">
      <c r="A484" s="12" t="s">
        <v>463</v>
      </c>
    </row>
    <row r="485" spans="1:1" x14ac:dyDescent="0.2">
      <c r="A485" s="12" t="s">
        <v>464</v>
      </c>
    </row>
    <row r="486" spans="1:1" x14ac:dyDescent="0.2">
      <c r="A486" s="12" t="s">
        <v>465</v>
      </c>
    </row>
    <row r="487" spans="1:1" x14ac:dyDescent="0.2">
      <c r="A487" s="12" t="s">
        <v>466</v>
      </c>
    </row>
    <row r="488" spans="1:1" x14ac:dyDescent="0.2">
      <c r="A488" s="12" t="s">
        <v>467</v>
      </c>
    </row>
    <row r="489" spans="1:1" x14ac:dyDescent="0.2">
      <c r="A489" s="12" t="s">
        <v>468</v>
      </c>
    </row>
    <row r="490" spans="1:1" x14ac:dyDescent="0.2">
      <c r="A490" s="12" t="s">
        <v>469</v>
      </c>
    </row>
    <row r="491" spans="1:1" x14ac:dyDescent="0.2">
      <c r="A491" s="12" t="s">
        <v>470</v>
      </c>
    </row>
    <row r="492" spans="1:1" x14ac:dyDescent="0.2">
      <c r="A492" s="12" t="s">
        <v>470</v>
      </c>
    </row>
    <row r="493" spans="1:1" x14ac:dyDescent="0.2">
      <c r="A493" s="12" t="s">
        <v>470</v>
      </c>
    </row>
    <row r="494" spans="1:1" x14ac:dyDescent="0.2">
      <c r="A494" s="12" t="s">
        <v>471</v>
      </c>
    </row>
    <row r="495" spans="1:1" x14ac:dyDescent="0.2">
      <c r="A495" s="12" t="s">
        <v>472</v>
      </c>
    </row>
    <row r="496" spans="1:1" x14ac:dyDescent="0.2">
      <c r="A496" s="12" t="s">
        <v>473</v>
      </c>
    </row>
    <row r="497" spans="1:1" x14ac:dyDescent="0.2">
      <c r="A497" s="12" t="s">
        <v>474</v>
      </c>
    </row>
    <row r="498" spans="1:1" x14ac:dyDescent="0.2">
      <c r="A498" s="12" t="s">
        <v>475</v>
      </c>
    </row>
    <row r="499" spans="1:1" x14ac:dyDescent="0.2">
      <c r="A499" s="12" t="s">
        <v>476</v>
      </c>
    </row>
    <row r="500" spans="1:1" x14ac:dyDescent="0.2">
      <c r="A500" s="12" t="s">
        <v>477</v>
      </c>
    </row>
    <row r="501" spans="1:1" x14ac:dyDescent="0.2">
      <c r="A501" s="12" t="s">
        <v>478</v>
      </c>
    </row>
    <row r="502" spans="1:1" x14ac:dyDescent="0.2">
      <c r="A502" s="12" t="s">
        <v>479</v>
      </c>
    </row>
    <row r="503" spans="1:1" x14ac:dyDescent="0.2">
      <c r="A503" s="12" t="s">
        <v>480</v>
      </c>
    </row>
    <row r="504" spans="1:1" x14ac:dyDescent="0.2">
      <c r="A504" s="12" t="s">
        <v>481</v>
      </c>
    </row>
    <row r="505" spans="1:1" x14ac:dyDescent="0.2">
      <c r="A505" s="12" t="s">
        <v>482</v>
      </c>
    </row>
    <row r="506" spans="1:1" x14ac:dyDescent="0.2">
      <c r="A506" s="12" t="s">
        <v>483</v>
      </c>
    </row>
    <row r="507" spans="1:1" x14ac:dyDescent="0.2">
      <c r="A507" s="12" t="s">
        <v>484</v>
      </c>
    </row>
    <row r="508" spans="1:1" x14ac:dyDescent="0.2">
      <c r="A508" s="12" t="s">
        <v>485</v>
      </c>
    </row>
    <row r="509" spans="1:1" x14ac:dyDescent="0.2">
      <c r="A509" s="12" t="s">
        <v>486</v>
      </c>
    </row>
    <row r="510" spans="1:1" x14ac:dyDescent="0.2">
      <c r="A510" s="12" t="s">
        <v>487</v>
      </c>
    </row>
    <row r="511" spans="1:1" x14ac:dyDescent="0.2">
      <c r="A511" s="12" t="s">
        <v>488</v>
      </c>
    </row>
    <row r="512" spans="1:1" x14ac:dyDescent="0.2">
      <c r="A512" s="12" t="s">
        <v>489</v>
      </c>
    </row>
    <row r="513" spans="1:1" x14ac:dyDescent="0.2">
      <c r="A513" s="12" t="s">
        <v>490</v>
      </c>
    </row>
    <row r="514" spans="1:1" x14ac:dyDescent="0.2">
      <c r="A514" s="12" t="s">
        <v>491</v>
      </c>
    </row>
    <row r="515" spans="1:1" x14ac:dyDescent="0.2">
      <c r="A515" s="12" t="s">
        <v>492</v>
      </c>
    </row>
    <row r="516" spans="1:1" x14ac:dyDescent="0.2">
      <c r="A516" s="12" t="s">
        <v>493</v>
      </c>
    </row>
    <row r="517" spans="1:1" x14ac:dyDescent="0.2">
      <c r="A517" s="12" t="s">
        <v>494</v>
      </c>
    </row>
    <row r="518" spans="1:1" x14ac:dyDescent="0.2">
      <c r="A518" s="12" t="s">
        <v>495</v>
      </c>
    </row>
    <row r="519" spans="1:1" x14ac:dyDescent="0.2">
      <c r="A519" s="12" t="s">
        <v>495</v>
      </c>
    </row>
    <row r="520" spans="1:1" x14ac:dyDescent="0.2">
      <c r="A520" s="12" t="s">
        <v>496</v>
      </c>
    </row>
    <row r="521" spans="1:1" x14ac:dyDescent="0.2">
      <c r="A521" s="12" t="s">
        <v>83</v>
      </c>
    </row>
    <row r="522" spans="1:1" x14ac:dyDescent="0.2">
      <c r="A522" s="12" t="s">
        <v>83</v>
      </c>
    </row>
    <row r="523" spans="1:1" x14ac:dyDescent="0.2">
      <c r="A523" s="12" t="s">
        <v>497</v>
      </c>
    </row>
    <row r="524" spans="1:1" x14ac:dyDescent="0.2">
      <c r="A524" s="12" t="s">
        <v>498</v>
      </c>
    </row>
    <row r="525" spans="1:1" x14ac:dyDescent="0.2">
      <c r="A525" s="12" t="s">
        <v>499</v>
      </c>
    </row>
    <row r="526" spans="1:1" x14ac:dyDescent="0.2">
      <c r="A526" s="12" t="s">
        <v>500</v>
      </c>
    </row>
    <row r="527" spans="1:1" x14ac:dyDescent="0.2">
      <c r="A527" s="12" t="s">
        <v>500</v>
      </c>
    </row>
    <row r="528" spans="1:1" x14ac:dyDescent="0.2">
      <c r="A528" s="12" t="s">
        <v>501</v>
      </c>
    </row>
    <row r="529" spans="1:1" x14ac:dyDescent="0.2">
      <c r="A529" s="12" t="s">
        <v>502</v>
      </c>
    </row>
    <row r="530" spans="1:1" x14ac:dyDescent="0.2">
      <c r="A530" s="12" t="s">
        <v>503</v>
      </c>
    </row>
    <row r="531" spans="1:1" x14ac:dyDescent="0.2">
      <c r="A531" s="12" t="s">
        <v>504</v>
      </c>
    </row>
    <row r="532" spans="1:1" x14ac:dyDescent="0.2">
      <c r="A532" s="12" t="s">
        <v>505</v>
      </c>
    </row>
    <row r="533" spans="1:1" x14ac:dyDescent="0.2">
      <c r="A533" s="12" t="s">
        <v>506</v>
      </c>
    </row>
    <row r="534" spans="1:1" x14ac:dyDescent="0.2">
      <c r="A534" s="12" t="s">
        <v>87</v>
      </c>
    </row>
    <row r="535" spans="1:1" x14ac:dyDescent="0.2">
      <c r="A535" s="12" t="s">
        <v>507</v>
      </c>
    </row>
    <row r="536" spans="1:1" x14ac:dyDescent="0.2">
      <c r="A536" s="12" t="s">
        <v>508</v>
      </c>
    </row>
    <row r="537" spans="1:1" x14ac:dyDescent="0.2">
      <c r="A537" s="12" t="s">
        <v>509</v>
      </c>
    </row>
    <row r="538" spans="1:1" x14ac:dyDescent="0.2">
      <c r="A538" s="12" t="s">
        <v>510</v>
      </c>
    </row>
    <row r="539" spans="1:1" x14ac:dyDescent="0.2">
      <c r="A539" s="12" t="s">
        <v>511</v>
      </c>
    </row>
    <row r="540" spans="1:1" x14ac:dyDescent="0.2">
      <c r="A540" s="12" t="s">
        <v>512</v>
      </c>
    </row>
    <row r="541" spans="1:1" x14ac:dyDescent="0.2">
      <c r="A541" s="12" t="s">
        <v>513</v>
      </c>
    </row>
    <row r="542" spans="1:1" x14ac:dyDescent="0.2">
      <c r="A542" s="12" t="s">
        <v>514</v>
      </c>
    </row>
    <row r="543" spans="1:1" x14ac:dyDescent="0.2">
      <c r="A543" s="12" t="s">
        <v>89</v>
      </c>
    </row>
    <row r="544" spans="1:1" x14ac:dyDescent="0.2">
      <c r="A544" s="12" t="s">
        <v>515</v>
      </c>
    </row>
    <row r="545" spans="1:1" x14ac:dyDescent="0.2">
      <c r="A545" s="12" t="s">
        <v>516</v>
      </c>
    </row>
    <row r="546" spans="1:1" x14ac:dyDescent="0.2">
      <c r="A546" s="12" t="s">
        <v>517</v>
      </c>
    </row>
    <row r="547" spans="1:1" x14ac:dyDescent="0.2">
      <c r="A547" s="12" t="s">
        <v>518</v>
      </c>
    </row>
    <row r="548" spans="1:1" x14ac:dyDescent="0.2">
      <c r="A548" s="12" t="s">
        <v>519</v>
      </c>
    </row>
    <row r="549" spans="1:1" x14ac:dyDescent="0.2">
      <c r="A549" s="12" t="s">
        <v>520</v>
      </c>
    </row>
    <row r="550" spans="1:1" x14ac:dyDescent="0.2">
      <c r="A550" s="12" t="s">
        <v>521</v>
      </c>
    </row>
    <row r="551" spans="1:1" x14ac:dyDescent="0.2">
      <c r="A551" s="12" t="s">
        <v>522</v>
      </c>
    </row>
    <row r="552" spans="1:1" x14ac:dyDescent="0.2">
      <c r="A552" s="12" t="s">
        <v>523</v>
      </c>
    </row>
    <row r="553" spans="1:1" x14ac:dyDescent="0.2">
      <c r="A553" s="12" t="s">
        <v>524</v>
      </c>
    </row>
    <row r="554" spans="1:1" x14ac:dyDescent="0.2">
      <c r="A554" s="12" t="s">
        <v>524</v>
      </c>
    </row>
    <row r="555" spans="1:1" x14ac:dyDescent="0.2">
      <c r="A555" s="12" t="s">
        <v>525</v>
      </c>
    </row>
    <row r="556" spans="1:1" x14ac:dyDescent="0.2">
      <c r="A556" s="12" t="s">
        <v>526</v>
      </c>
    </row>
    <row r="557" spans="1:1" x14ac:dyDescent="0.2">
      <c r="A557" s="12" t="s">
        <v>527</v>
      </c>
    </row>
    <row r="558" spans="1:1" x14ac:dyDescent="0.2">
      <c r="A558" s="12" t="s">
        <v>528</v>
      </c>
    </row>
    <row r="559" spans="1:1" x14ac:dyDescent="0.2">
      <c r="A559" s="12" t="s">
        <v>529</v>
      </c>
    </row>
    <row r="560" spans="1:1" x14ac:dyDescent="0.2">
      <c r="A560" s="12" t="s">
        <v>530</v>
      </c>
    </row>
    <row r="561" spans="1:1" x14ac:dyDescent="0.2">
      <c r="A561" s="12" t="s">
        <v>531</v>
      </c>
    </row>
    <row r="562" spans="1:1" x14ac:dyDescent="0.2">
      <c r="A562" s="12" t="s">
        <v>532</v>
      </c>
    </row>
    <row r="563" spans="1:1" x14ac:dyDescent="0.2">
      <c r="A563" s="12" t="s">
        <v>533</v>
      </c>
    </row>
    <row r="564" spans="1:1" x14ac:dyDescent="0.2">
      <c r="A564" s="12" t="s">
        <v>534</v>
      </c>
    </row>
    <row r="565" spans="1:1" x14ac:dyDescent="0.2">
      <c r="A565" s="12" t="s">
        <v>535</v>
      </c>
    </row>
    <row r="566" spans="1:1" x14ac:dyDescent="0.2">
      <c r="A566" s="12" t="s">
        <v>536</v>
      </c>
    </row>
    <row r="567" spans="1:1" x14ac:dyDescent="0.2">
      <c r="A567" s="12" t="s">
        <v>537</v>
      </c>
    </row>
    <row r="568" spans="1:1" x14ac:dyDescent="0.2">
      <c r="A568" s="12" t="s">
        <v>538</v>
      </c>
    </row>
    <row r="569" spans="1:1" x14ac:dyDescent="0.2">
      <c r="A569" s="12" t="s">
        <v>539</v>
      </c>
    </row>
    <row r="570" spans="1:1" x14ac:dyDescent="0.2">
      <c r="A570" s="12" t="s">
        <v>539</v>
      </c>
    </row>
    <row r="571" spans="1:1" x14ac:dyDescent="0.2">
      <c r="A571" s="12" t="s">
        <v>540</v>
      </c>
    </row>
    <row r="572" spans="1:1" x14ac:dyDescent="0.2">
      <c r="A572" s="12" t="s">
        <v>541</v>
      </c>
    </row>
    <row r="573" spans="1:1" x14ac:dyDescent="0.2">
      <c r="A573" s="12" t="s">
        <v>542</v>
      </c>
    </row>
    <row r="574" spans="1:1" x14ac:dyDescent="0.2">
      <c r="A574" s="12" t="s">
        <v>543</v>
      </c>
    </row>
    <row r="575" spans="1:1" x14ac:dyDescent="0.2">
      <c r="A575" s="12" t="s">
        <v>544</v>
      </c>
    </row>
    <row r="576" spans="1:1" x14ac:dyDescent="0.2">
      <c r="A576" s="12" t="s">
        <v>545</v>
      </c>
    </row>
    <row r="577" spans="1:1" x14ac:dyDescent="0.2">
      <c r="A577" s="12" t="s">
        <v>546</v>
      </c>
    </row>
    <row r="578" spans="1:1" x14ac:dyDescent="0.2">
      <c r="A578" s="12" t="s">
        <v>547</v>
      </c>
    </row>
    <row r="579" spans="1:1" x14ac:dyDescent="0.2">
      <c r="A579" s="12" t="s">
        <v>548</v>
      </c>
    </row>
    <row r="580" spans="1:1" x14ac:dyDescent="0.2">
      <c r="A580" s="12" t="s">
        <v>549</v>
      </c>
    </row>
    <row r="581" spans="1:1" x14ac:dyDescent="0.2">
      <c r="A581" s="12" t="s">
        <v>550</v>
      </c>
    </row>
    <row r="582" spans="1:1" x14ac:dyDescent="0.2">
      <c r="A582" s="12" t="s">
        <v>551</v>
      </c>
    </row>
    <row r="583" spans="1:1" x14ac:dyDescent="0.2">
      <c r="A583" s="12" t="s">
        <v>552</v>
      </c>
    </row>
    <row r="584" spans="1:1" x14ac:dyDescent="0.2">
      <c r="A584" s="12" t="s">
        <v>553</v>
      </c>
    </row>
    <row r="585" spans="1:1" x14ac:dyDescent="0.2">
      <c r="A585" s="12" t="s">
        <v>554</v>
      </c>
    </row>
    <row r="586" spans="1:1" x14ac:dyDescent="0.2">
      <c r="A586" s="12" t="s">
        <v>555</v>
      </c>
    </row>
    <row r="587" spans="1:1" x14ac:dyDescent="0.2">
      <c r="A587" s="12" t="s">
        <v>556</v>
      </c>
    </row>
    <row r="588" spans="1:1" x14ac:dyDescent="0.2">
      <c r="A588" s="12" t="s">
        <v>556</v>
      </c>
    </row>
    <row r="589" spans="1:1" x14ac:dyDescent="0.2">
      <c r="A589" s="12" t="s">
        <v>557</v>
      </c>
    </row>
    <row r="590" spans="1:1" x14ac:dyDescent="0.2">
      <c r="A590" s="12" t="s">
        <v>557</v>
      </c>
    </row>
    <row r="591" spans="1:1" x14ac:dyDescent="0.2">
      <c r="A591" s="12" t="s">
        <v>558</v>
      </c>
    </row>
    <row r="592" spans="1:1" x14ac:dyDescent="0.2">
      <c r="A592" s="12" t="s">
        <v>559</v>
      </c>
    </row>
    <row r="593" spans="1:1" x14ac:dyDescent="0.2">
      <c r="A593" s="12" t="s">
        <v>560</v>
      </c>
    </row>
    <row r="594" spans="1:1" x14ac:dyDescent="0.2">
      <c r="A594" s="12" t="s">
        <v>561</v>
      </c>
    </row>
    <row r="595" spans="1:1" x14ac:dyDescent="0.2">
      <c r="A595" s="12" t="s">
        <v>562</v>
      </c>
    </row>
    <row r="596" spans="1:1" x14ac:dyDescent="0.2">
      <c r="A596" s="12" t="s">
        <v>563</v>
      </c>
    </row>
    <row r="597" spans="1:1" x14ac:dyDescent="0.2">
      <c r="A597" s="12" t="s">
        <v>564</v>
      </c>
    </row>
    <row r="598" spans="1:1" x14ac:dyDescent="0.2">
      <c r="A598" s="12" t="s">
        <v>565</v>
      </c>
    </row>
    <row r="599" spans="1:1" x14ac:dyDescent="0.2">
      <c r="A599" s="12" t="s">
        <v>566</v>
      </c>
    </row>
    <row r="600" spans="1:1" x14ac:dyDescent="0.2">
      <c r="A600" s="12" t="s">
        <v>567</v>
      </c>
    </row>
    <row r="601" spans="1:1" x14ac:dyDescent="0.2">
      <c r="A601" s="12" t="s">
        <v>568</v>
      </c>
    </row>
    <row r="602" spans="1:1" x14ac:dyDescent="0.2">
      <c r="A602" s="12" t="s">
        <v>569</v>
      </c>
    </row>
    <row r="603" spans="1:1" x14ac:dyDescent="0.2">
      <c r="A603" s="12" t="s">
        <v>570</v>
      </c>
    </row>
    <row r="604" spans="1:1" x14ac:dyDescent="0.2">
      <c r="A604" s="12" t="s">
        <v>571</v>
      </c>
    </row>
    <row r="605" spans="1:1" x14ac:dyDescent="0.2">
      <c r="A605" s="12" t="s">
        <v>572</v>
      </c>
    </row>
    <row r="606" spans="1:1" x14ac:dyDescent="0.2">
      <c r="A606" s="12" t="s">
        <v>573</v>
      </c>
    </row>
    <row r="607" spans="1:1" x14ac:dyDescent="0.2">
      <c r="A607" s="12" t="s">
        <v>574</v>
      </c>
    </row>
    <row r="608" spans="1:1" x14ac:dyDescent="0.2">
      <c r="A608" s="12" t="s">
        <v>575</v>
      </c>
    </row>
    <row r="609" spans="1:1" x14ac:dyDescent="0.2">
      <c r="A609" s="12" t="s">
        <v>576</v>
      </c>
    </row>
    <row r="610" spans="1:1" x14ac:dyDescent="0.2">
      <c r="A610" s="12" t="s">
        <v>577</v>
      </c>
    </row>
    <row r="611" spans="1:1" x14ac:dyDescent="0.2">
      <c r="A611" s="12" t="s">
        <v>578</v>
      </c>
    </row>
    <row r="612" spans="1:1" x14ac:dyDescent="0.2">
      <c r="A612" s="12" t="s">
        <v>579</v>
      </c>
    </row>
    <row r="613" spans="1:1" x14ac:dyDescent="0.2">
      <c r="A613" s="12" t="s">
        <v>580</v>
      </c>
    </row>
    <row r="614" spans="1:1" x14ac:dyDescent="0.2">
      <c r="A614" s="12" t="s">
        <v>581</v>
      </c>
    </row>
    <row r="615" spans="1:1" x14ac:dyDescent="0.2">
      <c r="A615" s="12" t="s">
        <v>581</v>
      </c>
    </row>
    <row r="616" spans="1:1" x14ac:dyDescent="0.2">
      <c r="A616" s="12" t="s">
        <v>582</v>
      </c>
    </row>
    <row r="617" spans="1:1" x14ac:dyDescent="0.2">
      <c r="A617" s="12" t="s">
        <v>582</v>
      </c>
    </row>
    <row r="618" spans="1:1" x14ac:dyDescent="0.2">
      <c r="A618" s="12" t="s">
        <v>583</v>
      </c>
    </row>
    <row r="619" spans="1:1" x14ac:dyDescent="0.2">
      <c r="A619" s="12" t="s">
        <v>584</v>
      </c>
    </row>
    <row r="620" spans="1:1" x14ac:dyDescent="0.2">
      <c r="A620" s="12" t="s">
        <v>585</v>
      </c>
    </row>
    <row r="621" spans="1:1" x14ac:dyDescent="0.2">
      <c r="A621" s="12" t="s">
        <v>586</v>
      </c>
    </row>
    <row r="622" spans="1:1" x14ac:dyDescent="0.2">
      <c r="A622" s="12" t="s">
        <v>587</v>
      </c>
    </row>
    <row r="623" spans="1:1" x14ac:dyDescent="0.2">
      <c r="A623" s="12" t="s">
        <v>588</v>
      </c>
    </row>
    <row r="624" spans="1:1" x14ac:dyDescent="0.2">
      <c r="A624" s="12" t="s">
        <v>589</v>
      </c>
    </row>
    <row r="625" spans="1:1" x14ac:dyDescent="0.2">
      <c r="A625" s="12" t="s">
        <v>590</v>
      </c>
    </row>
    <row r="626" spans="1:1" x14ac:dyDescent="0.2">
      <c r="A626" s="12" t="s">
        <v>591</v>
      </c>
    </row>
    <row r="627" spans="1:1" x14ac:dyDescent="0.2">
      <c r="A627" s="12" t="s">
        <v>592</v>
      </c>
    </row>
    <row r="628" spans="1:1" x14ac:dyDescent="0.2">
      <c r="A628" s="12" t="s">
        <v>593</v>
      </c>
    </row>
    <row r="629" spans="1:1" x14ac:dyDescent="0.2">
      <c r="A629" s="12" t="s">
        <v>594</v>
      </c>
    </row>
    <row r="630" spans="1:1" x14ac:dyDescent="0.2">
      <c r="A630" s="12" t="s">
        <v>595</v>
      </c>
    </row>
    <row r="631" spans="1:1" x14ac:dyDescent="0.2">
      <c r="A631" s="12" t="s">
        <v>595</v>
      </c>
    </row>
    <row r="632" spans="1:1" x14ac:dyDescent="0.2">
      <c r="A632" s="12" t="s">
        <v>596</v>
      </c>
    </row>
    <row r="633" spans="1:1" x14ac:dyDescent="0.2">
      <c r="A633" s="12" t="s">
        <v>596</v>
      </c>
    </row>
    <row r="634" spans="1:1" x14ac:dyDescent="0.2">
      <c r="A634" s="12" t="s">
        <v>597</v>
      </c>
    </row>
    <row r="635" spans="1:1" x14ac:dyDescent="0.2">
      <c r="A635" s="12" t="s">
        <v>598</v>
      </c>
    </row>
    <row r="636" spans="1:1" x14ac:dyDescent="0.2">
      <c r="A636" s="12" t="s">
        <v>599</v>
      </c>
    </row>
    <row r="637" spans="1:1" x14ac:dyDescent="0.2">
      <c r="A637" s="12" t="s">
        <v>600</v>
      </c>
    </row>
    <row r="638" spans="1:1" x14ac:dyDescent="0.2">
      <c r="A638" s="12" t="s">
        <v>601</v>
      </c>
    </row>
    <row r="639" spans="1:1" x14ac:dyDescent="0.2">
      <c r="A639" s="12" t="s">
        <v>602</v>
      </c>
    </row>
    <row r="640" spans="1:1" x14ac:dyDescent="0.2">
      <c r="A640" s="12" t="s">
        <v>603</v>
      </c>
    </row>
    <row r="641" spans="1:1" x14ac:dyDescent="0.2">
      <c r="A641" s="12" t="s">
        <v>604</v>
      </c>
    </row>
    <row r="642" spans="1:1" x14ac:dyDescent="0.2">
      <c r="A642" s="12" t="s">
        <v>605</v>
      </c>
    </row>
    <row r="643" spans="1:1" x14ac:dyDescent="0.2">
      <c r="A643" s="12" t="s">
        <v>606</v>
      </c>
    </row>
    <row r="644" spans="1:1" x14ac:dyDescent="0.2">
      <c r="A644" s="12" t="s">
        <v>607</v>
      </c>
    </row>
    <row r="645" spans="1:1" x14ac:dyDescent="0.2">
      <c r="A645" s="12" t="s">
        <v>608</v>
      </c>
    </row>
    <row r="646" spans="1:1" x14ac:dyDescent="0.2">
      <c r="A646" s="12" t="s">
        <v>609</v>
      </c>
    </row>
    <row r="647" spans="1:1" x14ac:dyDescent="0.2">
      <c r="A647" s="12" t="s">
        <v>610</v>
      </c>
    </row>
    <row r="648" spans="1:1" x14ac:dyDescent="0.2">
      <c r="A648" s="12" t="s">
        <v>611</v>
      </c>
    </row>
    <row r="649" spans="1:1" x14ac:dyDescent="0.2">
      <c r="A649" s="12" t="s">
        <v>612</v>
      </c>
    </row>
    <row r="650" spans="1:1" x14ac:dyDescent="0.2">
      <c r="A650" s="12" t="s">
        <v>613</v>
      </c>
    </row>
    <row r="651" spans="1:1" x14ac:dyDescent="0.2">
      <c r="A651" s="12" t="s">
        <v>614</v>
      </c>
    </row>
    <row r="652" spans="1:1" x14ac:dyDescent="0.2">
      <c r="A652" s="12" t="s">
        <v>615</v>
      </c>
    </row>
    <row r="653" spans="1:1" x14ac:dyDescent="0.2">
      <c r="A653" s="12" t="s">
        <v>616</v>
      </c>
    </row>
    <row r="654" spans="1:1" x14ac:dyDescent="0.2">
      <c r="A654" s="12" t="s">
        <v>617</v>
      </c>
    </row>
    <row r="655" spans="1:1" x14ac:dyDescent="0.2">
      <c r="A655" s="12" t="s">
        <v>618</v>
      </c>
    </row>
    <row r="656" spans="1:1" x14ac:dyDescent="0.2">
      <c r="A656" s="12" t="s">
        <v>619</v>
      </c>
    </row>
    <row r="657" spans="1:1" x14ac:dyDescent="0.2">
      <c r="A657" s="12" t="s">
        <v>102</v>
      </c>
    </row>
    <row r="658" spans="1:1" x14ac:dyDescent="0.2">
      <c r="A658" s="12" t="s">
        <v>620</v>
      </c>
    </row>
    <row r="659" spans="1:1" x14ac:dyDescent="0.2">
      <c r="A659" s="12" t="s">
        <v>621</v>
      </c>
    </row>
    <row r="660" spans="1:1" x14ac:dyDescent="0.2">
      <c r="A660" s="12" t="s">
        <v>622</v>
      </c>
    </row>
    <row r="661" spans="1:1" x14ac:dyDescent="0.2">
      <c r="A661" s="12" t="s">
        <v>103</v>
      </c>
    </row>
    <row r="662" spans="1:1" x14ac:dyDescent="0.2">
      <c r="A662" s="12" t="s">
        <v>623</v>
      </c>
    </row>
    <row r="663" spans="1:1" x14ac:dyDescent="0.2">
      <c r="A663" s="12" t="s">
        <v>624</v>
      </c>
    </row>
    <row r="664" spans="1:1" x14ac:dyDescent="0.2">
      <c r="A664" s="12" t="s">
        <v>625</v>
      </c>
    </row>
    <row r="665" spans="1:1" x14ac:dyDescent="0.2">
      <c r="A665" s="12" t="s">
        <v>626</v>
      </c>
    </row>
    <row r="666" spans="1:1" x14ac:dyDescent="0.2">
      <c r="A666" s="12" t="s">
        <v>627</v>
      </c>
    </row>
    <row r="667" spans="1:1" x14ac:dyDescent="0.2">
      <c r="A667" s="12" t="s">
        <v>628</v>
      </c>
    </row>
    <row r="668" spans="1:1" x14ac:dyDescent="0.2">
      <c r="A668" s="12" t="s">
        <v>629</v>
      </c>
    </row>
    <row r="669" spans="1:1" x14ac:dyDescent="0.2">
      <c r="A669" s="12" t="s">
        <v>630</v>
      </c>
    </row>
    <row r="670" spans="1:1" x14ac:dyDescent="0.2">
      <c r="A670" s="12" t="s">
        <v>631</v>
      </c>
    </row>
    <row r="671" spans="1:1" x14ac:dyDescent="0.2">
      <c r="A671" s="12" t="s">
        <v>632</v>
      </c>
    </row>
    <row r="672" spans="1:1" x14ac:dyDescent="0.2">
      <c r="A672" s="12" t="s">
        <v>633</v>
      </c>
    </row>
    <row r="673" spans="1:1" x14ac:dyDescent="0.2">
      <c r="A673" s="12" t="s">
        <v>634</v>
      </c>
    </row>
    <row r="674" spans="1:1" x14ac:dyDescent="0.2">
      <c r="A674" s="12" t="s">
        <v>635</v>
      </c>
    </row>
    <row r="675" spans="1:1" x14ac:dyDescent="0.2">
      <c r="A675" s="12" t="s">
        <v>105</v>
      </c>
    </row>
    <row r="676" spans="1:1" x14ac:dyDescent="0.2">
      <c r="A676" s="12" t="s">
        <v>105</v>
      </c>
    </row>
    <row r="677" spans="1:1" x14ac:dyDescent="0.2">
      <c r="A677" s="12" t="s">
        <v>636</v>
      </c>
    </row>
    <row r="678" spans="1:1" x14ac:dyDescent="0.2">
      <c r="A678" s="12" t="s">
        <v>637</v>
      </c>
    </row>
    <row r="679" spans="1:1" x14ac:dyDescent="0.2">
      <c r="A679" s="12" t="s">
        <v>638</v>
      </c>
    </row>
    <row r="680" spans="1:1" x14ac:dyDescent="0.2">
      <c r="A680" s="12" t="s">
        <v>639</v>
      </c>
    </row>
    <row r="681" spans="1:1" x14ac:dyDescent="0.2">
      <c r="A681" s="12" t="s">
        <v>640</v>
      </c>
    </row>
    <row r="682" spans="1:1" x14ac:dyDescent="0.2">
      <c r="A682" s="12" t="s">
        <v>641</v>
      </c>
    </row>
    <row r="683" spans="1:1" x14ac:dyDescent="0.2">
      <c r="A683" s="12" t="s">
        <v>642</v>
      </c>
    </row>
    <row r="684" spans="1:1" x14ac:dyDescent="0.2">
      <c r="A684" s="12" t="s">
        <v>643</v>
      </c>
    </row>
    <row r="685" spans="1:1" x14ac:dyDescent="0.2">
      <c r="A685" s="12" t="s">
        <v>644</v>
      </c>
    </row>
    <row r="686" spans="1:1" x14ac:dyDescent="0.2">
      <c r="A686" s="12" t="s">
        <v>644</v>
      </c>
    </row>
    <row r="687" spans="1:1" x14ac:dyDescent="0.2">
      <c r="A687" s="12" t="s">
        <v>645</v>
      </c>
    </row>
    <row r="688" spans="1:1" x14ac:dyDescent="0.2">
      <c r="A688" s="12" t="s">
        <v>646</v>
      </c>
    </row>
    <row r="689" spans="1:1" x14ac:dyDescent="0.2">
      <c r="A689" s="12" t="s">
        <v>647</v>
      </c>
    </row>
    <row r="690" spans="1:1" x14ac:dyDescent="0.2">
      <c r="A690" s="12" t="s">
        <v>648</v>
      </c>
    </row>
    <row r="691" spans="1:1" x14ac:dyDescent="0.2">
      <c r="A691" s="12" t="s">
        <v>649</v>
      </c>
    </row>
    <row r="692" spans="1:1" x14ac:dyDescent="0.2">
      <c r="A692" s="12" t="s">
        <v>650</v>
      </c>
    </row>
    <row r="693" spans="1:1" x14ac:dyDescent="0.2">
      <c r="A693" s="12" t="s">
        <v>651</v>
      </c>
    </row>
    <row r="694" spans="1:1" x14ac:dyDescent="0.2">
      <c r="A694" s="12" t="s">
        <v>652</v>
      </c>
    </row>
    <row r="695" spans="1:1" x14ac:dyDescent="0.2">
      <c r="A695" s="12" t="s">
        <v>653</v>
      </c>
    </row>
    <row r="696" spans="1:1" x14ac:dyDescent="0.2">
      <c r="A696" s="12" t="s">
        <v>654</v>
      </c>
    </row>
    <row r="697" spans="1:1" x14ac:dyDescent="0.2">
      <c r="A697" s="12" t="s">
        <v>655</v>
      </c>
    </row>
    <row r="698" spans="1:1" x14ac:dyDescent="0.2">
      <c r="A698" s="12" t="s">
        <v>656</v>
      </c>
    </row>
    <row r="699" spans="1:1" x14ac:dyDescent="0.2">
      <c r="A699" s="12" t="s">
        <v>657</v>
      </c>
    </row>
    <row r="700" spans="1:1" x14ac:dyDescent="0.2">
      <c r="A700" s="12" t="s">
        <v>658</v>
      </c>
    </row>
    <row r="701" spans="1:1" x14ac:dyDescent="0.2">
      <c r="A701" s="12" t="s">
        <v>659</v>
      </c>
    </row>
    <row r="702" spans="1:1" x14ac:dyDescent="0.2">
      <c r="A702" s="12" t="s">
        <v>660</v>
      </c>
    </row>
    <row r="703" spans="1:1" x14ac:dyDescent="0.2">
      <c r="A703" s="12" t="s">
        <v>110</v>
      </c>
    </row>
    <row r="704" spans="1:1" x14ac:dyDescent="0.2">
      <c r="A704" s="12" t="s">
        <v>661</v>
      </c>
    </row>
    <row r="705" spans="1:1" x14ac:dyDescent="0.2">
      <c r="A705" s="12" t="s">
        <v>662</v>
      </c>
    </row>
    <row r="706" spans="1:1" x14ac:dyDescent="0.2">
      <c r="A706" s="12" t="s">
        <v>663</v>
      </c>
    </row>
    <row r="707" spans="1:1" x14ac:dyDescent="0.2">
      <c r="A707" s="12" t="s">
        <v>664</v>
      </c>
    </row>
    <row r="708" spans="1:1" x14ac:dyDescent="0.2">
      <c r="A708" s="12" t="s">
        <v>664</v>
      </c>
    </row>
    <row r="709" spans="1:1" x14ac:dyDescent="0.2">
      <c r="A709" s="12" t="s">
        <v>665</v>
      </c>
    </row>
    <row r="710" spans="1:1" x14ac:dyDescent="0.2">
      <c r="A710" s="12" t="s">
        <v>666</v>
      </c>
    </row>
    <row r="711" spans="1:1" x14ac:dyDescent="0.2">
      <c r="A711" s="12" t="s">
        <v>667</v>
      </c>
    </row>
    <row r="712" spans="1:1" x14ac:dyDescent="0.2">
      <c r="A712" s="12" t="s">
        <v>668</v>
      </c>
    </row>
    <row r="713" spans="1:1" x14ac:dyDescent="0.2">
      <c r="A713" s="12" t="s">
        <v>669</v>
      </c>
    </row>
    <row r="714" spans="1:1" x14ac:dyDescent="0.2">
      <c r="A714" s="12" t="s">
        <v>670</v>
      </c>
    </row>
    <row r="715" spans="1:1" x14ac:dyDescent="0.2">
      <c r="A715" s="12" t="s">
        <v>671</v>
      </c>
    </row>
    <row r="716" spans="1:1" x14ac:dyDescent="0.2">
      <c r="A716" s="12" t="s">
        <v>672</v>
      </c>
    </row>
    <row r="717" spans="1:1" x14ac:dyDescent="0.2">
      <c r="A717" s="12" t="s">
        <v>673</v>
      </c>
    </row>
    <row r="718" spans="1:1" x14ac:dyDescent="0.2">
      <c r="A718" s="12" t="s">
        <v>674</v>
      </c>
    </row>
    <row r="719" spans="1:1" x14ac:dyDescent="0.2">
      <c r="A719" s="12" t="s">
        <v>675</v>
      </c>
    </row>
    <row r="720" spans="1:1" x14ac:dyDescent="0.2">
      <c r="A720" s="12" t="s">
        <v>676</v>
      </c>
    </row>
    <row r="721" spans="1:1" x14ac:dyDescent="0.2">
      <c r="A721" s="12" t="s">
        <v>677</v>
      </c>
    </row>
    <row r="722" spans="1:1" x14ac:dyDescent="0.2">
      <c r="A722" s="12" t="s">
        <v>678</v>
      </c>
    </row>
    <row r="723" spans="1:1" x14ac:dyDescent="0.2">
      <c r="A723" s="12" t="s">
        <v>679</v>
      </c>
    </row>
    <row r="724" spans="1:1" x14ac:dyDescent="0.2">
      <c r="A724" s="12" t="s">
        <v>680</v>
      </c>
    </row>
    <row r="725" spans="1:1" x14ac:dyDescent="0.2">
      <c r="A725" s="12" t="s">
        <v>681</v>
      </c>
    </row>
    <row r="726" spans="1:1" x14ac:dyDescent="0.2">
      <c r="A726" s="12" t="s">
        <v>682</v>
      </c>
    </row>
    <row r="727" spans="1:1" x14ac:dyDescent="0.2">
      <c r="A727" s="12" t="s">
        <v>683</v>
      </c>
    </row>
    <row r="728" spans="1:1" x14ac:dyDescent="0.2">
      <c r="A728" s="12" t="s">
        <v>684</v>
      </c>
    </row>
    <row r="729" spans="1:1" x14ac:dyDescent="0.2">
      <c r="A729" s="12" t="s">
        <v>685</v>
      </c>
    </row>
    <row r="730" spans="1:1" x14ac:dyDescent="0.2">
      <c r="A730" s="12" t="s">
        <v>686</v>
      </c>
    </row>
    <row r="731" spans="1:1" x14ac:dyDescent="0.2">
      <c r="A731" s="12" t="s">
        <v>687</v>
      </c>
    </row>
    <row r="732" spans="1:1" x14ac:dyDescent="0.2">
      <c r="A732" s="12" t="s">
        <v>688</v>
      </c>
    </row>
    <row r="733" spans="1:1" x14ac:dyDescent="0.2">
      <c r="A733" s="12" t="s">
        <v>688</v>
      </c>
    </row>
    <row r="734" spans="1:1" x14ac:dyDescent="0.2">
      <c r="A734" s="12" t="s">
        <v>688</v>
      </c>
    </row>
    <row r="735" spans="1:1" x14ac:dyDescent="0.2">
      <c r="A735" s="12" t="s">
        <v>689</v>
      </c>
    </row>
    <row r="736" spans="1:1" x14ac:dyDescent="0.2">
      <c r="A736" s="12" t="s">
        <v>690</v>
      </c>
    </row>
    <row r="737" spans="1:1" x14ac:dyDescent="0.2">
      <c r="A737" s="12" t="s">
        <v>691</v>
      </c>
    </row>
    <row r="738" spans="1:1" x14ac:dyDescent="0.2">
      <c r="A738" s="12" t="s">
        <v>692</v>
      </c>
    </row>
    <row r="739" spans="1:1" x14ac:dyDescent="0.2">
      <c r="A739" s="12" t="s">
        <v>693</v>
      </c>
    </row>
    <row r="740" spans="1:1" x14ac:dyDescent="0.2">
      <c r="A740" s="12" t="s">
        <v>694</v>
      </c>
    </row>
    <row r="741" spans="1:1" x14ac:dyDescent="0.2">
      <c r="A741" s="12" t="s">
        <v>695</v>
      </c>
    </row>
    <row r="742" spans="1:1" x14ac:dyDescent="0.2">
      <c r="A742" s="12" t="s">
        <v>695</v>
      </c>
    </row>
    <row r="743" spans="1:1" x14ac:dyDescent="0.2">
      <c r="A743" s="12" t="s">
        <v>696</v>
      </c>
    </row>
    <row r="744" spans="1:1" x14ac:dyDescent="0.2">
      <c r="A744" s="12" t="s">
        <v>697</v>
      </c>
    </row>
    <row r="745" spans="1:1" x14ac:dyDescent="0.2">
      <c r="A745" s="12" t="s">
        <v>698</v>
      </c>
    </row>
    <row r="746" spans="1:1" x14ac:dyDescent="0.2">
      <c r="A746" s="12" t="s">
        <v>699</v>
      </c>
    </row>
    <row r="747" spans="1:1" x14ac:dyDescent="0.2">
      <c r="A747" s="12" t="s">
        <v>700</v>
      </c>
    </row>
    <row r="748" spans="1:1" x14ac:dyDescent="0.2">
      <c r="A748" s="12" t="s">
        <v>701</v>
      </c>
    </row>
    <row r="749" spans="1:1" x14ac:dyDescent="0.2">
      <c r="A749" s="12" t="s">
        <v>702</v>
      </c>
    </row>
    <row r="750" spans="1:1" x14ac:dyDescent="0.2">
      <c r="A750" s="12" t="s">
        <v>703</v>
      </c>
    </row>
    <row r="751" spans="1:1" x14ac:dyDescent="0.2">
      <c r="A751" s="12" t="s">
        <v>704</v>
      </c>
    </row>
    <row r="752" spans="1:1" x14ac:dyDescent="0.2">
      <c r="A752" s="12" t="s">
        <v>705</v>
      </c>
    </row>
    <row r="753" spans="1:1" x14ac:dyDescent="0.2">
      <c r="A753" s="12" t="s">
        <v>706</v>
      </c>
    </row>
    <row r="754" spans="1:1" x14ac:dyDescent="0.2">
      <c r="A754" s="12" t="s">
        <v>706</v>
      </c>
    </row>
    <row r="755" spans="1:1" x14ac:dyDescent="0.2">
      <c r="A755" s="12" t="s">
        <v>707</v>
      </c>
    </row>
    <row r="756" spans="1:1" x14ac:dyDescent="0.2">
      <c r="A756" s="12" t="s">
        <v>708</v>
      </c>
    </row>
    <row r="757" spans="1:1" x14ac:dyDescent="0.2">
      <c r="A757" s="12" t="s">
        <v>709</v>
      </c>
    </row>
    <row r="758" spans="1:1" x14ac:dyDescent="0.2">
      <c r="A758" s="12" t="s">
        <v>709</v>
      </c>
    </row>
    <row r="759" spans="1:1" x14ac:dyDescent="0.2">
      <c r="A759" s="12" t="s">
        <v>710</v>
      </c>
    </row>
    <row r="760" spans="1:1" x14ac:dyDescent="0.2">
      <c r="A760" s="12" t="s">
        <v>711</v>
      </c>
    </row>
    <row r="761" spans="1:1" x14ac:dyDescent="0.2">
      <c r="A761" s="12" t="s">
        <v>712</v>
      </c>
    </row>
    <row r="762" spans="1:1" x14ac:dyDescent="0.2">
      <c r="A762" s="12" t="s">
        <v>713</v>
      </c>
    </row>
    <row r="763" spans="1:1" x14ac:dyDescent="0.2">
      <c r="A763" s="12" t="s">
        <v>714</v>
      </c>
    </row>
    <row r="764" spans="1:1" x14ac:dyDescent="0.2">
      <c r="A764" s="12" t="s">
        <v>715</v>
      </c>
    </row>
    <row r="765" spans="1:1" x14ac:dyDescent="0.2">
      <c r="A765" s="12" t="s">
        <v>716</v>
      </c>
    </row>
    <row r="766" spans="1:1" x14ac:dyDescent="0.2">
      <c r="A766" s="12" t="s">
        <v>717</v>
      </c>
    </row>
    <row r="767" spans="1:1" x14ac:dyDescent="0.2">
      <c r="A767" s="12" t="s">
        <v>718</v>
      </c>
    </row>
    <row r="768" spans="1:1" x14ac:dyDescent="0.2">
      <c r="A768" s="12" t="s">
        <v>719</v>
      </c>
    </row>
    <row r="769" spans="1:1" x14ac:dyDescent="0.2">
      <c r="A769" s="12" t="s">
        <v>116</v>
      </c>
    </row>
    <row r="770" spans="1:1" x14ac:dyDescent="0.2">
      <c r="A770" s="12" t="s">
        <v>720</v>
      </c>
    </row>
    <row r="771" spans="1:1" x14ac:dyDescent="0.2">
      <c r="A771" s="12" t="s">
        <v>721</v>
      </c>
    </row>
    <row r="772" spans="1:1" x14ac:dyDescent="0.2">
      <c r="A772" s="12" t="s">
        <v>722</v>
      </c>
    </row>
    <row r="773" spans="1:1" x14ac:dyDescent="0.2">
      <c r="A773" s="12" t="s">
        <v>723</v>
      </c>
    </row>
    <row r="774" spans="1:1" x14ac:dyDescent="0.2">
      <c r="A774" s="12" t="s">
        <v>724</v>
      </c>
    </row>
    <row r="775" spans="1:1" x14ac:dyDescent="0.2">
      <c r="A775" s="12" t="s">
        <v>725</v>
      </c>
    </row>
    <row r="776" spans="1:1" x14ac:dyDescent="0.2">
      <c r="A776" s="12" t="s">
        <v>726</v>
      </c>
    </row>
    <row r="777" spans="1:1" x14ac:dyDescent="0.2">
      <c r="A777" s="12" t="s">
        <v>727</v>
      </c>
    </row>
    <row r="778" spans="1:1" x14ac:dyDescent="0.2">
      <c r="A778" s="12" t="s">
        <v>728</v>
      </c>
    </row>
    <row r="779" spans="1:1" x14ac:dyDescent="0.2">
      <c r="A779" s="12" t="s">
        <v>729</v>
      </c>
    </row>
    <row r="780" spans="1:1" x14ac:dyDescent="0.2">
      <c r="A780" s="12" t="s">
        <v>730</v>
      </c>
    </row>
    <row r="781" spans="1:1" x14ac:dyDescent="0.2">
      <c r="A781" s="12" t="s">
        <v>731</v>
      </c>
    </row>
    <row r="782" spans="1:1" x14ac:dyDescent="0.2">
      <c r="A782" s="12" t="s">
        <v>732</v>
      </c>
    </row>
    <row r="783" spans="1:1" x14ac:dyDescent="0.2">
      <c r="A783" s="12" t="s">
        <v>733</v>
      </c>
    </row>
    <row r="784" spans="1:1" x14ac:dyDescent="0.2">
      <c r="A784" s="12" t="s">
        <v>734</v>
      </c>
    </row>
    <row r="785" spans="1:1" x14ac:dyDescent="0.2">
      <c r="A785" s="12" t="s">
        <v>734</v>
      </c>
    </row>
    <row r="786" spans="1:1" x14ac:dyDescent="0.2">
      <c r="A786" s="12" t="s">
        <v>735</v>
      </c>
    </row>
    <row r="787" spans="1:1" x14ac:dyDescent="0.2">
      <c r="A787" s="12" t="s">
        <v>735</v>
      </c>
    </row>
    <row r="788" spans="1:1" x14ac:dyDescent="0.2">
      <c r="A788" s="12" t="s">
        <v>736</v>
      </c>
    </row>
    <row r="789" spans="1:1" x14ac:dyDescent="0.2">
      <c r="A789" s="12" t="s">
        <v>737</v>
      </c>
    </row>
    <row r="790" spans="1:1" x14ac:dyDescent="0.2">
      <c r="A790" s="12" t="s">
        <v>738</v>
      </c>
    </row>
    <row r="791" spans="1:1" x14ac:dyDescent="0.2">
      <c r="A791" s="12" t="s">
        <v>119</v>
      </c>
    </row>
    <row r="792" spans="1:1" x14ac:dyDescent="0.2">
      <c r="A792" s="12" t="s">
        <v>739</v>
      </c>
    </row>
    <row r="793" spans="1:1" x14ac:dyDescent="0.2">
      <c r="A793" s="12" t="s">
        <v>740</v>
      </c>
    </row>
    <row r="794" spans="1:1" x14ac:dyDescent="0.2">
      <c r="A794" s="12" t="s">
        <v>741</v>
      </c>
    </row>
    <row r="795" spans="1:1" x14ac:dyDescent="0.2">
      <c r="A795" s="12" t="s">
        <v>742</v>
      </c>
    </row>
    <row r="796" spans="1:1" x14ac:dyDescent="0.2">
      <c r="A796" s="12" t="s">
        <v>743</v>
      </c>
    </row>
    <row r="797" spans="1:1" x14ac:dyDescent="0.2">
      <c r="A797" s="12" t="s">
        <v>744</v>
      </c>
    </row>
    <row r="798" spans="1:1" x14ac:dyDescent="0.2">
      <c r="A798" s="12" t="s">
        <v>745</v>
      </c>
    </row>
    <row r="799" spans="1:1" x14ac:dyDescent="0.2">
      <c r="A799" s="12" t="s">
        <v>746</v>
      </c>
    </row>
    <row r="800" spans="1:1" x14ac:dyDescent="0.2">
      <c r="A800" s="12" t="s">
        <v>747</v>
      </c>
    </row>
    <row r="801" spans="1:1" x14ac:dyDescent="0.2">
      <c r="A801" s="12" t="s">
        <v>748</v>
      </c>
    </row>
    <row r="802" spans="1:1" x14ac:dyDescent="0.2">
      <c r="A802" s="12" t="s">
        <v>749</v>
      </c>
    </row>
    <row r="803" spans="1:1" x14ac:dyDescent="0.2">
      <c r="A803" s="12" t="s">
        <v>750</v>
      </c>
    </row>
    <row r="804" spans="1:1" x14ac:dyDescent="0.2">
      <c r="A804" s="12" t="s">
        <v>750</v>
      </c>
    </row>
    <row r="805" spans="1:1" x14ac:dyDescent="0.2">
      <c r="A805" s="12" t="s">
        <v>751</v>
      </c>
    </row>
    <row r="806" spans="1:1" x14ac:dyDescent="0.2">
      <c r="A806" s="12" t="s">
        <v>752</v>
      </c>
    </row>
    <row r="807" spans="1:1" x14ac:dyDescent="0.2">
      <c r="A807" s="12" t="s">
        <v>753</v>
      </c>
    </row>
    <row r="808" spans="1:1" x14ac:dyDescent="0.2">
      <c r="A808" s="12" t="s">
        <v>753</v>
      </c>
    </row>
    <row r="809" spans="1:1" x14ac:dyDescent="0.2">
      <c r="A809" s="12" t="s">
        <v>754</v>
      </c>
    </row>
    <row r="810" spans="1:1" x14ac:dyDescent="0.2">
      <c r="A810" s="12" t="s">
        <v>755</v>
      </c>
    </row>
    <row r="811" spans="1:1" x14ac:dyDescent="0.2">
      <c r="A811" s="12" t="s">
        <v>756</v>
      </c>
    </row>
    <row r="812" spans="1:1" x14ac:dyDescent="0.2">
      <c r="A812" s="12" t="s">
        <v>757</v>
      </c>
    </row>
    <row r="813" spans="1:1" x14ac:dyDescent="0.2">
      <c r="A813" s="12" t="s">
        <v>758</v>
      </c>
    </row>
    <row r="814" spans="1:1" x14ac:dyDescent="0.2">
      <c r="A814" s="12" t="s">
        <v>759</v>
      </c>
    </row>
    <row r="815" spans="1:1" x14ac:dyDescent="0.2">
      <c r="A815" s="12" t="s">
        <v>760</v>
      </c>
    </row>
    <row r="816" spans="1:1" x14ac:dyDescent="0.2">
      <c r="A816" s="12" t="s">
        <v>760</v>
      </c>
    </row>
    <row r="817" spans="1:1" x14ac:dyDescent="0.2">
      <c r="A817" s="12" t="s">
        <v>760</v>
      </c>
    </row>
    <row r="818" spans="1:1" x14ac:dyDescent="0.2">
      <c r="A818" s="12" t="s">
        <v>761</v>
      </c>
    </row>
    <row r="819" spans="1:1" x14ac:dyDescent="0.2">
      <c r="A819" s="12" t="s">
        <v>762</v>
      </c>
    </row>
    <row r="820" spans="1:1" x14ac:dyDescent="0.2">
      <c r="A820" s="12" t="s">
        <v>763</v>
      </c>
    </row>
    <row r="821" spans="1:1" x14ac:dyDescent="0.2">
      <c r="A821" s="12" t="s">
        <v>763</v>
      </c>
    </row>
    <row r="822" spans="1:1" x14ac:dyDescent="0.2">
      <c r="A822" s="12" t="s">
        <v>764</v>
      </c>
    </row>
    <row r="823" spans="1:1" x14ac:dyDescent="0.2">
      <c r="A823" s="12" t="s">
        <v>765</v>
      </c>
    </row>
    <row r="824" spans="1:1" x14ac:dyDescent="0.2">
      <c r="A824" s="12" t="s">
        <v>766</v>
      </c>
    </row>
    <row r="825" spans="1:1" x14ac:dyDescent="0.2">
      <c r="A825" s="12" t="s">
        <v>767</v>
      </c>
    </row>
    <row r="826" spans="1:1" x14ac:dyDescent="0.2">
      <c r="A826" s="12" t="s">
        <v>768</v>
      </c>
    </row>
    <row r="827" spans="1:1" x14ac:dyDescent="0.2">
      <c r="A827" s="12" t="s">
        <v>769</v>
      </c>
    </row>
    <row r="828" spans="1:1" x14ac:dyDescent="0.2">
      <c r="A828" s="12" t="s">
        <v>770</v>
      </c>
    </row>
    <row r="829" spans="1:1" x14ac:dyDescent="0.2">
      <c r="A829" s="12" t="s">
        <v>771</v>
      </c>
    </row>
    <row r="830" spans="1:1" x14ac:dyDescent="0.2">
      <c r="A830" s="12" t="s">
        <v>772</v>
      </c>
    </row>
    <row r="831" spans="1:1" x14ac:dyDescent="0.2">
      <c r="A831" s="12" t="s">
        <v>773</v>
      </c>
    </row>
    <row r="832" spans="1:1" x14ac:dyDescent="0.2">
      <c r="A832" s="12" t="s">
        <v>774</v>
      </c>
    </row>
    <row r="833" spans="1:1" x14ac:dyDescent="0.2">
      <c r="A833" s="12" t="s">
        <v>775</v>
      </c>
    </row>
    <row r="834" spans="1:1" x14ac:dyDescent="0.2">
      <c r="A834" s="12" t="s">
        <v>776</v>
      </c>
    </row>
    <row r="835" spans="1:1" x14ac:dyDescent="0.2">
      <c r="A835" s="12" t="s">
        <v>777</v>
      </c>
    </row>
    <row r="836" spans="1:1" x14ac:dyDescent="0.2">
      <c r="A836" s="12" t="s">
        <v>778</v>
      </c>
    </row>
    <row r="837" spans="1:1" x14ac:dyDescent="0.2">
      <c r="A837" s="12" t="s">
        <v>779</v>
      </c>
    </row>
    <row r="838" spans="1:1" x14ac:dyDescent="0.2">
      <c r="A838" s="12" t="s">
        <v>780</v>
      </c>
    </row>
    <row r="839" spans="1:1" x14ac:dyDescent="0.2">
      <c r="A839" s="12" t="s">
        <v>781</v>
      </c>
    </row>
    <row r="840" spans="1:1" x14ac:dyDescent="0.2">
      <c r="A840" s="12" t="s">
        <v>782</v>
      </c>
    </row>
    <row r="841" spans="1:1" x14ac:dyDescent="0.2">
      <c r="A841" s="12" t="s">
        <v>783</v>
      </c>
    </row>
    <row r="842" spans="1:1" x14ac:dyDescent="0.2">
      <c r="A842" s="12" t="s">
        <v>784</v>
      </c>
    </row>
    <row r="843" spans="1:1" x14ac:dyDescent="0.2">
      <c r="A843" s="12" t="s">
        <v>785</v>
      </c>
    </row>
    <row r="844" spans="1:1" x14ac:dyDescent="0.2">
      <c r="A844" s="12" t="s">
        <v>786</v>
      </c>
    </row>
    <row r="845" spans="1:1" x14ac:dyDescent="0.2">
      <c r="A845" s="12" t="s">
        <v>787</v>
      </c>
    </row>
    <row r="846" spans="1:1" x14ac:dyDescent="0.2">
      <c r="A846" s="12" t="s">
        <v>788</v>
      </c>
    </row>
    <row r="847" spans="1:1" x14ac:dyDescent="0.2">
      <c r="A847" s="12" t="s">
        <v>789</v>
      </c>
    </row>
    <row r="848" spans="1:1" x14ac:dyDescent="0.2">
      <c r="A848" s="12" t="s">
        <v>790</v>
      </c>
    </row>
    <row r="849" spans="1:1" x14ac:dyDescent="0.2">
      <c r="A849" s="12" t="s">
        <v>791</v>
      </c>
    </row>
    <row r="850" spans="1:1" x14ac:dyDescent="0.2">
      <c r="A850" s="12" t="s">
        <v>792</v>
      </c>
    </row>
    <row r="851" spans="1:1" x14ac:dyDescent="0.2">
      <c r="A851" s="12" t="s">
        <v>793</v>
      </c>
    </row>
    <row r="852" spans="1:1" x14ac:dyDescent="0.2">
      <c r="A852" s="12" t="s">
        <v>794</v>
      </c>
    </row>
    <row r="853" spans="1:1" x14ac:dyDescent="0.2">
      <c r="A853" s="12" t="s">
        <v>795</v>
      </c>
    </row>
    <row r="854" spans="1:1" x14ac:dyDescent="0.2">
      <c r="A854" s="12" t="s">
        <v>796</v>
      </c>
    </row>
    <row r="855" spans="1:1" x14ac:dyDescent="0.2">
      <c r="A855" s="12" t="s">
        <v>797</v>
      </c>
    </row>
    <row r="856" spans="1:1" x14ac:dyDescent="0.2">
      <c r="A856" s="12" t="s">
        <v>798</v>
      </c>
    </row>
    <row r="857" spans="1:1" x14ac:dyDescent="0.2">
      <c r="A857" s="12" t="s">
        <v>799</v>
      </c>
    </row>
    <row r="858" spans="1:1" x14ac:dyDescent="0.2">
      <c r="A858" s="12" t="s">
        <v>800</v>
      </c>
    </row>
    <row r="859" spans="1:1" x14ac:dyDescent="0.2">
      <c r="A859" s="12" t="s">
        <v>801</v>
      </c>
    </row>
    <row r="860" spans="1:1" x14ac:dyDescent="0.2">
      <c r="A860" s="12" t="s">
        <v>802</v>
      </c>
    </row>
    <row r="861" spans="1:1" x14ac:dyDescent="0.2">
      <c r="A861" s="12" t="s">
        <v>803</v>
      </c>
    </row>
    <row r="862" spans="1:1" x14ac:dyDescent="0.2">
      <c r="A862" s="12" t="s">
        <v>804</v>
      </c>
    </row>
    <row r="863" spans="1:1" x14ac:dyDescent="0.2">
      <c r="A863" s="12" t="s">
        <v>805</v>
      </c>
    </row>
    <row r="864" spans="1:1" x14ac:dyDescent="0.2">
      <c r="A864" s="12" t="s">
        <v>806</v>
      </c>
    </row>
    <row r="865" spans="1:1" x14ac:dyDescent="0.2">
      <c r="A865" s="12" t="s">
        <v>807</v>
      </c>
    </row>
    <row r="866" spans="1:1" x14ac:dyDescent="0.2">
      <c r="A866" s="12" t="s">
        <v>808</v>
      </c>
    </row>
    <row r="867" spans="1:1" x14ac:dyDescent="0.2">
      <c r="A867" s="12" t="s">
        <v>809</v>
      </c>
    </row>
    <row r="868" spans="1:1" x14ac:dyDescent="0.2">
      <c r="A868" s="12" t="s">
        <v>810</v>
      </c>
    </row>
    <row r="869" spans="1:1" x14ac:dyDescent="0.2">
      <c r="A869" s="12" t="s">
        <v>811</v>
      </c>
    </row>
    <row r="870" spans="1:1" x14ac:dyDescent="0.2">
      <c r="A870" s="12" t="s">
        <v>812</v>
      </c>
    </row>
    <row r="871" spans="1:1" x14ac:dyDescent="0.2">
      <c r="A871" s="12" t="s">
        <v>813</v>
      </c>
    </row>
    <row r="872" spans="1:1" x14ac:dyDescent="0.2">
      <c r="A872" s="12" t="s">
        <v>814</v>
      </c>
    </row>
    <row r="873" spans="1:1" x14ac:dyDescent="0.2">
      <c r="A873" s="12" t="s">
        <v>815</v>
      </c>
    </row>
    <row r="874" spans="1:1" x14ac:dyDescent="0.2">
      <c r="A874" s="12" t="s">
        <v>816</v>
      </c>
    </row>
    <row r="875" spans="1:1" x14ac:dyDescent="0.2">
      <c r="A875" s="12" t="s">
        <v>817</v>
      </c>
    </row>
    <row r="876" spans="1:1" x14ac:dyDescent="0.2">
      <c r="A876" s="12" t="s">
        <v>818</v>
      </c>
    </row>
    <row r="877" spans="1:1" x14ac:dyDescent="0.2">
      <c r="A877" s="12" t="s">
        <v>819</v>
      </c>
    </row>
    <row r="878" spans="1:1" x14ac:dyDescent="0.2">
      <c r="A878" s="12" t="s">
        <v>820</v>
      </c>
    </row>
    <row r="879" spans="1:1" x14ac:dyDescent="0.2">
      <c r="A879" s="12" t="s">
        <v>821</v>
      </c>
    </row>
    <row r="880" spans="1:1" x14ac:dyDescent="0.2">
      <c r="A880" s="12" t="s">
        <v>822</v>
      </c>
    </row>
    <row r="881" spans="1:1" x14ac:dyDescent="0.2">
      <c r="A881" s="12" t="s">
        <v>823</v>
      </c>
    </row>
    <row r="882" spans="1:1" x14ac:dyDescent="0.2">
      <c r="A882" s="12" t="s">
        <v>824</v>
      </c>
    </row>
    <row r="883" spans="1:1" x14ac:dyDescent="0.2">
      <c r="A883" s="12" t="s">
        <v>825</v>
      </c>
    </row>
    <row r="884" spans="1:1" x14ac:dyDescent="0.2">
      <c r="A884" s="12" t="s">
        <v>125</v>
      </c>
    </row>
    <row r="885" spans="1:1" x14ac:dyDescent="0.2">
      <c r="A885" s="12" t="s">
        <v>125</v>
      </c>
    </row>
    <row r="886" spans="1:1" x14ac:dyDescent="0.2">
      <c r="A886" s="12" t="s">
        <v>826</v>
      </c>
    </row>
    <row r="887" spans="1:1" x14ac:dyDescent="0.2">
      <c r="A887" s="12" t="s">
        <v>827</v>
      </c>
    </row>
    <row r="888" spans="1:1" x14ac:dyDescent="0.2">
      <c r="A888" s="12" t="s">
        <v>828</v>
      </c>
    </row>
    <row r="889" spans="1:1" x14ac:dyDescent="0.2">
      <c r="A889" s="12" t="s">
        <v>829</v>
      </c>
    </row>
    <row r="890" spans="1:1" x14ac:dyDescent="0.2">
      <c r="A890" s="12" t="s">
        <v>830</v>
      </c>
    </row>
    <row r="891" spans="1:1" x14ac:dyDescent="0.2">
      <c r="A891" s="12" t="s">
        <v>831</v>
      </c>
    </row>
    <row r="892" spans="1:1" x14ac:dyDescent="0.2">
      <c r="A892" s="12" t="s">
        <v>832</v>
      </c>
    </row>
    <row r="893" spans="1:1" x14ac:dyDescent="0.2">
      <c r="A893" s="12" t="s">
        <v>833</v>
      </c>
    </row>
    <row r="894" spans="1:1" x14ac:dyDescent="0.2">
      <c r="A894" s="12" t="s">
        <v>834</v>
      </c>
    </row>
    <row r="895" spans="1:1" x14ac:dyDescent="0.2">
      <c r="A895" s="12" t="s">
        <v>835</v>
      </c>
    </row>
    <row r="896" spans="1:1" x14ac:dyDescent="0.2">
      <c r="A896" s="12" t="s">
        <v>836</v>
      </c>
    </row>
    <row r="897" spans="1:1" x14ac:dyDescent="0.2">
      <c r="A897" s="12" t="s">
        <v>837</v>
      </c>
    </row>
    <row r="898" spans="1:1" x14ac:dyDescent="0.2">
      <c r="A898" s="12" t="s">
        <v>838</v>
      </c>
    </row>
    <row r="899" spans="1:1" x14ac:dyDescent="0.2">
      <c r="A899" s="12" t="s">
        <v>839</v>
      </c>
    </row>
    <row r="900" spans="1:1" x14ac:dyDescent="0.2">
      <c r="A900" s="12" t="s">
        <v>840</v>
      </c>
    </row>
    <row r="901" spans="1:1" x14ac:dyDescent="0.2">
      <c r="A901" s="12" t="s">
        <v>841</v>
      </c>
    </row>
    <row r="902" spans="1:1" x14ac:dyDescent="0.2">
      <c r="A902" s="12" t="s">
        <v>842</v>
      </c>
    </row>
    <row r="903" spans="1:1" x14ac:dyDescent="0.2">
      <c r="A903" s="12" t="s">
        <v>843</v>
      </c>
    </row>
    <row r="904" spans="1:1" x14ac:dyDescent="0.2">
      <c r="A904" s="12" t="s">
        <v>844</v>
      </c>
    </row>
    <row r="905" spans="1:1" x14ac:dyDescent="0.2">
      <c r="A905" s="12" t="s">
        <v>845</v>
      </c>
    </row>
    <row r="906" spans="1:1" x14ac:dyDescent="0.2">
      <c r="A906" s="12" t="s">
        <v>846</v>
      </c>
    </row>
    <row r="907" spans="1:1" x14ac:dyDescent="0.2">
      <c r="A907" s="12" t="s">
        <v>129</v>
      </c>
    </row>
    <row r="908" spans="1:1" x14ac:dyDescent="0.2">
      <c r="A908" s="12" t="s">
        <v>847</v>
      </c>
    </row>
    <row r="909" spans="1:1" x14ac:dyDescent="0.2">
      <c r="A909" s="12" t="s">
        <v>131</v>
      </c>
    </row>
    <row r="910" spans="1:1" x14ac:dyDescent="0.2">
      <c r="A910" s="12" t="s">
        <v>848</v>
      </c>
    </row>
    <row r="911" spans="1:1" x14ac:dyDescent="0.2">
      <c r="A911" s="12" t="s">
        <v>849</v>
      </c>
    </row>
    <row r="912" spans="1:1" x14ac:dyDescent="0.2">
      <c r="A912" s="12" t="s">
        <v>850</v>
      </c>
    </row>
    <row r="913" spans="1:1" x14ac:dyDescent="0.2">
      <c r="A913" s="12" t="s">
        <v>851</v>
      </c>
    </row>
    <row r="914" spans="1:1" x14ac:dyDescent="0.2">
      <c r="A914" s="12" t="s">
        <v>852</v>
      </c>
    </row>
    <row r="915" spans="1:1" x14ac:dyDescent="0.2">
      <c r="A915" s="12" t="s">
        <v>853</v>
      </c>
    </row>
    <row r="916" spans="1:1" x14ac:dyDescent="0.2">
      <c r="A916" s="12" t="s">
        <v>854</v>
      </c>
    </row>
    <row r="917" spans="1:1" x14ac:dyDescent="0.2">
      <c r="A917" s="12" t="s">
        <v>855</v>
      </c>
    </row>
    <row r="918" spans="1:1" x14ac:dyDescent="0.2">
      <c r="A918" s="12" t="s">
        <v>856</v>
      </c>
    </row>
    <row r="919" spans="1:1" x14ac:dyDescent="0.2">
      <c r="A919" s="12" t="s">
        <v>133</v>
      </c>
    </row>
    <row r="920" spans="1:1" x14ac:dyDescent="0.2">
      <c r="A920" s="12" t="s">
        <v>857</v>
      </c>
    </row>
    <row r="921" spans="1:1" x14ac:dyDescent="0.2">
      <c r="A921" s="12" t="s">
        <v>858</v>
      </c>
    </row>
    <row r="922" spans="1:1" x14ac:dyDescent="0.2">
      <c r="A922" s="12" t="s">
        <v>859</v>
      </c>
    </row>
    <row r="923" spans="1:1" x14ac:dyDescent="0.2">
      <c r="A923" s="12" t="s">
        <v>860</v>
      </c>
    </row>
    <row r="924" spans="1:1" x14ac:dyDescent="0.2">
      <c r="A924" s="12" t="s">
        <v>861</v>
      </c>
    </row>
    <row r="925" spans="1:1" x14ac:dyDescent="0.2">
      <c r="A925" s="12" t="s">
        <v>862</v>
      </c>
    </row>
    <row r="926" spans="1:1" x14ac:dyDescent="0.2">
      <c r="A926" s="12" t="s">
        <v>863</v>
      </c>
    </row>
    <row r="927" spans="1:1" x14ac:dyDescent="0.2">
      <c r="A927" s="12" t="s">
        <v>864</v>
      </c>
    </row>
    <row r="928" spans="1:1" x14ac:dyDescent="0.2">
      <c r="A928" s="12" t="s">
        <v>865</v>
      </c>
    </row>
    <row r="929" spans="1:1" x14ac:dyDescent="0.2">
      <c r="A929" s="12" t="s">
        <v>866</v>
      </c>
    </row>
    <row r="930" spans="1:1" x14ac:dyDescent="0.2">
      <c r="A930" s="12" t="s">
        <v>867</v>
      </c>
    </row>
    <row r="931" spans="1:1" x14ac:dyDescent="0.2">
      <c r="A931" s="12" t="s">
        <v>868</v>
      </c>
    </row>
    <row r="932" spans="1:1" x14ac:dyDescent="0.2">
      <c r="A932" s="12" t="s">
        <v>869</v>
      </c>
    </row>
    <row r="933" spans="1:1" x14ac:dyDescent="0.2">
      <c r="A933" s="12" t="s">
        <v>870</v>
      </c>
    </row>
    <row r="934" spans="1:1" x14ac:dyDescent="0.2">
      <c r="A934" s="12" t="s">
        <v>871</v>
      </c>
    </row>
    <row r="935" spans="1:1" x14ac:dyDescent="0.2">
      <c r="A935" s="12" t="s">
        <v>872</v>
      </c>
    </row>
    <row r="936" spans="1:1" x14ac:dyDescent="0.2">
      <c r="A936" s="12" t="s">
        <v>873</v>
      </c>
    </row>
    <row r="937" spans="1:1" x14ac:dyDescent="0.2">
      <c r="A937" s="12" t="s">
        <v>874</v>
      </c>
    </row>
    <row r="938" spans="1:1" x14ac:dyDescent="0.2">
      <c r="A938" s="12" t="s">
        <v>875</v>
      </c>
    </row>
    <row r="939" spans="1:1" x14ac:dyDescent="0.2">
      <c r="A939" s="12" t="s">
        <v>876</v>
      </c>
    </row>
    <row r="940" spans="1:1" x14ac:dyDescent="0.2">
      <c r="A940" s="12" t="s">
        <v>877</v>
      </c>
    </row>
    <row r="941" spans="1:1" x14ac:dyDescent="0.2">
      <c r="A941" s="12" t="s">
        <v>878</v>
      </c>
    </row>
    <row r="942" spans="1:1" x14ac:dyDescent="0.2">
      <c r="A942" s="12" t="s">
        <v>879</v>
      </c>
    </row>
    <row r="943" spans="1:1" x14ac:dyDescent="0.2">
      <c r="A943" s="12" t="s">
        <v>880</v>
      </c>
    </row>
    <row r="944" spans="1:1" x14ac:dyDescent="0.2">
      <c r="A944" s="12" t="s">
        <v>881</v>
      </c>
    </row>
    <row r="945" spans="1:1" x14ac:dyDescent="0.2">
      <c r="A945" s="12" t="s">
        <v>882</v>
      </c>
    </row>
    <row r="946" spans="1:1" x14ac:dyDescent="0.2">
      <c r="A946" s="12" t="s">
        <v>883</v>
      </c>
    </row>
    <row r="947" spans="1:1" x14ac:dyDescent="0.2">
      <c r="A947" s="12" t="s">
        <v>884</v>
      </c>
    </row>
    <row r="948" spans="1:1" x14ac:dyDescent="0.2">
      <c r="A948" s="12" t="s">
        <v>885</v>
      </c>
    </row>
    <row r="949" spans="1:1" x14ac:dyDescent="0.2">
      <c r="A949" s="12" t="s">
        <v>886</v>
      </c>
    </row>
    <row r="950" spans="1:1" x14ac:dyDescent="0.2">
      <c r="A950" s="12" t="s">
        <v>887</v>
      </c>
    </row>
    <row r="951" spans="1:1" x14ac:dyDescent="0.2">
      <c r="A951" s="12" t="s">
        <v>888</v>
      </c>
    </row>
    <row r="952" spans="1:1" x14ac:dyDescent="0.2">
      <c r="A952" s="12" t="s">
        <v>889</v>
      </c>
    </row>
    <row r="953" spans="1:1" x14ac:dyDescent="0.2">
      <c r="A953" s="12" t="s">
        <v>890</v>
      </c>
    </row>
    <row r="954" spans="1:1" x14ac:dyDescent="0.2">
      <c r="A954" s="12" t="s">
        <v>891</v>
      </c>
    </row>
    <row r="955" spans="1:1" x14ac:dyDescent="0.2">
      <c r="A955" s="12" t="s">
        <v>892</v>
      </c>
    </row>
    <row r="956" spans="1:1" x14ac:dyDescent="0.2">
      <c r="A956" s="12" t="s">
        <v>893</v>
      </c>
    </row>
    <row r="957" spans="1:1" x14ac:dyDescent="0.2">
      <c r="A957" s="12" t="s">
        <v>894</v>
      </c>
    </row>
    <row r="958" spans="1:1" x14ac:dyDescent="0.2">
      <c r="A958" s="12" t="s">
        <v>895</v>
      </c>
    </row>
    <row r="959" spans="1:1" x14ac:dyDescent="0.2">
      <c r="A959" s="12" t="s">
        <v>896</v>
      </c>
    </row>
    <row r="960" spans="1:1" x14ac:dyDescent="0.2">
      <c r="A960" s="12" t="s">
        <v>897</v>
      </c>
    </row>
    <row r="961" spans="1:1" x14ac:dyDescent="0.2">
      <c r="A961" s="12" t="s">
        <v>898</v>
      </c>
    </row>
    <row r="962" spans="1:1" x14ac:dyDescent="0.2">
      <c r="A962" s="12" t="s">
        <v>143</v>
      </c>
    </row>
    <row r="963" spans="1:1" x14ac:dyDescent="0.2">
      <c r="A963" s="12" t="s">
        <v>899</v>
      </c>
    </row>
    <row r="964" spans="1:1" x14ac:dyDescent="0.2">
      <c r="A964" s="12" t="s">
        <v>899</v>
      </c>
    </row>
    <row r="965" spans="1:1" x14ac:dyDescent="0.2">
      <c r="A965" s="12" t="s">
        <v>900</v>
      </c>
    </row>
    <row r="966" spans="1:1" x14ac:dyDescent="0.2">
      <c r="A966" s="12" t="s">
        <v>901</v>
      </c>
    </row>
    <row r="967" spans="1:1" x14ac:dyDescent="0.2">
      <c r="A967" s="12" t="s">
        <v>902</v>
      </c>
    </row>
    <row r="968" spans="1:1" x14ac:dyDescent="0.2">
      <c r="A968" s="12" t="s">
        <v>903</v>
      </c>
    </row>
    <row r="969" spans="1:1" x14ac:dyDescent="0.2">
      <c r="A969" s="12" t="s">
        <v>904</v>
      </c>
    </row>
    <row r="970" spans="1:1" x14ac:dyDescent="0.2">
      <c r="A970" s="12" t="s">
        <v>905</v>
      </c>
    </row>
    <row r="971" spans="1:1" x14ac:dyDescent="0.2">
      <c r="A971" s="12" t="s">
        <v>906</v>
      </c>
    </row>
    <row r="972" spans="1:1" x14ac:dyDescent="0.2">
      <c r="A972" s="12" t="s">
        <v>907</v>
      </c>
    </row>
    <row r="973" spans="1:1" x14ac:dyDescent="0.2">
      <c r="A973" s="12" t="s">
        <v>908</v>
      </c>
    </row>
    <row r="974" spans="1:1" x14ac:dyDescent="0.2">
      <c r="A974" s="12" t="s">
        <v>909</v>
      </c>
    </row>
    <row r="975" spans="1:1" x14ac:dyDescent="0.2">
      <c r="A975" s="12" t="s">
        <v>910</v>
      </c>
    </row>
    <row r="976" spans="1:1" x14ac:dyDescent="0.2">
      <c r="A976" s="12" t="s">
        <v>911</v>
      </c>
    </row>
    <row r="977" spans="1:1" x14ac:dyDescent="0.2">
      <c r="A977" s="12" t="s">
        <v>912</v>
      </c>
    </row>
    <row r="978" spans="1:1" x14ac:dyDescent="0.2">
      <c r="A978" s="12" t="s">
        <v>913</v>
      </c>
    </row>
    <row r="979" spans="1:1" x14ac:dyDescent="0.2">
      <c r="A979" s="12" t="s">
        <v>914</v>
      </c>
    </row>
    <row r="980" spans="1:1" x14ac:dyDescent="0.2">
      <c r="A980" s="12" t="s">
        <v>915</v>
      </c>
    </row>
    <row r="981" spans="1:1" x14ac:dyDescent="0.2">
      <c r="A981" s="12" t="s">
        <v>916</v>
      </c>
    </row>
    <row r="982" spans="1:1" x14ac:dyDescent="0.2">
      <c r="A982" s="12" t="s">
        <v>916</v>
      </c>
    </row>
    <row r="983" spans="1:1" x14ac:dyDescent="0.2">
      <c r="A983" s="12" t="s">
        <v>917</v>
      </c>
    </row>
    <row r="984" spans="1:1" x14ac:dyDescent="0.2">
      <c r="A984" s="12" t="s">
        <v>918</v>
      </c>
    </row>
    <row r="985" spans="1:1" x14ac:dyDescent="0.2">
      <c r="A985" s="12" t="s">
        <v>919</v>
      </c>
    </row>
    <row r="986" spans="1:1" x14ac:dyDescent="0.2">
      <c r="A986" s="12" t="s">
        <v>920</v>
      </c>
    </row>
    <row r="987" spans="1:1" x14ac:dyDescent="0.2">
      <c r="A987" s="12" t="s">
        <v>921</v>
      </c>
    </row>
    <row r="988" spans="1:1" x14ac:dyDescent="0.2">
      <c r="A988" s="12" t="s">
        <v>922</v>
      </c>
    </row>
    <row r="989" spans="1:1" x14ac:dyDescent="0.2">
      <c r="A989" s="12" t="s">
        <v>923</v>
      </c>
    </row>
    <row r="990" spans="1:1" x14ac:dyDescent="0.2">
      <c r="A990" s="12" t="s">
        <v>924</v>
      </c>
    </row>
    <row r="991" spans="1:1" x14ac:dyDescent="0.2">
      <c r="A991" s="12" t="s">
        <v>925</v>
      </c>
    </row>
    <row r="992" spans="1:1" x14ac:dyDescent="0.2">
      <c r="A992" s="12" t="s">
        <v>926</v>
      </c>
    </row>
    <row r="993" spans="1:1" x14ac:dyDescent="0.2">
      <c r="A993" s="12" t="s">
        <v>927</v>
      </c>
    </row>
    <row r="994" spans="1:1" x14ac:dyDescent="0.2">
      <c r="A994" s="12" t="s">
        <v>928</v>
      </c>
    </row>
    <row r="995" spans="1:1" x14ac:dyDescent="0.2">
      <c r="A995" s="12" t="s">
        <v>929</v>
      </c>
    </row>
    <row r="996" spans="1:1" x14ac:dyDescent="0.2">
      <c r="A996" s="12" t="s">
        <v>930</v>
      </c>
    </row>
    <row r="997" spans="1:1" x14ac:dyDescent="0.2">
      <c r="A997" s="12" t="s">
        <v>931</v>
      </c>
    </row>
    <row r="998" spans="1:1" x14ac:dyDescent="0.2">
      <c r="A998" s="12" t="s">
        <v>932</v>
      </c>
    </row>
    <row r="999" spans="1:1" x14ac:dyDescent="0.2">
      <c r="A999" s="12" t="s">
        <v>933</v>
      </c>
    </row>
    <row r="1000" spans="1:1" x14ac:dyDescent="0.2">
      <c r="A1000" s="12" t="s">
        <v>934</v>
      </c>
    </row>
    <row r="1001" spans="1:1" x14ac:dyDescent="0.2">
      <c r="A1001" s="12" t="s">
        <v>935</v>
      </c>
    </row>
    <row r="1002" spans="1:1" x14ac:dyDescent="0.2">
      <c r="A1002" s="12" t="s">
        <v>936</v>
      </c>
    </row>
    <row r="1003" spans="1:1" x14ac:dyDescent="0.2">
      <c r="A1003" s="12" t="s">
        <v>937</v>
      </c>
    </row>
    <row r="1004" spans="1:1" x14ac:dyDescent="0.2">
      <c r="A1004" s="12" t="s">
        <v>938</v>
      </c>
    </row>
    <row r="1005" spans="1:1" x14ac:dyDescent="0.2">
      <c r="A1005" s="12" t="s">
        <v>939</v>
      </c>
    </row>
    <row r="1006" spans="1:1" x14ac:dyDescent="0.2">
      <c r="A1006" s="12" t="s">
        <v>940</v>
      </c>
    </row>
    <row r="1007" spans="1:1" x14ac:dyDescent="0.2">
      <c r="A1007" s="12" t="s">
        <v>941</v>
      </c>
    </row>
    <row r="1008" spans="1:1" x14ac:dyDescent="0.2">
      <c r="A1008" s="12" t="s">
        <v>942</v>
      </c>
    </row>
    <row r="1009" spans="1:1" x14ac:dyDescent="0.2">
      <c r="A1009" s="12" t="s">
        <v>943</v>
      </c>
    </row>
    <row r="1010" spans="1:1" x14ac:dyDescent="0.2">
      <c r="A1010" s="12" t="s">
        <v>944</v>
      </c>
    </row>
    <row r="1011" spans="1:1" x14ac:dyDescent="0.2">
      <c r="A1011" s="12" t="s">
        <v>150</v>
      </c>
    </row>
    <row r="1012" spans="1:1" x14ac:dyDescent="0.2">
      <c r="A1012" s="12" t="s">
        <v>150</v>
      </c>
    </row>
    <row r="1013" spans="1:1" x14ac:dyDescent="0.2">
      <c r="A1013" s="12" t="s">
        <v>945</v>
      </c>
    </row>
    <row r="1014" spans="1:1" x14ac:dyDescent="0.2">
      <c r="A1014" s="12" t="s">
        <v>946</v>
      </c>
    </row>
    <row r="1015" spans="1:1" x14ac:dyDescent="0.2">
      <c r="A1015" s="12" t="s">
        <v>947</v>
      </c>
    </row>
    <row r="1016" spans="1:1" x14ac:dyDescent="0.2">
      <c r="A1016" s="12" t="s">
        <v>948</v>
      </c>
    </row>
    <row r="1017" spans="1:1" x14ac:dyDescent="0.2">
      <c r="A1017" s="12" t="s">
        <v>949</v>
      </c>
    </row>
    <row r="1018" spans="1:1" x14ac:dyDescent="0.2">
      <c r="A1018" s="12" t="s">
        <v>950</v>
      </c>
    </row>
    <row r="1019" spans="1:1" x14ac:dyDescent="0.2">
      <c r="A1019" s="12" t="s">
        <v>951</v>
      </c>
    </row>
    <row r="1020" spans="1:1" x14ac:dyDescent="0.2">
      <c r="A1020" s="12" t="s">
        <v>952</v>
      </c>
    </row>
    <row r="1021" spans="1:1" x14ac:dyDescent="0.2">
      <c r="A1021" s="12" t="s">
        <v>953</v>
      </c>
    </row>
    <row r="1022" spans="1:1" x14ac:dyDescent="0.2">
      <c r="A1022" s="12" t="s">
        <v>954</v>
      </c>
    </row>
    <row r="1023" spans="1:1" x14ac:dyDescent="0.2">
      <c r="A1023" s="12" t="s">
        <v>955</v>
      </c>
    </row>
    <row r="1024" spans="1:1" x14ac:dyDescent="0.2">
      <c r="A1024" s="12" t="s">
        <v>956</v>
      </c>
    </row>
    <row r="1025" spans="1:1" x14ac:dyDescent="0.2">
      <c r="A1025" s="12" t="s">
        <v>957</v>
      </c>
    </row>
    <row r="1026" spans="1:1" x14ac:dyDescent="0.2">
      <c r="A1026" s="12" t="s">
        <v>958</v>
      </c>
    </row>
    <row r="1027" spans="1:1" x14ac:dyDescent="0.2">
      <c r="A1027" s="12" t="s">
        <v>959</v>
      </c>
    </row>
    <row r="1028" spans="1:1" x14ac:dyDescent="0.2">
      <c r="A1028" s="12" t="s">
        <v>960</v>
      </c>
    </row>
    <row r="1029" spans="1:1" x14ac:dyDescent="0.2">
      <c r="A1029" s="12" t="s">
        <v>961</v>
      </c>
    </row>
    <row r="1030" spans="1:1" x14ac:dyDescent="0.2">
      <c r="A1030" s="12" t="s">
        <v>962</v>
      </c>
    </row>
    <row r="1031" spans="1:1" x14ac:dyDescent="0.2">
      <c r="A1031" s="12" t="s">
        <v>963</v>
      </c>
    </row>
    <row r="1032" spans="1:1" x14ac:dyDescent="0.2">
      <c r="A1032" s="12" t="s">
        <v>964</v>
      </c>
    </row>
    <row r="1033" spans="1:1" x14ac:dyDescent="0.2">
      <c r="A1033" s="12" t="s">
        <v>965</v>
      </c>
    </row>
    <row r="1034" spans="1:1" x14ac:dyDescent="0.2">
      <c r="A1034" s="12" t="s">
        <v>966</v>
      </c>
    </row>
    <row r="1035" spans="1:1" x14ac:dyDescent="0.2">
      <c r="A1035" s="12" t="s">
        <v>967</v>
      </c>
    </row>
    <row r="1036" spans="1:1" x14ac:dyDescent="0.2">
      <c r="A1036" s="12" t="s">
        <v>968</v>
      </c>
    </row>
    <row r="1037" spans="1:1" x14ac:dyDescent="0.2">
      <c r="A1037" s="12" t="s">
        <v>969</v>
      </c>
    </row>
    <row r="1038" spans="1:1" x14ac:dyDescent="0.2">
      <c r="A1038" s="12" t="s">
        <v>970</v>
      </c>
    </row>
    <row r="1039" spans="1:1" x14ac:dyDescent="0.2">
      <c r="A1039" s="12" t="s">
        <v>971</v>
      </c>
    </row>
    <row r="1040" spans="1:1" x14ac:dyDescent="0.2">
      <c r="A1040" s="12" t="s">
        <v>972</v>
      </c>
    </row>
    <row r="1041" spans="1:1" x14ac:dyDescent="0.2">
      <c r="A1041" s="12" t="s">
        <v>973</v>
      </c>
    </row>
    <row r="1042" spans="1:1" x14ac:dyDescent="0.2">
      <c r="A1042" s="12" t="s">
        <v>974</v>
      </c>
    </row>
    <row r="1043" spans="1:1" x14ac:dyDescent="0.2">
      <c r="A1043" s="12" t="s">
        <v>975</v>
      </c>
    </row>
    <row r="1044" spans="1:1" x14ac:dyDescent="0.2">
      <c r="A1044" s="12" t="s">
        <v>976</v>
      </c>
    </row>
    <row r="1045" spans="1:1" x14ac:dyDescent="0.2">
      <c r="A1045" s="12" t="s">
        <v>977</v>
      </c>
    </row>
    <row r="1046" spans="1:1" x14ac:dyDescent="0.2">
      <c r="A1046" s="12" t="s">
        <v>978</v>
      </c>
    </row>
    <row r="1047" spans="1:1" x14ac:dyDescent="0.2">
      <c r="A1047" s="12" t="s">
        <v>979</v>
      </c>
    </row>
    <row r="1048" spans="1:1" x14ac:dyDescent="0.2">
      <c r="A1048" s="12" t="s">
        <v>980</v>
      </c>
    </row>
    <row r="1049" spans="1:1" x14ac:dyDescent="0.2">
      <c r="A1049" s="12" t="s">
        <v>981</v>
      </c>
    </row>
    <row r="1050" spans="1:1" x14ac:dyDescent="0.2">
      <c r="A1050" s="12" t="s">
        <v>982</v>
      </c>
    </row>
    <row r="1051" spans="1:1" x14ac:dyDescent="0.2">
      <c r="A1051" s="12" t="s">
        <v>983</v>
      </c>
    </row>
    <row r="1052" spans="1:1" x14ac:dyDescent="0.2">
      <c r="A1052" s="12" t="s">
        <v>984</v>
      </c>
    </row>
    <row r="1053" spans="1:1" x14ac:dyDescent="0.2">
      <c r="A1053" s="12" t="s">
        <v>985</v>
      </c>
    </row>
    <row r="1054" spans="1:1" x14ac:dyDescent="0.2">
      <c r="A1054" s="12" t="s">
        <v>986</v>
      </c>
    </row>
    <row r="1055" spans="1:1" x14ac:dyDescent="0.2">
      <c r="A1055" s="12" t="s">
        <v>987</v>
      </c>
    </row>
    <row r="1056" spans="1:1" x14ac:dyDescent="0.2">
      <c r="A1056" s="12" t="s">
        <v>988</v>
      </c>
    </row>
    <row r="1057" spans="1:1" x14ac:dyDescent="0.2">
      <c r="A1057" s="12" t="s">
        <v>989</v>
      </c>
    </row>
    <row r="1058" spans="1:1" x14ac:dyDescent="0.2">
      <c r="A1058" s="12" t="s">
        <v>990</v>
      </c>
    </row>
    <row r="1059" spans="1:1" x14ac:dyDescent="0.2">
      <c r="A1059" s="12" t="s">
        <v>991</v>
      </c>
    </row>
    <row r="1060" spans="1:1" x14ac:dyDescent="0.2">
      <c r="A1060" s="12" t="s">
        <v>992</v>
      </c>
    </row>
    <row r="1061" spans="1:1" x14ac:dyDescent="0.2">
      <c r="A1061" s="12" t="s">
        <v>992</v>
      </c>
    </row>
    <row r="1062" spans="1:1" x14ac:dyDescent="0.2">
      <c r="A1062" s="12" t="s">
        <v>993</v>
      </c>
    </row>
    <row r="1063" spans="1:1" x14ac:dyDescent="0.2">
      <c r="A1063" s="12" t="s">
        <v>994</v>
      </c>
    </row>
    <row r="1064" spans="1:1" x14ac:dyDescent="0.2">
      <c r="A1064" s="12" t="s">
        <v>995</v>
      </c>
    </row>
    <row r="1065" spans="1:1" x14ac:dyDescent="0.2">
      <c r="A1065" s="12" t="s">
        <v>996</v>
      </c>
    </row>
    <row r="1066" spans="1:1" x14ac:dyDescent="0.2">
      <c r="A1066" s="12" t="s">
        <v>997</v>
      </c>
    </row>
    <row r="1067" spans="1:1" x14ac:dyDescent="0.2">
      <c r="A1067" s="12" t="s">
        <v>998</v>
      </c>
    </row>
    <row r="1068" spans="1:1" x14ac:dyDescent="0.2">
      <c r="A1068" s="12" t="s">
        <v>999</v>
      </c>
    </row>
    <row r="1069" spans="1:1" x14ac:dyDescent="0.2">
      <c r="A1069" s="12" t="s">
        <v>1000</v>
      </c>
    </row>
    <row r="1070" spans="1:1" x14ac:dyDescent="0.2">
      <c r="A1070" s="12" t="s">
        <v>1001</v>
      </c>
    </row>
    <row r="1071" spans="1:1" x14ac:dyDescent="0.2">
      <c r="A1071" s="12" t="s">
        <v>1002</v>
      </c>
    </row>
    <row r="1072" spans="1:1" x14ac:dyDescent="0.2">
      <c r="A1072" s="12" t="s">
        <v>1003</v>
      </c>
    </row>
    <row r="1073" spans="1:1" x14ac:dyDescent="0.2">
      <c r="A1073" s="12" t="s">
        <v>1004</v>
      </c>
    </row>
    <row r="1074" spans="1:1" x14ac:dyDescent="0.2">
      <c r="A1074" s="12" t="s">
        <v>1005</v>
      </c>
    </row>
    <row r="1075" spans="1:1" x14ac:dyDescent="0.2">
      <c r="A1075" s="12" t="s">
        <v>1005</v>
      </c>
    </row>
    <row r="1076" spans="1:1" x14ac:dyDescent="0.2">
      <c r="A1076" s="12" t="s">
        <v>1006</v>
      </c>
    </row>
    <row r="1077" spans="1:1" x14ac:dyDescent="0.2">
      <c r="A1077" s="12" t="s">
        <v>1007</v>
      </c>
    </row>
    <row r="1078" spans="1:1" x14ac:dyDescent="0.2">
      <c r="A1078" s="12" t="s">
        <v>1008</v>
      </c>
    </row>
    <row r="1079" spans="1:1" x14ac:dyDescent="0.2">
      <c r="A1079" s="12" t="s">
        <v>1009</v>
      </c>
    </row>
    <row r="1080" spans="1:1" x14ac:dyDescent="0.2">
      <c r="A1080" s="12" t="s">
        <v>1010</v>
      </c>
    </row>
    <row r="1081" spans="1:1" x14ac:dyDescent="0.2">
      <c r="A1081" s="12" t="s">
        <v>1010</v>
      </c>
    </row>
    <row r="1082" spans="1:1" x14ac:dyDescent="0.2">
      <c r="A1082" s="12" t="s">
        <v>1011</v>
      </c>
    </row>
    <row r="1083" spans="1:1" x14ac:dyDescent="0.2">
      <c r="A1083" s="12" t="s">
        <v>1012</v>
      </c>
    </row>
    <row r="1084" spans="1:1" x14ac:dyDescent="0.2">
      <c r="A1084" s="12" t="s">
        <v>1013</v>
      </c>
    </row>
    <row r="1085" spans="1:1" x14ac:dyDescent="0.2">
      <c r="A1085" s="12" t="s">
        <v>1014</v>
      </c>
    </row>
    <row r="1086" spans="1:1" x14ac:dyDescent="0.2">
      <c r="A1086" s="12" t="s">
        <v>1015</v>
      </c>
    </row>
    <row r="1087" spans="1:1" x14ac:dyDescent="0.2">
      <c r="A1087" s="12" t="s">
        <v>1016</v>
      </c>
    </row>
    <row r="1088" spans="1:1" x14ac:dyDescent="0.2">
      <c r="A1088" s="12" t="s">
        <v>1017</v>
      </c>
    </row>
    <row r="1089" spans="1:1" x14ac:dyDescent="0.2">
      <c r="A1089" s="12" t="s">
        <v>1018</v>
      </c>
    </row>
    <row r="1090" spans="1:1" x14ac:dyDescent="0.2">
      <c r="A1090" s="12" t="s">
        <v>1019</v>
      </c>
    </row>
    <row r="1091" spans="1:1" x14ac:dyDescent="0.2">
      <c r="A1091" s="12" t="s">
        <v>1020</v>
      </c>
    </row>
    <row r="1092" spans="1:1" x14ac:dyDescent="0.2">
      <c r="A1092" s="12" t="s">
        <v>1021</v>
      </c>
    </row>
    <row r="1093" spans="1:1" x14ac:dyDescent="0.2">
      <c r="A1093" s="12" t="s">
        <v>1022</v>
      </c>
    </row>
    <row r="1094" spans="1:1" x14ac:dyDescent="0.2">
      <c r="A1094" s="12" t="s">
        <v>162</v>
      </c>
    </row>
    <row r="1095" spans="1:1" x14ac:dyDescent="0.2">
      <c r="A1095" s="12" t="s">
        <v>1023</v>
      </c>
    </row>
    <row r="1096" spans="1:1" x14ac:dyDescent="0.2">
      <c r="A1096" s="12" t="s">
        <v>1024</v>
      </c>
    </row>
    <row r="1097" spans="1:1" x14ac:dyDescent="0.2">
      <c r="A1097" s="12" t="s">
        <v>1025</v>
      </c>
    </row>
    <row r="1098" spans="1:1" x14ac:dyDescent="0.2">
      <c r="A1098" s="12" t="s">
        <v>1026</v>
      </c>
    </row>
    <row r="1099" spans="1:1" x14ac:dyDescent="0.2">
      <c r="A1099" s="12" t="s">
        <v>1027</v>
      </c>
    </row>
    <row r="1100" spans="1:1" x14ac:dyDescent="0.2">
      <c r="A1100" s="12" t="s">
        <v>164</v>
      </c>
    </row>
    <row r="1101" spans="1:1" x14ac:dyDescent="0.2">
      <c r="A1101" s="12" t="s">
        <v>1028</v>
      </c>
    </row>
    <row r="1102" spans="1:1" x14ac:dyDescent="0.2">
      <c r="A1102" s="12" t="s">
        <v>1029</v>
      </c>
    </row>
    <row r="1103" spans="1:1" x14ac:dyDescent="0.2">
      <c r="A1103" s="12" t="s">
        <v>1030</v>
      </c>
    </row>
    <row r="1104" spans="1:1" x14ac:dyDescent="0.2">
      <c r="A1104" s="12" t="s">
        <v>1031</v>
      </c>
    </row>
    <row r="1105" spans="1:1" x14ac:dyDescent="0.2">
      <c r="A1105" s="12" t="s">
        <v>1032</v>
      </c>
    </row>
    <row r="1106" spans="1:1" x14ac:dyDescent="0.2">
      <c r="A1106" s="12" t="s">
        <v>1033</v>
      </c>
    </row>
    <row r="1107" spans="1:1" x14ac:dyDescent="0.2">
      <c r="A1107" s="12" t="s">
        <v>1034</v>
      </c>
    </row>
    <row r="1108" spans="1:1" x14ac:dyDescent="0.2">
      <c r="A1108" s="12" t="s">
        <v>1035</v>
      </c>
    </row>
    <row r="1109" spans="1:1" x14ac:dyDescent="0.2">
      <c r="A1109" s="12" t="s">
        <v>1036</v>
      </c>
    </row>
    <row r="1110" spans="1:1" x14ac:dyDescent="0.2">
      <c r="A1110" s="12" t="s">
        <v>1037</v>
      </c>
    </row>
    <row r="1111" spans="1:1" x14ac:dyDescent="0.2">
      <c r="A1111" s="12" t="s">
        <v>165</v>
      </c>
    </row>
    <row r="1112" spans="1:1" x14ac:dyDescent="0.2">
      <c r="A1112" s="12" t="s">
        <v>1038</v>
      </c>
    </row>
    <row r="1113" spans="1:1" x14ac:dyDescent="0.2">
      <c r="A1113" s="12" t="s">
        <v>1039</v>
      </c>
    </row>
    <row r="1114" spans="1:1" x14ac:dyDescent="0.2">
      <c r="A1114" s="12" t="s">
        <v>1040</v>
      </c>
    </row>
    <row r="1115" spans="1:1" x14ac:dyDescent="0.2">
      <c r="A1115" s="12" t="s">
        <v>1041</v>
      </c>
    </row>
    <row r="1116" spans="1:1" x14ac:dyDescent="0.2">
      <c r="A1116" s="12" t="s">
        <v>1042</v>
      </c>
    </row>
    <row r="1117" spans="1:1" x14ac:dyDescent="0.2">
      <c r="A1117" s="12" t="s">
        <v>1043</v>
      </c>
    </row>
    <row r="1118" spans="1:1" x14ac:dyDescent="0.2">
      <c r="A1118" s="12" t="s">
        <v>1044</v>
      </c>
    </row>
    <row r="1119" spans="1:1" x14ac:dyDescent="0.2">
      <c r="A1119" s="12" t="s">
        <v>1045</v>
      </c>
    </row>
    <row r="1120" spans="1:1" x14ac:dyDescent="0.2">
      <c r="A1120" s="12" t="s">
        <v>1046</v>
      </c>
    </row>
    <row r="1121" spans="1:1" x14ac:dyDescent="0.2">
      <c r="A1121" s="12" t="s">
        <v>1047</v>
      </c>
    </row>
    <row r="1122" spans="1:1" x14ac:dyDescent="0.2">
      <c r="A1122" s="12" t="s">
        <v>1048</v>
      </c>
    </row>
    <row r="1123" spans="1:1" x14ac:dyDescent="0.2">
      <c r="A1123" s="12" t="s">
        <v>1049</v>
      </c>
    </row>
    <row r="1124" spans="1:1" x14ac:dyDescent="0.2">
      <c r="A1124" s="12" t="s">
        <v>1050</v>
      </c>
    </row>
    <row r="1125" spans="1:1" x14ac:dyDescent="0.2">
      <c r="A1125" s="12" t="s">
        <v>1051</v>
      </c>
    </row>
    <row r="1126" spans="1:1" x14ac:dyDescent="0.2">
      <c r="A1126" s="12" t="s">
        <v>1052</v>
      </c>
    </row>
    <row r="1127" spans="1:1" x14ac:dyDescent="0.2">
      <c r="A1127" s="12" t="s">
        <v>1053</v>
      </c>
    </row>
    <row r="1128" spans="1:1" x14ac:dyDescent="0.2">
      <c r="A1128" s="12" t="s">
        <v>1054</v>
      </c>
    </row>
    <row r="1129" spans="1:1" x14ac:dyDescent="0.2">
      <c r="A1129" s="12" t="s">
        <v>1055</v>
      </c>
    </row>
    <row r="1130" spans="1:1" x14ac:dyDescent="0.2">
      <c r="A1130" s="12" t="s">
        <v>1056</v>
      </c>
    </row>
    <row r="1131" spans="1:1" x14ac:dyDescent="0.2">
      <c r="A1131" s="12" t="s">
        <v>1057</v>
      </c>
    </row>
    <row r="1132" spans="1:1" x14ac:dyDescent="0.2">
      <c r="A1132" s="12" t="s">
        <v>1058</v>
      </c>
    </row>
    <row r="1133" spans="1:1" x14ac:dyDescent="0.2">
      <c r="A1133" s="12" t="s">
        <v>1058</v>
      </c>
    </row>
    <row r="1134" spans="1:1" x14ac:dyDescent="0.2">
      <c r="A1134" s="12" t="s">
        <v>1059</v>
      </c>
    </row>
    <row r="1135" spans="1:1" x14ac:dyDescent="0.2">
      <c r="A1135" s="12" t="s">
        <v>1060</v>
      </c>
    </row>
    <row r="1136" spans="1:1" x14ac:dyDescent="0.2">
      <c r="A1136" s="12" t="s">
        <v>1061</v>
      </c>
    </row>
    <row r="1137" spans="1:1" x14ac:dyDescent="0.2">
      <c r="A1137" s="12" t="s">
        <v>1062</v>
      </c>
    </row>
    <row r="1138" spans="1:1" x14ac:dyDescent="0.2">
      <c r="A1138" s="12" t="s">
        <v>1063</v>
      </c>
    </row>
    <row r="1139" spans="1:1" x14ac:dyDescent="0.2">
      <c r="A1139" s="12" t="s">
        <v>1064</v>
      </c>
    </row>
    <row r="1140" spans="1:1" x14ac:dyDescent="0.2">
      <c r="A1140" s="12" t="s">
        <v>1065</v>
      </c>
    </row>
    <row r="1141" spans="1:1" x14ac:dyDescent="0.2">
      <c r="A1141" s="12" t="s">
        <v>1066</v>
      </c>
    </row>
    <row r="1142" spans="1:1" x14ac:dyDescent="0.2">
      <c r="A1142" s="12" t="s">
        <v>169</v>
      </c>
    </row>
    <row r="1143" spans="1:1" x14ac:dyDescent="0.2">
      <c r="A1143" s="12" t="s">
        <v>1067</v>
      </c>
    </row>
    <row r="1144" spans="1:1" x14ac:dyDescent="0.2">
      <c r="A1144" s="12" t="s">
        <v>1068</v>
      </c>
    </row>
    <row r="1145" spans="1:1" x14ac:dyDescent="0.2">
      <c r="A1145" s="12" t="s">
        <v>1069</v>
      </c>
    </row>
    <row r="1146" spans="1:1" x14ac:dyDescent="0.2">
      <c r="A1146" s="12" t="s">
        <v>1070</v>
      </c>
    </row>
    <row r="1147" spans="1:1" x14ac:dyDescent="0.2">
      <c r="A1147" s="12" t="s">
        <v>1071</v>
      </c>
    </row>
    <row r="1148" spans="1:1" x14ac:dyDescent="0.2">
      <c r="A1148" s="12" t="s">
        <v>1072</v>
      </c>
    </row>
    <row r="1149" spans="1:1" x14ac:dyDescent="0.2">
      <c r="A1149" s="12" t="s">
        <v>1073</v>
      </c>
    </row>
    <row r="1150" spans="1:1" x14ac:dyDescent="0.2">
      <c r="A1150" s="12" t="s">
        <v>1074</v>
      </c>
    </row>
    <row r="1151" spans="1:1" x14ac:dyDescent="0.2">
      <c r="A1151" s="12" t="s">
        <v>1075</v>
      </c>
    </row>
    <row r="1152" spans="1:1" x14ac:dyDescent="0.2">
      <c r="A1152" s="12" t="s">
        <v>1076</v>
      </c>
    </row>
    <row r="1153" spans="1:1" x14ac:dyDescent="0.2">
      <c r="A1153" s="12" t="s">
        <v>1076</v>
      </c>
    </row>
    <row r="1154" spans="1:1" x14ac:dyDescent="0.2">
      <c r="A1154" s="12" t="s">
        <v>1077</v>
      </c>
    </row>
    <row r="1155" spans="1:1" x14ac:dyDescent="0.2">
      <c r="A1155" s="12" t="s">
        <v>1078</v>
      </c>
    </row>
    <row r="1156" spans="1:1" x14ac:dyDescent="0.2">
      <c r="A1156" s="12" t="s">
        <v>1079</v>
      </c>
    </row>
    <row r="1157" spans="1:1" x14ac:dyDescent="0.2">
      <c r="A1157" s="12" t="s">
        <v>1080</v>
      </c>
    </row>
    <row r="1158" spans="1:1" x14ac:dyDescent="0.2">
      <c r="A1158" s="12" t="s">
        <v>1081</v>
      </c>
    </row>
    <row r="1159" spans="1:1" x14ac:dyDescent="0.2">
      <c r="A1159" s="12" t="s">
        <v>1082</v>
      </c>
    </row>
    <row r="1160" spans="1:1" x14ac:dyDescent="0.2">
      <c r="A1160" s="12" t="s">
        <v>1083</v>
      </c>
    </row>
    <row r="1161" spans="1:1" x14ac:dyDescent="0.2">
      <c r="A1161" s="12" t="s">
        <v>1084</v>
      </c>
    </row>
    <row r="1162" spans="1:1" x14ac:dyDescent="0.2">
      <c r="A1162" s="12" t="s">
        <v>1085</v>
      </c>
    </row>
    <row r="1163" spans="1:1" x14ac:dyDescent="0.2">
      <c r="A1163" s="12" t="s">
        <v>1086</v>
      </c>
    </row>
    <row r="1164" spans="1:1" x14ac:dyDescent="0.2">
      <c r="A1164" s="12" t="s">
        <v>1087</v>
      </c>
    </row>
    <row r="1165" spans="1:1" x14ac:dyDescent="0.2">
      <c r="A1165" s="12" t="s">
        <v>1088</v>
      </c>
    </row>
    <row r="1166" spans="1:1" x14ac:dyDescent="0.2">
      <c r="A1166" s="12" t="s">
        <v>1089</v>
      </c>
    </row>
    <row r="1167" spans="1:1" x14ac:dyDescent="0.2">
      <c r="A1167" s="12" t="s">
        <v>1090</v>
      </c>
    </row>
    <row r="1168" spans="1:1" x14ac:dyDescent="0.2">
      <c r="A1168" s="12" t="s">
        <v>1091</v>
      </c>
    </row>
    <row r="1169" spans="1:1" x14ac:dyDescent="0.2">
      <c r="A1169" s="12" t="s">
        <v>1092</v>
      </c>
    </row>
    <row r="1170" spans="1:1" x14ac:dyDescent="0.2">
      <c r="A1170" s="12" t="s">
        <v>173</v>
      </c>
    </row>
    <row r="1171" spans="1:1" x14ac:dyDescent="0.2">
      <c r="A1171" s="12" t="s">
        <v>1093</v>
      </c>
    </row>
    <row r="1172" spans="1:1" x14ac:dyDescent="0.2">
      <c r="A1172" s="12" t="s">
        <v>1094</v>
      </c>
    </row>
    <row r="1173" spans="1:1" x14ac:dyDescent="0.2">
      <c r="A1173" s="12" t="s">
        <v>1095</v>
      </c>
    </row>
    <row r="1174" spans="1:1" x14ac:dyDescent="0.2">
      <c r="A1174" s="12" t="s">
        <v>1096</v>
      </c>
    </row>
    <row r="1175" spans="1:1" x14ac:dyDescent="0.2">
      <c r="A1175" s="12" t="s">
        <v>1097</v>
      </c>
    </row>
    <row r="1176" spans="1:1" x14ac:dyDescent="0.2">
      <c r="A1176" s="12" t="s">
        <v>1098</v>
      </c>
    </row>
    <row r="1177" spans="1:1" x14ac:dyDescent="0.2">
      <c r="A1177" s="12" t="s">
        <v>1099</v>
      </c>
    </row>
    <row r="1178" spans="1:1" x14ac:dyDescent="0.2">
      <c r="A1178" s="12" t="s">
        <v>1100</v>
      </c>
    </row>
    <row r="1179" spans="1:1" x14ac:dyDescent="0.2">
      <c r="A1179" s="12" t="s">
        <v>1101</v>
      </c>
    </row>
    <row r="1180" spans="1:1" x14ac:dyDescent="0.2">
      <c r="A1180" s="12" t="s">
        <v>1102</v>
      </c>
    </row>
    <row r="1181" spans="1:1" x14ac:dyDescent="0.2">
      <c r="A1181" s="12" t="s">
        <v>1103</v>
      </c>
    </row>
    <row r="1182" spans="1:1" x14ac:dyDescent="0.2">
      <c r="A1182" s="12" t="s">
        <v>1104</v>
      </c>
    </row>
    <row r="1183" spans="1:1" x14ac:dyDescent="0.2">
      <c r="A1183" s="12" t="s">
        <v>1105</v>
      </c>
    </row>
    <row r="1184" spans="1:1" x14ac:dyDescent="0.2">
      <c r="A1184" s="12" t="s">
        <v>1106</v>
      </c>
    </row>
    <row r="1185" spans="1:1" x14ac:dyDescent="0.2">
      <c r="A1185" s="12" t="s">
        <v>1107</v>
      </c>
    </row>
    <row r="1186" spans="1:1" x14ac:dyDescent="0.2">
      <c r="A1186" s="12" t="s">
        <v>178</v>
      </c>
    </row>
    <row r="1187" spans="1:1" x14ac:dyDescent="0.2">
      <c r="A1187" s="12" t="s">
        <v>1108</v>
      </c>
    </row>
    <row r="1188" spans="1:1" x14ac:dyDescent="0.2">
      <c r="A1188" s="12" t="s">
        <v>1109</v>
      </c>
    </row>
    <row r="1189" spans="1:1" x14ac:dyDescent="0.2">
      <c r="A1189" s="12" t="s">
        <v>1110</v>
      </c>
    </row>
    <row r="1190" spans="1:1" x14ac:dyDescent="0.2">
      <c r="A1190" s="12" t="s">
        <v>1111</v>
      </c>
    </row>
    <row r="1191" spans="1:1" x14ac:dyDescent="0.2">
      <c r="A1191" s="12" t="s">
        <v>1112</v>
      </c>
    </row>
    <row r="1192" spans="1:1" x14ac:dyDescent="0.2">
      <c r="A1192" s="12" t="s">
        <v>1113</v>
      </c>
    </row>
    <row r="1193" spans="1:1" x14ac:dyDescent="0.2">
      <c r="A1193" s="12" t="s">
        <v>1114</v>
      </c>
    </row>
    <row r="1194" spans="1:1" x14ac:dyDescent="0.2">
      <c r="A1194" s="12" t="s">
        <v>1115</v>
      </c>
    </row>
    <row r="1195" spans="1:1" x14ac:dyDescent="0.2">
      <c r="A1195" s="12" t="s">
        <v>1116</v>
      </c>
    </row>
    <row r="1196" spans="1:1" x14ac:dyDescent="0.2">
      <c r="A1196" s="12" t="s">
        <v>1117</v>
      </c>
    </row>
    <row r="1197" spans="1:1" x14ac:dyDescent="0.2">
      <c r="A1197" s="12" t="s">
        <v>1118</v>
      </c>
    </row>
    <row r="1198" spans="1:1" x14ac:dyDescent="0.2">
      <c r="A1198" s="12" t="s">
        <v>1119</v>
      </c>
    </row>
    <row r="1199" spans="1:1" x14ac:dyDescent="0.2">
      <c r="A1199" s="12" t="s">
        <v>1120</v>
      </c>
    </row>
    <row r="1200" spans="1:1" x14ac:dyDescent="0.2">
      <c r="A1200" s="12" t="s">
        <v>1121</v>
      </c>
    </row>
    <row r="1201" spans="1:1" x14ac:dyDescent="0.2">
      <c r="A1201" s="12" t="s">
        <v>1122</v>
      </c>
    </row>
    <row r="1202" spans="1:1" x14ac:dyDescent="0.2">
      <c r="A1202" s="12" t="s">
        <v>1123</v>
      </c>
    </row>
    <row r="1203" spans="1:1" x14ac:dyDescent="0.2">
      <c r="A1203" s="12" t="s">
        <v>1124</v>
      </c>
    </row>
    <row r="1204" spans="1:1" x14ac:dyDescent="0.2">
      <c r="A1204" s="12" t="s">
        <v>1125</v>
      </c>
    </row>
    <row r="1205" spans="1:1" x14ac:dyDescent="0.2">
      <c r="A1205" s="12" t="s">
        <v>1126</v>
      </c>
    </row>
    <row r="1206" spans="1:1" x14ac:dyDescent="0.2">
      <c r="A1206" s="12" t="s">
        <v>1127</v>
      </c>
    </row>
    <row r="1207" spans="1:1" x14ac:dyDescent="0.2">
      <c r="A1207" s="12" t="s">
        <v>1128</v>
      </c>
    </row>
    <row r="1208" spans="1:1" x14ac:dyDescent="0.2">
      <c r="A1208" s="12" t="s">
        <v>1129</v>
      </c>
    </row>
    <row r="1209" spans="1:1" x14ac:dyDescent="0.2">
      <c r="A1209" s="12" t="s">
        <v>1130</v>
      </c>
    </row>
    <row r="1210" spans="1:1" x14ac:dyDescent="0.2">
      <c r="A1210" s="12" t="s">
        <v>1131</v>
      </c>
    </row>
    <row r="1211" spans="1:1" x14ac:dyDescent="0.2">
      <c r="A1211" s="12" t="s">
        <v>1132</v>
      </c>
    </row>
    <row r="1212" spans="1:1" x14ac:dyDescent="0.2">
      <c r="A1212" s="12" t="s">
        <v>1133</v>
      </c>
    </row>
    <row r="1213" spans="1:1" x14ac:dyDescent="0.2">
      <c r="A1213" s="12" t="s">
        <v>1134</v>
      </c>
    </row>
    <row r="1214" spans="1:1" x14ac:dyDescent="0.2">
      <c r="A1214" s="12" t="s">
        <v>1134</v>
      </c>
    </row>
    <row r="1215" spans="1:1" x14ac:dyDescent="0.2">
      <c r="A1215" s="12" t="s">
        <v>1135</v>
      </c>
    </row>
    <row r="1216" spans="1:1" x14ac:dyDescent="0.2">
      <c r="A1216" s="12" t="s">
        <v>1136</v>
      </c>
    </row>
    <row r="1217" spans="1:1" x14ac:dyDescent="0.2">
      <c r="A1217" s="12" t="s">
        <v>1137</v>
      </c>
    </row>
    <row r="1218" spans="1:1" x14ac:dyDescent="0.2">
      <c r="A1218" s="12" t="s">
        <v>1138</v>
      </c>
    </row>
    <row r="1219" spans="1:1" x14ac:dyDescent="0.2">
      <c r="A1219" s="12" t="s">
        <v>1139</v>
      </c>
    </row>
    <row r="1220" spans="1:1" x14ac:dyDescent="0.2">
      <c r="A1220" s="12" t="s">
        <v>1140</v>
      </c>
    </row>
    <row r="1221" spans="1:1" x14ac:dyDescent="0.2">
      <c r="A1221" s="12" t="s">
        <v>1141</v>
      </c>
    </row>
    <row r="1222" spans="1:1" x14ac:dyDescent="0.2">
      <c r="A1222" s="12" t="s">
        <v>1142</v>
      </c>
    </row>
    <row r="1223" spans="1:1" x14ac:dyDescent="0.2">
      <c r="A1223" s="12" t="s">
        <v>1143</v>
      </c>
    </row>
    <row r="1224" spans="1:1" x14ac:dyDescent="0.2">
      <c r="A1224" s="12" t="s">
        <v>1144</v>
      </c>
    </row>
    <row r="1225" spans="1:1" x14ac:dyDescent="0.2">
      <c r="A1225" s="12" t="s">
        <v>1145</v>
      </c>
    </row>
    <row r="1226" spans="1:1" x14ac:dyDescent="0.2">
      <c r="A1226" s="12" t="s">
        <v>1146</v>
      </c>
    </row>
    <row r="1227" spans="1:1" x14ac:dyDescent="0.2">
      <c r="A1227" s="12" t="s">
        <v>1147</v>
      </c>
    </row>
    <row r="1228" spans="1:1" x14ac:dyDescent="0.2">
      <c r="A1228" s="12" t="s">
        <v>1148</v>
      </c>
    </row>
    <row r="1229" spans="1:1" x14ac:dyDescent="0.2">
      <c r="A1229" s="12" t="s">
        <v>1149</v>
      </c>
    </row>
    <row r="1230" spans="1:1" x14ac:dyDescent="0.2">
      <c r="A1230" s="12" t="s">
        <v>1150</v>
      </c>
    </row>
    <row r="1231" spans="1:1" x14ac:dyDescent="0.2">
      <c r="A1231" s="12" t="s">
        <v>1151</v>
      </c>
    </row>
    <row r="1232" spans="1:1" x14ac:dyDescent="0.2">
      <c r="A1232" s="12" t="s">
        <v>1152</v>
      </c>
    </row>
    <row r="1233" spans="1:1" x14ac:dyDescent="0.2">
      <c r="A1233" s="12" t="s">
        <v>1153</v>
      </c>
    </row>
    <row r="1234" spans="1:1" x14ac:dyDescent="0.2">
      <c r="A1234" s="12" t="s">
        <v>1154</v>
      </c>
    </row>
    <row r="1235" spans="1:1" x14ac:dyDescent="0.2">
      <c r="A1235" s="12" t="s">
        <v>1155</v>
      </c>
    </row>
    <row r="1236" spans="1:1" x14ac:dyDescent="0.2">
      <c r="A1236" s="12" t="s">
        <v>1156</v>
      </c>
    </row>
    <row r="1237" spans="1:1" x14ac:dyDescent="0.2">
      <c r="A1237" s="12" t="s">
        <v>1157</v>
      </c>
    </row>
    <row r="1238" spans="1:1" x14ac:dyDescent="0.2">
      <c r="A1238" s="12" t="s">
        <v>1157</v>
      </c>
    </row>
    <row r="1239" spans="1:1" x14ac:dyDescent="0.2">
      <c r="A1239" s="12" t="s">
        <v>1158</v>
      </c>
    </row>
    <row r="1240" spans="1:1" x14ac:dyDescent="0.2">
      <c r="A1240" s="12" t="s">
        <v>1159</v>
      </c>
    </row>
    <row r="1241" spans="1:1" x14ac:dyDescent="0.2">
      <c r="A1241" s="12" t="s">
        <v>1160</v>
      </c>
    </row>
    <row r="1242" spans="1:1" x14ac:dyDescent="0.2">
      <c r="A1242" s="12" t="s">
        <v>1161</v>
      </c>
    </row>
    <row r="1243" spans="1:1" x14ac:dyDescent="0.2">
      <c r="A1243" s="12" t="s">
        <v>1162</v>
      </c>
    </row>
    <row r="1244" spans="1:1" x14ac:dyDescent="0.2">
      <c r="A1244" s="12" t="s">
        <v>1163</v>
      </c>
    </row>
    <row r="1245" spans="1:1" x14ac:dyDescent="0.2">
      <c r="A1245" s="12" t="s">
        <v>1164</v>
      </c>
    </row>
    <row r="1246" spans="1:1" x14ac:dyDescent="0.2">
      <c r="A1246" s="12" t="s">
        <v>1165</v>
      </c>
    </row>
    <row r="1247" spans="1:1" x14ac:dyDescent="0.2">
      <c r="A1247" s="12" t="s">
        <v>1166</v>
      </c>
    </row>
    <row r="1248" spans="1:1" x14ac:dyDescent="0.2">
      <c r="A1248" s="12" t="s">
        <v>1167</v>
      </c>
    </row>
    <row r="1249" spans="1:1" x14ac:dyDescent="0.2">
      <c r="A1249" s="12" t="s">
        <v>1168</v>
      </c>
    </row>
    <row r="1250" spans="1:1" x14ac:dyDescent="0.2">
      <c r="A1250" s="12" t="s">
        <v>1169</v>
      </c>
    </row>
    <row r="1251" spans="1:1" x14ac:dyDescent="0.2">
      <c r="A1251" s="12" t="s">
        <v>1170</v>
      </c>
    </row>
    <row r="1252" spans="1:1" x14ac:dyDescent="0.2">
      <c r="A1252" s="12" t="s">
        <v>1171</v>
      </c>
    </row>
    <row r="1253" spans="1:1" x14ac:dyDescent="0.2">
      <c r="A1253" s="12" t="s">
        <v>1172</v>
      </c>
    </row>
    <row r="1254" spans="1:1" x14ac:dyDescent="0.2">
      <c r="A1254" s="12" t="s">
        <v>1173</v>
      </c>
    </row>
    <row r="1255" spans="1:1" x14ac:dyDescent="0.2">
      <c r="A1255" s="12" t="s">
        <v>1174</v>
      </c>
    </row>
    <row r="1256" spans="1:1" x14ac:dyDescent="0.2">
      <c r="A1256" s="12" t="s">
        <v>1175</v>
      </c>
    </row>
    <row r="1257" spans="1:1" x14ac:dyDescent="0.2">
      <c r="A1257" s="12" t="s">
        <v>1176</v>
      </c>
    </row>
    <row r="1258" spans="1:1" x14ac:dyDescent="0.2">
      <c r="A1258" s="12" t="s">
        <v>1177</v>
      </c>
    </row>
    <row r="1259" spans="1:1" x14ac:dyDescent="0.2">
      <c r="A1259" s="12" t="s">
        <v>188</v>
      </c>
    </row>
    <row r="1260" spans="1:1" x14ac:dyDescent="0.2">
      <c r="A1260" s="12" t="s">
        <v>1178</v>
      </c>
    </row>
    <row r="1261" spans="1:1" x14ac:dyDescent="0.2">
      <c r="A1261" s="12" t="s">
        <v>1179</v>
      </c>
    </row>
    <row r="1262" spans="1:1" x14ac:dyDescent="0.2">
      <c r="A1262" s="12" t="s">
        <v>1180</v>
      </c>
    </row>
    <row r="1263" spans="1:1" x14ac:dyDescent="0.2">
      <c r="A1263" s="12" t="s">
        <v>1180</v>
      </c>
    </row>
    <row r="1264" spans="1:1" x14ac:dyDescent="0.2">
      <c r="A1264" s="12" t="s">
        <v>1181</v>
      </c>
    </row>
    <row r="1265" spans="1:1" x14ac:dyDescent="0.2">
      <c r="A1265" s="12" t="s">
        <v>1182</v>
      </c>
    </row>
    <row r="1266" spans="1:1" x14ac:dyDescent="0.2">
      <c r="A1266" s="12" t="s">
        <v>1183</v>
      </c>
    </row>
    <row r="1267" spans="1:1" x14ac:dyDescent="0.2">
      <c r="A1267" s="12" t="s">
        <v>1184</v>
      </c>
    </row>
    <row r="1268" spans="1:1" x14ac:dyDescent="0.2">
      <c r="A1268" s="12" t="s">
        <v>1185</v>
      </c>
    </row>
    <row r="1269" spans="1:1" x14ac:dyDescent="0.2">
      <c r="A1269" s="12" t="s">
        <v>1186</v>
      </c>
    </row>
    <row r="1270" spans="1:1" x14ac:dyDescent="0.2">
      <c r="A1270" s="12" t="s">
        <v>1187</v>
      </c>
    </row>
    <row r="1271" spans="1:1" x14ac:dyDescent="0.2">
      <c r="A1271" s="12" t="s">
        <v>1188</v>
      </c>
    </row>
    <row r="1272" spans="1:1" x14ac:dyDescent="0.2">
      <c r="A1272" s="12" t="s">
        <v>1189</v>
      </c>
    </row>
    <row r="1273" spans="1:1" x14ac:dyDescent="0.2">
      <c r="A1273" s="12" t="s">
        <v>1190</v>
      </c>
    </row>
    <row r="1274" spans="1:1" x14ac:dyDescent="0.2">
      <c r="A1274" s="12" t="s">
        <v>1191</v>
      </c>
    </row>
    <row r="1275" spans="1:1" x14ac:dyDescent="0.2">
      <c r="A1275" s="12" t="s">
        <v>1192</v>
      </c>
    </row>
    <row r="1276" spans="1:1" x14ac:dyDescent="0.2">
      <c r="A1276" s="12" t="s">
        <v>1193</v>
      </c>
    </row>
    <row r="1277" spans="1:1" x14ac:dyDescent="0.2">
      <c r="A1277" s="12" t="s">
        <v>1194</v>
      </c>
    </row>
    <row r="1278" spans="1:1" x14ac:dyDescent="0.2">
      <c r="A1278" s="12" t="s">
        <v>1195</v>
      </c>
    </row>
    <row r="1279" spans="1:1" x14ac:dyDescent="0.2">
      <c r="A1279" s="12" t="s">
        <v>1196</v>
      </c>
    </row>
    <row r="1280" spans="1:1" x14ac:dyDescent="0.2">
      <c r="A1280" s="12" t="s">
        <v>1197</v>
      </c>
    </row>
    <row r="1281" spans="1:1" x14ac:dyDescent="0.2">
      <c r="A1281" s="12" t="s">
        <v>1198</v>
      </c>
    </row>
    <row r="1282" spans="1:1" x14ac:dyDescent="0.2">
      <c r="A1282" s="12" t="s">
        <v>1199</v>
      </c>
    </row>
    <row r="1283" spans="1:1" x14ac:dyDescent="0.2">
      <c r="A1283" s="12" t="s">
        <v>1200</v>
      </c>
    </row>
    <row r="1284" spans="1:1" x14ac:dyDescent="0.2">
      <c r="A1284" s="12" t="s">
        <v>190</v>
      </c>
    </row>
    <row r="1285" spans="1:1" x14ac:dyDescent="0.2">
      <c r="A1285" s="12" t="s">
        <v>1201</v>
      </c>
    </row>
    <row r="1286" spans="1:1" x14ac:dyDescent="0.2">
      <c r="A1286" s="12" t="s">
        <v>1202</v>
      </c>
    </row>
    <row r="1287" spans="1:1" x14ac:dyDescent="0.2">
      <c r="A1287" s="12" t="s">
        <v>1203</v>
      </c>
    </row>
    <row r="1288" spans="1:1" x14ac:dyDescent="0.2">
      <c r="A1288" s="12" t="s">
        <v>1204</v>
      </c>
    </row>
    <row r="1289" spans="1:1" x14ac:dyDescent="0.2">
      <c r="A1289" s="12" t="s">
        <v>1205</v>
      </c>
    </row>
    <row r="1290" spans="1:1" x14ac:dyDescent="0.2">
      <c r="A1290" s="12" t="s">
        <v>1206</v>
      </c>
    </row>
    <row r="1291" spans="1:1" x14ac:dyDescent="0.2">
      <c r="A1291" s="12" t="s">
        <v>1207</v>
      </c>
    </row>
    <row r="1292" spans="1:1" x14ac:dyDescent="0.2">
      <c r="A1292" s="12" t="s">
        <v>1208</v>
      </c>
    </row>
    <row r="1293" spans="1:1" x14ac:dyDescent="0.2">
      <c r="A1293" s="12" t="s">
        <v>1209</v>
      </c>
    </row>
    <row r="1294" spans="1:1" x14ac:dyDescent="0.2">
      <c r="A1294" s="12" t="s">
        <v>1210</v>
      </c>
    </row>
    <row r="1295" spans="1:1" x14ac:dyDescent="0.2">
      <c r="A1295" s="12" t="s">
        <v>1211</v>
      </c>
    </row>
    <row r="1296" spans="1:1" x14ac:dyDescent="0.2">
      <c r="A1296" s="12" t="s">
        <v>1212</v>
      </c>
    </row>
    <row r="1297" spans="1:1" x14ac:dyDescent="0.2">
      <c r="A1297" s="12" t="s">
        <v>1213</v>
      </c>
    </row>
    <row r="1298" spans="1:1" x14ac:dyDescent="0.2">
      <c r="A1298" s="12" t="s">
        <v>1214</v>
      </c>
    </row>
    <row r="1299" spans="1:1" x14ac:dyDescent="0.2">
      <c r="A1299" s="12" t="s">
        <v>1215</v>
      </c>
    </row>
    <row r="1300" spans="1:1" x14ac:dyDescent="0.2">
      <c r="A1300" s="12" t="s">
        <v>1216</v>
      </c>
    </row>
    <row r="1301" spans="1:1" x14ac:dyDescent="0.2">
      <c r="A1301" s="12" t="s">
        <v>1217</v>
      </c>
    </row>
    <row r="1302" spans="1:1" x14ac:dyDescent="0.2">
      <c r="A1302" s="12" t="s">
        <v>1218</v>
      </c>
    </row>
    <row r="1303" spans="1:1" x14ac:dyDescent="0.2">
      <c r="A1303" s="12" t="s">
        <v>1219</v>
      </c>
    </row>
    <row r="1304" spans="1:1" x14ac:dyDescent="0.2">
      <c r="A1304" s="12" t="s">
        <v>1220</v>
      </c>
    </row>
    <row r="1305" spans="1:1" x14ac:dyDescent="0.2">
      <c r="A1305" s="12" t="s">
        <v>1221</v>
      </c>
    </row>
    <row r="1306" spans="1:1" x14ac:dyDescent="0.2">
      <c r="A1306" s="12" t="s">
        <v>1222</v>
      </c>
    </row>
    <row r="1307" spans="1:1" x14ac:dyDescent="0.2">
      <c r="A1307" s="12" t="s">
        <v>1223</v>
      </c>
    </row>
    <row r="1308" spans="1:1" x14ac:dyDescent="0.2">
      <c r="A1308" s="12" t="s">
        <v>1224</v>
      </c>
    </row>
    <row r="1309" spans="1:1" x14ac:dyDescent="0.2">
      <c r="A1309" s="12" t="s">
        <v>1225</v>
      </c>
    </row>
    <row r="1310" spans="1:1" x14ac:dyDescent="0.2">
      <c r="A1310" s="12" t="s">
        <v>1226</v>
      </c>
    </row>
    <row r="1311" spans="1:1" x14ac:dyDescent="0.2">
      <c r="A1311" s="12" t="s">
        <v>1227</v>
      </c>
    </row>
    <row r="1312" spans="1:1" x14ac:dyDescent="0.2">
      <c r="A1312" s="12" t="s">
        <v>196</v>
      </c>
    </row>
    <row r="1313" spans="1:1" x14ac:dyDescent="0.2">
      <c r="A1313" s="12" t="s">
        <v>1228</v>
      </c>
    </row>
    <row r="1314" spans="1:1" x14ac:dyDescent="0.2">
      <c r="A1314" s="12" t="s">
        <v>1229</v>
      </c>
    </row>
    <row r="1315" spans="1:1" x14ac:dyDescent="0.2">
      <c r="A1315" s="12" t="s">
        <v>1230</v>
      </c>
    </row>
    <row r="1316" spans="1:1" x14ac:dyDescent="0.2">
      <c r="A1316" s="12" t="s">
        <v>1231</v>
      </c>
    </row>
    <row r="1317" spans="1:1" x14ac:dyDescent="0.2">
      <c r="A1317" s="12" t="s">
        <v>1231</v>
      </c>
    </row>
    <row r="1318" spans="1:1" x14ac:dyDescent="0.2">
      <c r="A1318" s="12" t="s">
        <v>1232</v>
      </c>
    </row>
    <row r="1319" spans="1:1" x14ac:dyDescent="0.2">
      <c r="A1319" s="12" t="s">
        <v>1233</v>
      </c>
    </row>
    <row r="1320" spans="1:1" x14ac:dyDescent="0.2">
      <c r="A1320" s="12" t="s">
        <v>1234</v>
      </c>
    </row>
    <row r="1321" spans="1:1" x14ac:dyDescent="0.2">
      <c r="A1321" s="12" t="s">
        <v>1235</v>
      </c>
    </row>
    <row r="1322" spans="1:1" x14ac:dyDescent="0.2">
      <c r="A1322" s="12" t="s">
        <v>1236</v>
      </c>
    </row>
    <row r="1323" spans="1:1" x14ac:dyDescent="0.2">
      <c r="A1323" s="12" t="s">
        <v>1237</v>
      </c>
    </row>
    <row r="1324" spans="1:1" x14ac:dyDescent="0.2">
      <c r="A1324" s="12" t="s">
        <v>1238</v>
      </c>
    </row>
    <row r="1325" spans="1:1" x14ac:dyDescent="0.2">
      <c r="A1325" s="12" t="s">
        <v>1239</v>
      </c>
    </row>
    <row r="1326" spans="1:1" x14ac:dyDescent="0.2">
      <c r="A1326" s="12" t="s">
        <v>1240</v>
      </c>
    </row>
    <row r="1327" spans="1:1" x14ac:dyDescent="0.2">
      <c r="A1327" s="12" t="s">
        <v>1241</v>
      </c>
    </row>
    <row r="1328" spans="1:1" x14ac:dyDescent="0.2">
      <c r="A1328" s="12" t="s">
        <v>1242</v>
      </c>
    </row>
    <row r="1329" spans="1:1" x14ac:dyDescent="0.2">
      <c r="A1329" s="12" t="s">
        <v>1243</v>
      </c>
    </row>
    <row r="1330" spans="1:1" x14ac:dyDescent="0.2">
      <c r="A1330" s="12" t="s">
        <v>200</v>
      </c>
    </row>
    <row r="1331" spans="1:1" x14ac:dyDescent="0.2">
      <c r="A1331" s="12" t="s">
        <v>1244</v>
      </c>
    </row>
    <row r="1332" spans="1:1" x14ac:dyDescent="0.2">
      <c r="A1332" s="12" t="s">
        <v>1245</v>
      </c>
    </row>
    <row r="1333" spans="1:1" x14ac:dyDescent="0.2">
      <c r="A1333" s="12" t="s">
        <v>1246</v>
      </c>
    </row>
    <row r="1334" spans="1:1" x14ac:dyDescent="0.2">
      <c r="A1334" s="12" t="s">
        <v>1247</v>
      </c>
    </row>
    <row r="1335" spans="1:1" x14ac:dyDescent="0.2">
      <c r="A1335" s="12" t="s">
        <v>1248</v>
      </c>
    </row>
    <row r="1336" spans="1:1" x14ac:dyDescent="0.2">
      <c r="A1336" s="12" t="s">
        <v>1249</v>
      </c>
    </row>
    <row r="1337" spans="1:1" x14ac:dyDescent="0.2">
      <c r="A1337" s="12" t="s">
        <v>1250</v>
      </c>
    </row>
    <row r="1338" spans="1:1" x14ac:dyDescent="0.2">
      <c r="A1338" s="12" t="s">
        <v>1251</v>
      </c>
    </row>
    <row r="1339" spans="1:1" x14ac:dyDescent="0.2">
      <c r="A1339" s="12" t="s">
        <v>1252</v>
      </c>
    </row>
    <row r="1340" spans="1:1" x14ac:dyDescent="0.2">
      <c r="A1340" s="12" t="s">
        <v>1253</v>
      </c>
    </row>
    <row r="1341" spans="1:1" x14ac:dyDescent="0.2">
      <c r="A1341" s="12" t="s">
        <v>1254</v>
      </c>
    </row>
    <row r="1342" spans="1:1" x14ac:dyDescent="0.2">
      <c r="A1342" s="12" t="s">
        <v>1255</v>
      </c>
    </row>
    <row r="1343" spans="1:1" x14ac:dyDescent="0.2">
      <c r="A1343" s="12" t="s">
        <v>1256</v>
      </c>
    </row>
    <row r="1344" spans="1:1" x14ac:dyDescent="0.2">
      <c r="A1344" s="12" t="s">
        <v>1257</v>
      </c>
    </row>
    <row r="1345" spans="1:1" x14ac:dyDescent="0.2">
      <c r="A1345" s="12" t="s">
        <v>1258</v>
      </c>
    </row>
    <row r="1346" spans="1:1" x14ac:dyDescent="0.2">
      <c r="A1346" s="12" t="s">
        <v>1259</v>
      </c>
    </row>
    <row r="1347" spans="1:1" x14ac:dyDescent="0.2">
      <c r="A1347" s="12" t="s">
        <v>1260</v>
      </c>
    </row>
    <row r="1348" spans="1:1" x14ac:dyDescent="0.2">
      <c r="A1348" s="12" t="s">
        <v>1261</v>
      </c>
    </row>
    <row r="1349" spans="1:1" x14ac:dyDescent="0.2">
      <c r="A1349" s="12" t="s">
        <v>1262</v>
      </c>
    </row>
    <row r="1350" spans="1:1" x14ac:dyDescent="0.2">
      <c r="A1350" s="12" t="s">
        <v>1263</v>
      </c>
    </row>
    <row r="1351" spans="1:1" x14ac:dyDescent="0.2">
      <c r="A1351" s="12" t="s">
        <v>1264</v>
      </c>
    </row>
    <row r="1352" spans="1:1" x14ac:dyDescent="0.2">
      <c r="A1352" s="12" t="s">
        <v>1265</v>
      </c>
    </row>
    <row r="1353" spans="1:1" x14ac:dyDescent="0.2">
      <c r="A1353" s="12" t="s">
        <v>1266</v>
      </c>
    </row>
    <row r="1354" spans="1:1" x14ac:dyDescent="0.2">
      <c r="A1354" s="12" t="s">
        <v>1267</v>
      </c>
    </row>
    <row r="1355" spans="1:1" x14ac:dyDescent="0.2">
      <c r="A1355" s="12" t="s">
        <v>1268</v>
      </c>
    </row>
    <row r="1356" spans="1:1" x14ac:dyDescent="0.2">
      <c r="A1356" s="12" t="s">
        <v>1269</v>
      </c>
    </row>
    <row r="1357" spans="1:1" x14ac:dyDescent="0.2">
      <c r="A1357" s="12" t="s">
        <v>1270</v>
      </c>
    </row>
    <row r="1358" spans="1:1" x14ac:dyDescent="0.2">
      <c r="A1358" s="12" t="s">
        <v>1271</v>
      </c>
    </row>
    <row r="1359" spans="1:1" x14ac:dyDescent="0.2">
      <c r="A1359" s="12" t="s">
        <v>1272</v>
      </c>
    </row>
    <row r="1360" spans="1:1" x14ac:dyDescent="0.2">
      <c r="A1360" s="12" t="s">
        <v>1273</v>
      </c>
    </row>
    <row r="1361" spans="1:1" x14ac:dyDescent="0.2">
      <c r="A1361" s="12" t="s">
        <v>1274</v>
      </c>
    </row>
    <row r="1362" spans="1:1" x14ac:dyDescent="0.2">
      <c r="A1362" s="12" t="s">
        <v>1275</v>
      </c>
    </row>
    <row r="1363" spans="1:1" x14ac:dyDescent="0.2">
      <c r="A1363" s="12" t="s">
        <v>1276</v>
      </c>
    </row>
    <row r="1364" spans="1:1" x14ac:dyDescent="0.2">
      <c r="A1364" s="12" t="s">
        <v>1277</v>
      </c>
    </row>
    <row r="1365" spans="1:1" x14ac:dyDescent="0.2">
      <c r="A1365" s="12" t="s">
        <v>1278</v>
      </c>
    </row>
    <row r="1366" spans="1:1" x14ac:dyDescent="0.2">
      <c r="A1366" s="12" t="s">
        <v>1279</v>
      </c>
    </row>
    <row r="1367" spans="1:1" x14ac:dyDescent="0.2">
      <c r="A1367" s="12" t="s">
        <v>1280</v>
      </c>
    </row>
    <row r="1368" spans="1:1" x14ac:dyDescent="0.2">
      <c r="A1368" s="12" t="s">
        <v>1281</v>
      </c>
    </row>
    <row r="1369" spans="1:1" x14ac:dyDescent="0.2">
      <c r="A1369" s="12" t="s">
        <v>1282</v>
      </c>
    </row>
    <row r="1370" spans="1:1" x14ac:dyDescent="0.2">
      <c r="A1370" s="12" t="s">
        <v>1283</v>
      </c>
    </row>
    <row r="1371" spans="1:1" x14ac:dyDescent="0.2">
      <c r="A1371" s="12" t="s">
        <v>1284</v>
      </c>
    </row>
    <row r="1372" spans="1:1" x14ac:dyDescent="0.2">
      <c r="A1372" s="12" t="s">
        <v>1285</v>
      </c>
    </row>
    <row r="1373" spans="1:1" x14ac:dyDescent="0.2">
      <c r="A1373" s="12" t="s">
        <v>1286</v>
      </c>
    </row>
    <row r="1374" spans="1:1" x14ac:dyDescent="0.2">
      <c r="A1374" s="12" t="s">
        <v>1287</v>
      </c>
    </row>
    <row r="1375" spans="1:1" x14ac:dyDescent="0.2">
      <c r="A1375" s="12" t="s">
        <v>1288</v>
      </c>
    </row>
    <row r="1376" spans="1:1" x14ac:dyDescent="0.2">
      <c r="A1376" s="12" t="s">
        <v>1289</v>
      </c>
    </row>
    <row r="1377" spans="1:1" x14ac:dyDescent="0.2">
      <c r="A1377" s="12" t="s">
        <v>1290</v>
      </c>
    </row>
    <row r="1378" spans="1:1" x14ac:dyDescent="0.2">
      <c r="A1378" s="12" t="s">
        <v>1291</v>
      </c>
    </row>
    <row r="1379" spans="1:1" x14ac:dyDescent="0.2">
      <c r="A1379" s="12" t="s">
        <v>1292</v>
      </c>
    </row>
    <row r="1380" spans="1:1" x14ac:dyDescent="0.2">
      <c r="A1380" s="12" t="s">
        <v>1293</v>
      </c>
    </row>
    <row r="1381" spans="1:1" x14ac:dyDescent="0.2">
      <c r="A1381" s="12" t="s">
        <v>1294</v>
      </c>
    </row>
    <row r="1382" spans="1:1" x14ac:dyDescent="0.2">
      <c r="A1382" s="12" t="s">
        <v>1295</v>
      </c>
    </row>
    <row r="1383" spans="1:1" x14ac:dyDescent="0.2">
      <c r="A1383" s="12" t="s">
        <v>1296</v>
      </c>
    </row>
    <row r="1384" spans="1:1" x14ac:dyDescent="0.2">
      <c r="A1384" s="12" t="s">
        <v>1297</v>
      </c>
    </row>
    <row r="1385" spans="1:1" x14ac:dyDescent="0.2">
      <c r="A1385" s="12" t="s">
        <v>1298</v>
      </c>
    </row>
    <row r="1386" spans="1:1" x14ac:dyDescent="0.2">
      <c r="A1386" s="12" t="s">
        <v>1299</v>
      </c>
    </row>
    <row r="1387" spans="1:1" x14ac:dyDescent="0.2">
      <c r="A1387" s="12" t="s">
        <v>1300</v>
      </c>
    </row>
    <row r="1388" spans="1:1" x14ac:dyDescent="0.2">
      <c r="A1388" s="12" t="s">
        <v>1301</v>
      </c>
    </row>
    <row r="1389" spans="1:1" x14ac:dyDescent="0.2">
      <c r="A1389" s="12" t="s">
        <v>1302</v>
      </c>
    </row>
    <row r="1390" spans="1:1" x14ac:dyDescent="0.2">
      <c r="A1390" s="12" t="s">
        <v>1303</v>
      </c>
    </row>
    <row r="1391" spans="1:1" x14ac:dyDescent="0.2">
      <c r="A1391" s="12" t="s">
        <v>206</v>
      </c>
    </row>
    <row r="1392" spans="1:1" x14ac:dyDescent="0.2">
      <c r="A1392" s="12" t="s">
        <v>1304</v>
      </c>
    </row>
    <row r="1393" spans="1:1" x14ac:dyDescent="0.2">
      <c r="A1393" s="12" t="s">
        <v>1305</v>
      </c>
    </row>
    <row r="1394" spans="1:1" x14ac:dyDescent="0.2">
      <c r="A1394" s="12" t="s">
        <v>1306</v>
      </c>
    </row>
    <row r="1395" spans="1:1" x14ac:dyDescent="0.2">
      <c r="A1395" s="12" t="s">
        <v>1307</v>
      </c>
    </row>
    <row r="1396" spans="1:1" x14ac:dyDescent="0.2">
      <c r="A1396" s="12" t="s">
        <v>1308</v>
      </c>
    </row>
    <row r="1397" spans="1:1" x14ac:dyDescent="0.2">
      <c r="A1397" s="12" t="s">
        <v>1309</v>
      </c>
    </row>
    <row r="1398" spans="1:1" x14ac:dyDescent="0.2">
      <c r="A1398" s="12" t="s">
        <v>210</v>
      </c>
    </row>
    <row r="1399" spans="1:1" x14ac:dyDescent="0.2">
      <c r="A1399" s="12" t="s">
        <v>210</v>
      </c>
    </row>
    <row r="1400" spans="1:1" x14ac:dyDescent="0.2">
      <c r="A1400" s="12" t="s">
        <v>1310</v>
      </c>
    </row>
    <row r="1401" spans="1:1" x14ac:dyDescent="0.2">
      <c r="A1401" s="12" t="s">
        <v>1311</v>
      </c>
    </row>
    <row r="1402" spans="1:1" x14ac:dyDescent="0.2">
      <c r="A1402" s="12" t="s">
        <v>1312</v>
      </c>
    </row>
    <row r="1403" spans="1:1" x14ac:dyDescent="0.2">
      <c r="A1403" s="12" t="s">
        <v>1313</v>
      </c>
    </row>
    <row r="1404" spans="1:1" x14ac:dyDescent="0.2">
      <c r="A1404" s="12" t="s">
        <v>1314</v>
      </c>
    </row>
    <row r="1405" spans="1:1" x14ac:dyDescent="0.2">
      <c r="A1405" s="12" t="s">
        <v>1315</v>
      </c>
    </row>
    <row r="1406" spans="1:1" x14ac:dyDescent="0.2">
      <c r="A1406" s="12" t="s">
        <v>1316</v>
      </c>
    </row>
    <row r="1407" spans="1:1" x14ac:dyDescent="0.2">
      <c r="A1407" s="12" t="s">
        <v>1317</v>
      </c>
    </row>
    <row r="1408" spans="1:1" x14ac:dyDescent="0.2">
      <c r="A1408" s="12" t="s">
        <v>1318</v>
      </c>
    </row>
    <row r="1409" spans="1:1" x14ac:dyDescent="0.2">
      <c r="A1409" s="12" t="s">
        <v>1319</v>
      </c>
    </row>
    <row r="1410" spans="1:1" x14ac:dyDescent="0.2">
      <c r="A1410" s="12" t="s">
        <v>1320</v>
      </c>
    </row>
    <row r="1411" spans="1:1" x14ac:dyDescent="0.2">
      <c r="A1411" s="12" t="s">
        <v>1321</v>
      </c>
    </row>
    <row r="1412" spans="1:1" x14ac:dyDescent="0.2">
      <c r="A1412" s="12" t="s">
        <v>1322</v>
      </c>
    </row>
    <row r="1413" spans="1:1" x14ac:dyDescent="0.2">
      <c r="A1413" s="12" t="s">
        <v>1323</v>
      </c>
    </row>
    <row r="1414" spans="1:1" x14ac:dyDescent="0.2">
      <c r="A1414" s="12" t="s">
        <v>1324</v>
      </c>
    </row>
    <row r="1415" spans="1:1" x14ac:dyDescent="0.2">
      <c r="A1415" s="12" t="s">
        <v>1325</v>
      </c>
    </row>
    <row r="1416" spans="1:1" x14ac:dyDescent="0.2">
      <c r="A1416" s="12" t="s">
        <v>1326</v>
      </c>
    </row>
    <row r="1417" spans="1:1" x14ac:dyDescent="0.2">
      <c r="A1417" s="12" t="s">
        <v>1327</v>
      </c>
    </row>
    <row r="1418" spans="1:1" x14ac:dyDescent="0.2">
      <c r="A1418" s="12" t="s">
        <v>1328</v>
      </c>
    </row>
    <row r="1419" spans="1:1" x14ac:dyDescent="0.2">
      <c r="A1419" s="12" t="s">
        <v>1329</v>
      </c>
    </row>
    <row r="1420" spans="1:1" x14ac:dyDescent="0.2">
      <c r="A1420" s="12" t="s">
        <v>1330</v>
      </c>
    </row>
    <row r="1421" spans="1:1" x14ac:dyDescent="0.2">
      <c r="A1421" s="12" t="s">
        <v>1331</v>
      </c>
    </row>
    <row r="1422" spans="1:1" x14ac:dyDescent="0.2">
      <c r="A1422" s="12" t="s">
        <v>1332</v>
      </c>
    </row>
    <row r="1423" spans="1:1" x14ac:dyDescent="0.2">
      <c r="A1423" s="12" t="s">
        <v>1333</v>
      </c>
    </row>
    <row r="1424" spans="1:1" x14ac:dyDescent="0.2">
      <c r="A1424" s="12" t="s">
        <v>1334</v>
      </c>
    </row>
    <row r="1425" spans="1:1" x14ac:dyDescent="0.2">
      <c r="A1425" s="12" t="s">
        <v>1335</v>
      </c>
    </row>
    <row r="1426" spans="1:1" x14ac:dyDescent="0.2">
      <c r="A1426" s="12" t="s">
        <v>1336</v>
      </c>
    </row>
    <row r="1427" spans="1:1" x14ac:dyDescent="0.2">
      <c r="A1427" s="12" t="s">
        <v>1337</v>
      </c>
    </row>
    <row r="1428" spans="1:1" x14ac:dyDescent="0.2">
      <c r="A1428" s="12" t="s">
        <v>1338</v>
      </c>
    </row>
    <row r="1429" spans="1:1" x14ac:dyDescent="0.2">
      <c r="A1429" s="12" t="s">
        <v>1338</v>
      </c>
    </row>
    <row r="1430" spans="1:1" x14ac:dyDescent="0.2">
      <c r="A1430" s="12" t="s">
        <v>1339</v>
      </c>
    </row>
    <row r="1431" spans="1:1" x14ac:dyDescent="0.2">
      <c r="A1431" s="12" t="s">
        <v>1340</v>
      </c>
    </row>
    <row r="1432" spans="1:1" x14ac:dyDescent="0.2">
      <c r="A1432" s="12" t="s">
        <v>1341</v>
      </c>
    </row>
    <row r="1433" spans="1:1" x14ac:dyDescent="0.2">
      <c r="A1433" s="12" t="s">
        <v>1342</v>
      </c>
    </row>
    <row r="1434" spans="1:1" x14ac:dyDescent="0.2">
      <c r="A1434" s="12" t="s">
        <v>1343</v>
      </c>
    </row>
    <row r="1435" spans="1:1" x14ac:dyDescent="0.2">
      <c r="A1435" s="12" t="s">
        <v>1344</v>
      </c>
    </row>
    <row r="1436" spans="1:1" x14ac:dyDescent="0.2">
      <c r="A1436" s="12" t="s">
        <v>1345</v>
      </c>
    </row>
    <row r="1437" spans="1:1" x14ac:dyDescent="0.2">
      <c r="A1437" s="12" t="s">
        <v>1346</v>
      </c>
    </row>
    <row r="1438" spans="1:1" x14ac:dyDescent="0.2">
      <c r="A1438" s="12" t="s">
        <v>1347</v>
      </c>
    </row>
    <row r="1439" spans="1:1" x14ac:dyDescent="0.2">
      <c r="A1439" s="12" t="s">
        <v>1348</v>
      </c>
    </row>
    <row r="1440" spans="1:1" x14ac:dyDescent="0.2">
      <c r="A1440" s="12" t="s">
        <v>1349</v>
      </c>
    </row>
    <row r="1441" spans="1:1" x14ac:dyDescent="0.2">
      <c r="A1441" s="12" t="s">
        <v>1350</v>
      </c>
    </row>
    <row r="1442" spans="1:1" x14ac:dyDescent="0.2">
      <c r="A1442" s="12" t="s">
        <v>1351</v>
      </c>
    </row>
    <row r="1443" spans="1:1" x14ac:dyDescent="0.2">
      <c r="A1443" s="12" t="s">
        <v>1352</v>
      </c>
    </row>
    <row r="1444" spans="1:1" x14ac:dyDescent="0.2">
      <c r="A1444" s="12" t="s">
        <v>1353</v>
      </c>
    </row>
    <row r="1445" spans="1:1" x14ac:dyDescent="0.2">
      <c r="A1445" s="12" t="s">
        <v>1354</v>
      </c>
    </row>
    <row r="1446" spans="1:1" x14ac:dyDescent="0.2">
      <c r="A1446" s="12" t="s">
        <v>1355</v>
      </c>
    </row>
    <row r="1447" spans="1:1" x14ac:dyDescent="0.2">
      <c r="A1447" s="12" t="s">
        <v>1356</v>
      </c>
    </row>
    <row r="1448" spans="1:1" x14ac:dyDescent="0.2">
      <c r="A1448" s="12" t="s">
        <v>1357</v>
      </c>
    </row>
    <row r="1449" spans="1:1" x14ac:dyDescent="0.2">
      <c r="A1449" s="12" t="s">
        <v>1358</v>
      </c>
    </row>
    <row r="1450" spans="1:1" x14ac:dyDescent="0.2">
      <c r="A1450" s="12" t="s">
        <v>1359</v>
      </c>
    </row>
    <row r="1451" spans="1:1" x14ac:dyDescent="0.2">
      <c r="A1451" s="12" t="s">
        <v>1360</v>
      </c>
    </row>
    <row r="1452" spans="1:1" x14ac:dyDescent="0.2">
      <c r="A1452" s="12" t="s">
        <v>1361</v>
      </c>
    </row>
    <row r="1453" spans="1:1" x14ac:dyDescent="0.2">
      <c r="A1453" s="12" t="s">
        <v>1362</v>
      </c>
    </row>
    <row r="1454" spans="1:1" x14ac:dyDescent="0.2">
      <c r="A1454" s="12" t="s">
        <v>1363</v>
      </c>
    </row>
    <row r="1455" spans="1:1" x14ac:dyDescent="0.2">
      <c r="A1455" s="12" t="s">
        <v>1364</v>
      </c>
    </row>
    <row r="1456" spans="1:1" x14ac:dyDescent="0.2">
      <c r="A1456" s="12" t="s">
        <v>222</v>
      </c>
    </row>
    <row r="1457" spans="1:1" x14ac:dyDescent="0.2">
      <c r="A1457" s="12" t="s">
        <v>1365</v>
      </c>
    </row>
    <row r="1458" spans="1:1" x14ac:dyDescent="0.2">
      <c r="A1458" s="12" t="s">
        <v>1366</v>
      </c>
    </row>
    <row r="1459" spans="1:1" x14ac:dyDescent="0.2">
      <c r="A1459" s="12" t="s">
        <v>1367</v>
      </c>
    </row>
    <row r="1460" spans="1:1" x14ac:dyDescent="0.2">
      <c r="A1460" s="12" t="s">
        <v>1368</v>
      </c>
    </row>
    <row r="1461" spans="1:1" x14ac:dyDescent="0.2">
      <c r="A1461" s="12" t="s">
        <v>1369</v>
      </c>
    </row>
    <row r="1462" spans="1:1" x14ac:dyDescent="0.2">
      <c r="A1462" s="12" t="s">
        <v>1370</v>
      </c>
    </row>
    <row r="1463" spans="1:1" x14ac:dyDescent="0.2">
      <c r="A1463" s="12" t="s">
        <v>1371</v>
      </c>
    </row>
    <row r="1464" spans="1:1" x14ac:dyDescent="0.2">
      <c r="A1464" s="12" t="s">
        <v>1372</v>
      </c>
    </row>
    <row r="1465" spans="1:1" x14ac:dyDescent="0.2">
      <c r="A1465" s="12" t="s">
        <v>1373</v>
      </c>
    </row>
    <row r="1466" spans="1:1" x14ac:dyDescent="0.2">
      <c r="A1466" s="12" t="s">
        <v>1374</v>
      </c>
    </row>
    <row r="1467" spans="1:1" x14ac:dyDescent="0.2">
      <c r="A1467" s="12" t="s">
        <v>1374</v>
      </c>
    </row>
    <row r="1468" spans="1:1" x14ac:dyDescent="0.2">
      <c r="A1468" s="12" t="s">
        <v>1375</v>
      </c>
    </row>
    <row r="1469" spans="1:1" x14ac:dyDescent="0.2">
      <c r="A1469" s="12" t="s">
        <v>1376</v>
      </c>
    </row>
    <row r="1470" spans="1:1" x14ac:dyDescent="0.2">
      <c r="A1470" s="12" t="s">
        <v>1377</v>
      </c>
    </row>
    <row r="1471" spans="1:1" x14ac:dyDescent="0.2">
      <c r="A1471" s="12" t="s">
        <v>1378</v>
      </c>
    </row>
    <row r="1472" spans="1:1" x14ac:dyDescent="0.2">
      <c r="A1472" s="12" t="s">
        <v>1379</v>
      </c>
    </row>
    <row r="1473" spans="1:1" x14ac:dyDescent="0.2">
      <c r="A1473" s="12" t="s">
        <v>1380</v>
      </c>
    </row>
    <row r="1474" spans="1:1" x14ac:dyDescent="0.2">
      <c r="A1474" s="12" t="s">
        <v>1381</v>
      </c>
    </row>
    <row r="1475" spans="1:1" x14ac:dyDescent="0.2">
      <c r="A1475" s="12" t="s">
        <v>1382</v>
      </c>
    </row>
    <row r="1476" spans="1:1" x14ac:dyDescent="0.2">
      <c r="A1476" s="12" t="s">
        <v>1383</v>
      </c>
    </row>
    <row r="1477" spans="1:1" x14ac:dyDescent="0.2">
      <c r="A1477" s="12" t="s">
        <v>1384</v>
      </c>
    </row>
    <row r="1478" spans="1:1" x14ac:dyDescent="0.2">
      <c r="A1478" s="12" t="s">
        <v>1385</v>
      </c>
    </row>
    <row r="1479" spans="1:1" x14ac:dyDescent="0.2">
      <c r="A1479" s="12" t="s">
        <v>1386</v>
      </c>
    </row>
    <row r="1480" spans="1:1" x14ac:dyDescent="0.2">
      <c r="A1480" s="12" t="s">
        <v>1387</v>
      </c>
    </row>
    <row r="1481" spans="1:1" x14ac:dyDescent="0.2">
      <c r="A1481" s="12" t="s">
        <v>1388</v>
      </c>
    </row>
    <row r="1482" spans="1:1" x14ac:dyDescent="0.2">
      <c r="A1482" s="12" t="s">
        <v>1389</v>
      </c>
    </row>
    <row r="1483" spans="1:1" x14ac:dyDescent="0.2">
      <c r="A1483" s="12" t="s">
        <v>1390</v>
      </c>
    </row>
    <row r="1484" spans="1:1" x14ac:dyDescent="0.2">
      <c r="A1484" s="12" t="s">
        <v>1391</v>
      </c>
    </row>
    <row r="1485" spans="1:1" x14ac:dyDescent="0.2">
      <c r="A1485" s="12" t="s">
        <v>1392</v>
      </c>
    </row>
    <row r="1486" spans="1:1" x14ac:dyDescent="0.2">
      <c r="A1486" s="12" t="s">
        <v>1392</v>
      </c>
    </row>
    <row r="1487" spans="1:1" x14ac:dyDescent="0.2">
      <c r="A1487" s="12" t="s">
        <v>1393</v>
      </c>
    </row>
    <row r="1488" spans="1:1" x14ac:dyDescent="0.2">
      <c r="A1488" s="12" t="s">
        <v>1394</v>
      </c>
    </row>
    <row r="1489" spans="1:1" x14ac:dyDescent="0.2">
      <c r="A1489" s="12" t="s">
        <v>1395</v>
      </c>
    </row>
    <row r="1490" spans="1:1" x14ac:dyDescent="0.2">
      <c r="A1490" s="12" t="s">
        <v>1396</v>
      </c>
    </row>
    <row r="1491" spans="1:1" x14ac:dyDescent="0.2">
      <c r="A1491" s="12" t="s">
        <v>1397</v>
      </c>
    </row>
    <row r="1492" spans="1:1" x14ac:dyDescent="0.2">
      <c r="A1492" s="12" t="s">
        <v>1398</v>
      </c>
    </row>
    <row r="1493" spans="1:1" x14ac:dyDescent="0.2">
      <c r="A1493" s="12" t="s">
        <v>1399</v>
      </c>
    </row>
    <row r="1494" spans="1:1" x14ac:dyDescent="0.2">
      <c r="A1494" s="12" t="s">
        <v>1400</v>
      </c>
    </row>
    <row r="1495" spans="1:1" x14ac:dyDescent="0.2">
      <c r="A1495" s="12" t="s">
        <v>1401</v>
      </c>
    </row>
    <row r="1496" spans="1:1" x14ac:dyDescent="0.2">
      <c r="A1496" s="12" t="s">
        <v>1402</v>
      </c>
    </row>
    <row r="1497" spans="1:1" x14ac:dyDescent="0.2">
      <c r="A1497" s="12" t="s">
        <v>1403</v>
      </c>
    </row>
    <row r="1498" spans="1:1" x14ac:dyDescent="0.2">
      <c r="A1498" s="12" t="s">
        <v>1404</v>
      </c>
    </row>
    <row r="1499" spans="1:1" x14ac:dyDescent="0.2">
      <c r="A1499" s="12" t="s">
        <v>1405</v>
      </c>
    </row>
    <row r="1500" spans="1:1" x14ac:dyDescent="0.2">
      <c r="A1500" s="12" t="s">
        <v>1406</v>
      </c>
    </row>
    <row r="1501" spans="1:1" x14ac:dyDescent="0.2">
      <c r="A1501" s="12" t="s">
        <v>1407</v>
      </c>
    </row>
    <row r="1502" spans="1:1" x14ac:dyDescent="0.2">
      <c r="A1502" s="12" t="s">
        <v>1408</v>
      </c>
    </row>
    <row r="1503" spans="1:1" x14ac:dyDescent="0.2">
      <c r="A1503" s="12" t="s">
        <v>1409</v>
      </c>
    </row>
    <row r="1504" spans="1:1" x14ac:dyDescent="0.2">
      <c r="A1504" s="12" t="s">
        <v>1410</v>
      </c>
    </row>
    <row r="1505" spans="1:1" x14ac:dyDescent="0.2">
      <c r="A1505" s="12" t="s">
        <v>1411</v>
      </c>
    </row>
    <row r="1506" spans="1:1" x14ac:dyDescent="0.2">
      <c r="A1506" s="12" t="s">
        <v>1412</v>
      </c>
    </row>
    <row r="1507" spans="1:1" x14ac:dyDescent="0.2">
      <c r="A1507" s="12" t="s">
        <v>1413</v>
      </c>
    </row>
    <row r="1508" spans="1:1" x14ac:dyDescent="0.2">
      <c r="A1508" s="12" t="s">
        <v>1414</v>
      </c>
    </row>
    <row r="1509" spans="1:1" x14ac:dyDescent="0.2">
      <c r="A1509" s="12" t="s">
        <v>1415</v>
      </c>
    </row>
    <row r="1510" spans="1:1" x14ac:dyDescent="0.2">
      <c r="A1510" s="12" t="s">
        <v>1416</v>
      </c>
    </row>
    <row r="1511" spans="1:1" x14ac:dyDescent="0.2">
      <c r="A1511" s="12" t="s">
        <v>1417</v>
      </c>
    </row>
    <row r="1512" spans="1:1" x14ac:dyDescent="0.2">
      <c r="A1512" s="12" t="s">
        <v>1418</v>
      </c>
    </row>
    <row r="1513" spans="1:1" x14ac:dyDescent="0.2">
      <c r="A1513" s="12" t="s">
        <v>1419</v>
      </c>
    </row>
    <row r="1514" spans="1:1" x14ac:dyDescent="0.2">
      <c r="A1514" s="12" t="s">
        <v>1420</v>
      </c>
    </row>
    <row r="1515" spans="1:1" x14ac:dyDescent="0.2">
      <c r="A1515" s="12" t="s">
        <v>1421</v>
      </c>
    </row>
    <row r="1516" spans="1:1" x14ac:dyDescent="0.2">
      <c r="A1516" s="12" t="s">
        <v>1422</v>
      </c>
    </row>
    <row r="1517" spans="1:1" x14ac:dyDescent="0.2">
      <c r="A1517" s="12" t="s">
        <v>230</v>
      </c>
    </row>
    <row r="1518" spans="1:1" x14ac:dyDescent="0.2">
      <c r="A1518" s="12" t="s">
        <v>230</v>
      </c>
    </row>
    <row r="1519" spans="1:1" x14ac:dyDescent="0.2">
      <c r="A1519" s="12" t="s">
        <v>1423</v>
      </c>
    </row>
    <row r="1520" spans="1:1" x14ac:dyDescent="0.2">
      <c r="A1520" s="12" t="s">
        <v>1424</v>
      </c>
    </row>
    <row r="1521" spans="1:1" x14ac:dyDescent="0.2">
      <c r="A1521" s="12" t="s">
        <v>1425</v>
      </c>
    </row>
    <row r="1522" spans="1:1" x14ac:dyDescent="0.2">
      <c r="A1522" s="12" t="s">
        <v>1426</v>
      </c>
    </row>
    <row r="1523" spans="1:1" x14ac:dyDescent="0.2">
      <c r="A1523" s="12" t="s">
        <v>1427</v>
      </c>
    </row>
    <row r="1524" spans="1:1" x14ac:dyDescent="0.2">
      <c r="A1524" s="12" t="s">
        <v>1428</v>
      </c>
    </row>
    <row r="1525" spans="1:1" x14ac:dyDescent="0.2">
      <c r="A1525" s="12" t="s">
        <v>235</v>
      </c>
    </row>
    <row r="1526" spans="1:1" x14ac:dyDescent="0.2">
      <c r="A1526" s="12" t="s">
        <v>1429</v>
      </c>
    </row>
    <row r="1527" spans="1:1" x14ac:dyDescent="0.2">
      <c r="A1527" s="12" t="s">
        <v>1430</v>
      </c>
    </row>
    <row r="1528" spans="1:1" x14ac:dyDescent="0.2">
      <c r="A1528" s="12" t="s">
        <v>1431</v>
      </c>
    </row>
    <row r="1529" spans="1:1" x14ac:dyDescent="0.2">
      <c r="A1529" s="12" t="s">
        <v>1431</v>
      </c>
    </row>
    <row r="1530" spans="1:1" x14ac:dyDescent="0.2">
      <c r="A1530" s="12" t="s">
        <v>1432</v>
      </c>
    </row>
    <row r="1531" spans="1:1" x14ac:dyDescent="0.2">
      <c r="A1531" s="12" t="s">
        <v>1433</v>
      </c>
    </row>
    <row r="1532" spans="1:1" x14ac:dyDescent="0.2">
      <c r="A1532" s="12" t="s">
        <v>1434</v>
      </c>
    </row>
    <row r="1533" spans="1:1" x14ac:dyDescent="0.2">
      <c r="A1533" s="12" t="s">
        <v>1435</v>
      </c>
    </row>
    <row r="1534" spans="1:1" x14ac:dyDescent="0.2">
      <c r="A1534" s="12" t="s">
        <v>1436</v>
      </c>
    </row>
    <row r="1535" spans="1:1" x14ac:dyDescent="0.2">
      <c r="A1535" s="12" t="s">
        <v>1437</v>
      </c>
    </row>
    <row r="1536" spans="1:1" x14ac:dyDescent="0.2">
      <c r="A1536" s="12" t="s">
        <v>1438</v>
      </c>
    </row>
    <row r="1537" spans="1:1" x14ac:dyDescent="0.2">
      <c r="A1537" s="12" t="s">
        <v>1439</v>
      </c>
    </row>
    <row r="1538" spans="1:1" x14ac:dyDescent="0.2">
      <c r="A1538" s="12" t="s">
        <v>1440</v>
      </c>
    </row>
    <row r="1539" spans="1:1" x14ac:dyDescent="0.2">
      <c r="A1539" s="12" t="s">
        <v>1441</v>
      </c>
    </row>
    <row r="1540" spans="1:1" x14ac:dyDescent="0.2">
      <c r="A1540" s="12" t="s">
        <v>1442</v>
      </c>
    </row>
    <row r="1541" spans="1:1" x14ac:dyDescent="0.2">
      <c r="A1541" s="12" t="s">
        <v>1443</v>
      </c>
    </row>
    <row r="1542" spans="1:1" x14ac:dyDescent="0.2">
      <c r="A1542" s="12" t="s">
        <v>1444</v>
      </c>
    </row>
    <row r="1543" spans="1:1" x14ac:dyDescent="0.2">
      <c r="A1543" s="12" t="s">
        <v>1445</v>
      </c>
    </row>
    <row r="1544" spans="1:1" x14ac:dyDescent="0.2">
      <c r="A1544" s="12" t="s">
        <v>1446</v>
      </c>
    </row>
    <row r="1545" spans="1:1" x14ac:dyDescent="0.2">
      <c r="A1545" s="12" t="s">
        <v>1447</v>
      </c>
    </row>
    <row r="1546" spans="1:1" x14ac:dyDescent="0.2">
      <c r="A1546" s="12" t="s">
        <v>1448</v>
      </c>
    </row>
    <row r="1547" spans="1:1" x14ac:dyDescent="0.2">
      <c r="A1547" s="12" t="s">
        <v>1449</v>
      </c>
    </row>
    <row r="1548" spans="1:1" x14ac:dyDescent="0.2">
      <c r="A1548" s="12" t="s">
        <v>1450</v>
      </c>
    </row>
    <row r="1549" spans="1:1" x14ac:dyDescent="0.2">
      <c r="A1549" s="12" t="s">
        <v>1451</v>
      </c>
    </row>
    <row r="1550" spans="1:1" x14ac:dyDescent="0.2">
      <c r="A1550" s="12" t="s">
        <v>1452</v>
      </c>
    </row>
    <row r="1551" spans="1:1" x14ac:dyDescent="0.2">
      <c r="A1551" s="12" t="s">
        <v>1453</v>
      </c>
    </row>
    <row r="1552" spans="1:1" x14ac:dyDescent="0.2">
      <c r="A1552" s="12" t="s">
        <v>1454</v>
      </c>
    </row>
    <row r="1553" spans="1:1" x14ac:dyDescent="0.2">
      <c r="A1553" s="12" t="s">
        <v>1455</v>
      </c>
    </row>
    <row r="1554" spans="1:1" x14ac:dyDescent="0.2">
      <c r="A1554" s="12" t="s">
        <v>1456</v>
      </c>
    </row>
    <row r="1555" spans="1:1" x14ac:dyDescent="0.2">
      <c r="A1555" s="12" t="s">
        <v>1457</v>
      </c>
    </row>
    <row r="1556" spans="1:1" x14ac:dyDescent="0.2">
      <c r="A1556" s="12" t="s">
        <v>1458</v>
      </c>
    </row>
    <row r="1557" spans="1:1" x14ac:dyDescent="0.2">
      <c r="A1557" s="12" t="s">
        <v>1459</v>
      </c>
    </row>
    <row r="1558" spans="1:1" x14ac:dyDescent="0.2">
      <c r="A1558" s="12" t="s">
        <v>1460</v>
      </c>
    </row>
    <row r="1559" spans="1:1" x14ac:dyDescent="0.2">
      <c r="A1559" s="12" t="s">
        <v>1461</v>
      </c>
    </row>
    <row r="1560" spans="1:1" x14ac:dyDescent="0.2">
      <c r="A1560" s="12" t="s">
        <v>1462</v>
      </c>
    </row>
    <row r="1561" spans="1:1" x14ac:dyDescent="0.2">
      <c r="A1561" s="12" t="s">
        <v>1463</v>
      </c>
    </row>
    <row r="1562" spans="1:1" x14ac:dyDescent="0.2">
      <c r="A1562" s="12" t="s">
        <v>1464</v>
      </c>
    </row>
    <row r="1563" spans="1:1" x14ac:dyDescent="0.2">
      <c r="A1563" s="12" t="s">
        <v>1465</v>
      </c>
    </row>
    <row r="1564" spans="1:1" x14ac:dyDescent="0.2">
      <c r="A1564" s="12" t="s">
        <v>1466</v>
      </c>
    </row>
    <row r="1565" spans="1:1" x14ac:dyDescent="0.2">
      <c r="A1565" s="12" t="s">
        <v>1467</v>
      </c>
    </row>
    <row r="1566" spans="1:1" x14ac:dyDescent="0.2">
      <c r="A1566" s="12" t="s">
        <v>1468</v>
      </c>
    </row>
    <row r="1567" spans="1:1" x14ac:dyDescent="0.2">
      <c r="A1567" s="12" t="s">
        <v>1469</v>
      </c>
    </row>
    <row r="1568" spans="1:1" x14ac:dyDescent="0.2">
      <c r="A1568" s="12" t="s">
        <v>1469</v>
      </c>
    </row>
    <row r="1569" spans="1:1" x14ac:dyDescent="0.2">
      <c r="A1569" s="12" t="s">
        <v>1470</v>
      </c>
    </row>
    <row r="1570" spans="1:1" x14ac:dyDescent="0.2">
      <c r="A1570" s="12" t="s">
        <v>1471</v>
      </c>
    </row>
    <row r="1571" spans="1:1" x14ac:dyDescent="0.2">
      <c r="A1571" s="12" t="s">
        <v>1472</v>
      </c>
    </row>
    <row r="1572" spans="1:1" x14ac:dyDescent="0.2">
      <c r="A1572" s="12" t="s">
        <v>1473</v>
      </c>
    </row>
    <row r="1573" spans="1:1" x14ac:dyDescent="0.2">
      <c r="A1573" s="12" t="s">
        <v>1474</v>
      </c>
    </row>
    <row r="1574" spans="1:1" x14ac:dyDescent="0.2">
      <c r="A1574" s="12" t="s">
        <v>1475</v>
      </c>
    </row>
    <row r="1575" spans="1:1" x14ac:dyDescent="0.2">
      <c r="A1575" s="12" t="s">
        <v>1476</v>
      </c>
    </row>
    <row r="1576" spans="1:1" x14ac:dyDescent="0.2">
      <c r="A1576" s="12" t="s">
        <v>1477</v>
      </c>
    </row>
    <row r="1577" spans="1:1" x14ac:dyDescent="0.2">
      <c r="A1577" s="12" t="s">
        <v>1478</v>
      </c>
    </row>
    <row r="1578" spans="1:1" x14ac:dyDescent="0.2">
      <c r="A1578" s="12" t="s">
        <v>1479</v>
      </c>
    </row>
    <row r="1579" spans="1:1" x14ac:dyDescent="0.2">
      <c r="A1579" s="12" t="s">
        <v>1480</v>
      </c>
    </row>
    <row r="1580" spans="1:1" x14ac:dyDescent="0.2">
      <c r="A1580" s="12" t="s">
        <v>1480</v>
      </c>
    </row>
    <row r="1581" spans="1:1" x14ac:dyDescent="0.2">
      <c r="A1581" s="12" t="s">
        <v>1481</v>
      </c>
    </row>
    <row r="1582" spans="1:1" x14ac:dyDescent="0.2">
      <c r="A1582" s="12" t="s">
        <v>1482</v>
      </c>
    </row>
    <row r="1583" spans="1:1" x14ac:dyDescent="0.2">
      <c r="A1583" s="12" t="s">
        <v>1483</v>
      </c>
    </row>
    <row r="1584" spans="1:1" x14ac:dyDescent="0.2">
      <c r="A1584" s="12" t="s">
        <v>1484</v>
      </c>
    </row>
    <row r="1585" spans="1:1" x14ac:dyDescent="0.2">
      <c r="A1585" s="12" t="s">
        <v>1485</v>
      </c>
    </row>
    <row r="1586" spans="1:1" x14ac:dyDescent="0.2">
      <c r="A1586" s="12" t="s">
        <v>1486</v>
      </c>
    </row>
    <row r="1587" spans="1:1" x14ac:dyDescent="0.2">
      <c r="A1587" s="12" t="s">
        <v>1487</v>
      </c>
    </row>
    <row r="1588" spans="1:1" x14ac:dyDescent="0.2">
      <c r="A1588" s="12" t="s">
        <v>1488</v>
      </c>
    </row>
    <row r="1589" spans="1:1" x14ac:dyDescent="0.2">
      <c r="A1589" s="12" t="s">
        <v>1489</v>
      </c>
    </row>
    <row r="1590" spans="1:1" x14ac:dyDescent="0.2">
      <c r="A1590" s="12" t="s">
        <v>1490</v>
      </c>
    </row>
    <row r="1591" spans="1:1" x14ac:dyDescent="0.2">
      <c r="A1591" s="12" t="s">
        <v>1491</v>
      </c>
    </row>
    <row r="1592" spans="1:1" x14ac:dyDescent="0.2">
      <c r="A1592" s="12" t="s">
        <v>1492</v>
      </c>
    </row>
    <row r="1593" spans="1:1" x14ac:dyDescent="0.2">
      <c r="A1593" s="12" t="s">
        <v>1493</v>
      </c>
    </row>
    <row r="1594" spans="1:1" x14ac:dyDescent="0.2">
      <c r="A1594" s="12" t="s">
        <v>1494</v>
      </c>
    </row>
    <row r="1595" spans="1:1" x14ac:dyDescent="0.2">
      <c r="A1595" s="12" t="s">
        <v>1495</v>
      </c>
    </row>
    <row r="1596" spans="1:1" x14ac:dyDescent="0.2">
      <c r="A1596" s="12" t="s">
        <v>1496</v>
      </c>
    </row>
    <row r="1597" spans="1:1" x14ac:dyDescent="0.2">
      <c r="A1597" s="12" t="s">
        <v>1497</v>
      </c>
    </row>
    <row r="1598" spans="1:1" x14ac:dyDescent="0.2">
      <c r="A1598" s="12" t="s">
        <v>1498</v>
      </c>
    </row>
    <row r="1599" spans="1:1" x14ac:dyDescent="0.2">
      <c r="A1599" s="12" t="s">
        <v>1499</v>
      </c>
    </row>
    <row r="1600" spans="1:1" x14ac:dyDescent="0.2">
      <c r="A1600" s="12" t="s">
        <v>1500</v>
      </c>
    </row>
    <row r="1601" spans="1:1" x14ac:dyDescent="0.2">
      <c r="A1601" s="12" t="s">
        <v>1501</v>
      </c>
    </row>
    <row r="1602" spans="1:1" x14ac:dyDescent="0.2">
      <c r="A1602" s="12" t="s">
        <v>1502</v>
      </c>
    </row>
    <row r="1603" spans="1:1" x14ac:dyDescent="0.2">
      <c r="A1603" s="12" t="s">
        <v>1503</v>
      </c>
    </row>
    <row r="1604" spans="1:1" x14ac:dyDescent="0.2">
      <c r="A1604" s="12" t="s">
        <v>1504</v>
      </c>
    </row>
    <row r="1605" spans="1:1" x14ac:dyDescent="0.2">
      <c r="A1605" s="12" t="s">
        <v>1505</v>
      </c>
    </row>
    <row r="1606" spans="1:1" x14ac:dyDescent="0.2">
      <c r="A1606" s="12" t="s">
        <v>1506</v>
      </c>
    </row>
    <row r="1607" spans="1:1" x14ac:dyDescent="0.2">
      <c r="A1607" s="12" t="s">
        <v>1507</v>
      </c>
    </row>
    <row r="1608" spans="1:1" x14ac:dyDescent="0.2">
      <c r="A1608" s="12" t="s">
        <v>1508</v>
      </c>
    </row>
    <row r="1609" spans="1:1" x14ac:dyDescent="0.2">
      <c r="A1609" s="12" t="s">
        <v>1509</v>
      </c>
    </row>
    <row r="1610" spans="1:1" x14ac:dyDescent="0.2">
      <c r="A1610" s="12" t="s">
        <v>1510</v>
      </c>
    </row>
    <row r="1611" spans="1:1" x14ac:dyDescent="0.2">
      <c r="A1611" s="12" t="s">
        <v>1511</v>
      </c>
    </row>
    <row r="1612" spans="1:1" x14ac:dyDescent="0.2">
      <c r="A1612" s="12" t="s">
        <v>1512</v>
      </c>
    </row>
    <row r="1613" spans="1:1" x14ac:dyDescent="0.2">
      <c r="A1613" s="12" t="s">
        <v>1513</v>
      </c>
    </row>
    <row r="1614" spans="1:1" x14ac:dyDescent="0.2">
      <c r="A1614" s="12" t="s">
        <v>1514</v>
      </c>
    </row>
    <row r="1615" spans="1:1" x14ac:dyDescent="0.2">
      <c r="A1615" s="12" t="s">
        <v>1515</v>
      </c>
    </row>
    <row r="1616" spans="1:1" x14ac:dyDescent="0.2">
      <c r="A1616" s="12" t="s">
        <v>1516</v>
      </c>
    </row>
    <row r="1617" spans="1:1" x14ac:dyDescent="0.2">
      <c r="A1617" s="12" t="s">
        <v>1517</v>
      </c>
    </row>
    <row r="1618" spans="1:1" x14ac:dyDescent="0.2">
      <c r="A1618" s="12" t="s">
        <v>1518</v>
      </c>
    </row>
    <row r="1619" spans="1:1" x14ac:dyDescent="0.2">
      <c r="A1619" s="12" t="s">
        <v>1519</v>
      </c>
    </row>
    <row r="1620" spans="1:1" x14ac:dyDescent="0.2">
      <c r="A1620" s="12" t="s">
        <v>1520</v>
      </c>
    </row>
    <row r="1621" spans="1:1" x14ac:dyDescent="0.2">
      <c r="A1621" s="12" t="s">
        <v>1521</v>
      </c>
    </row>
    <row r="1622" spans="1:1" x14ac:dyDescent="0.2">
      <c r="A1622" s="12" t="s">
        <v>1522</v>
      </c>
    </row>
    <row r="1623" spans="1:1" x14ac:dyDescent="0.2">
      <c r="A1623" s="12" t="s">
        <v>1523</v>
      </c>
    </row>
    <row r="1624" spans="1:1" x14ac:dyDescent="0.2">
      <c r="A1624" s="12" t="s">
        <v>1524</v>
      </c>
    </row>
    <row r="1625" spans="1:1" x14ac:dyDescent="0.2">
      <c r="A1625" s="12" t="s">
        <v>1525</v>
      </c>
    </row>
    <row r="1626" spans="1:1" x14ac:dyDescent="0.2">
      <c r="A1626" s="12" t="s">
        <v>1526</v>
      </c>
    </row>
    <row r="1627" spans="1:1" x14ac:dyDescent="0.2">
      <c r="A1627" s="12" t="s">
        <v>1527</v>
      </c>
    </row>
    <row r="1628" spans="1:1" x14ac:dyDescent="0.2">
      <c r="A1628" s="12" t="s">
        <v>1528</v>
      </c>
    </row>
    <row r="1629" spans="1:1" x14ac:dyDescent="0.2">
      <c r="A1629" s="12" t="s">
        <v>1529</v>
      </c>
    </row>
    <row r="1630" spans="1:1" x14ac:dyDescent="0.2">
      <c r="A1630" s="12" t="s">
        <v>1530</v>
      </c>
    </row>
    <row r="1631" spans="1:1" x14ac:dyDescent="0.2">
      <c r="A1631" s="12" t="s">
        <v>1531</v>
      </c>
    </row>
    <row r="1632" spans="1:1" x14ac:dyDescent="0.2">
      <c r="A1632" s="12" t="s">
        <v>1532</v>
      </c>
    </row>
    <row r="1633" spans="1:1" x14ac:dyDescent="0.2">
      <c r="A1633" s="12" t="s">
        <v>1533</v>
      </c>
    </row>
    <row r="1634" spans="1:1" x14ac:dyDescent="0.2">
      <c r="A1634" s="12" t="s">
        <v>1534</v>
      </c>
    </row>
    <row r="1635" spans="1:1" x14ac:dyDescent="0.2">
      <c r="A1635" s="12" t="s">
        <v>1535</v>
      </c>
    </row>
    <row r="1636" spans="1:1" x14ac:dyDescent="0.2">
      <c r="A1636" s="12" t="s">
        <v>1536</v>
      </c>
    </row>
    <row r="1637" spans="1:1" x14ac:dyDescent="0.2">
      <c r="A1637" s="12" t="s">
        <v>1537</v>
      </c>
    </row>
    <row r="1638" spans="1:1" x14ac:dyDescent="0.2">
      <c r="A1638" s="12" t="s">
        <v>1538</v>
      </c>
    </row>
    <row r="1639" spans="1:1" x14ac:dyDescent="0.2">
      <c r="A1639" s="12" t="s">
        <v>1539</v>
      </c>
    </row>
    <row r="1640" spans="1:1" x14ac:dyDescent="0.2">
      <c r="A1640" s="12" t="s">
        <v>1540</v>
      </c>
    </row>
    <row r="1641" spans="1:1" x14ac:dyDescent="0.2">
      <c r="A1641" s="12" t="s">
        <v>1541</v>
      </c>
    </row>
    <row r="1642" spans="1:1" x14ac:dyDescent="0.2">
      <c r="A1642" s="12" t="s">
        <v>1542</v>
      </c>
    </row>
    <row r="1643" spans="1:1" x14ac:dyDescent="0.2">
      <c r="A1643" s="12" t="s">
        <v>1543</v>
      </c>
    </row>
    <row r="1644" spans="1:1" x14ac:dyDescent="0.2">
      <c r="A1644" s="12" t="s">
        <v>1544</v>
      </c>
    </row>
    <row r="1645" spans="1:1" x14ac:dyDescent="0.2">
      <c r="A1645" s="12" t="s">
        <v>1545</v>
      </c>
    </row>
    <row r="1646" spans="1:1" x14ac:dyDescent="0.2">
      <c r="A1646" s="12" t="s">
        <v>1546</v>
      </c>
    </row>
    <row r="1647" spans="1:1" x14ac:dyDescent="0.2">
      <c r="A1647" s="12" t="s">
        <v>1547</v>
      </c>
    </row>
    <row r="1648" spans="1:1" x14ac:dyDescent="0.2">
      <c r="A1648" s="12" t="s">
        <v>1548</v>
      </c>
    </row>
    <row r="1649" spans="1:1" x14ac:dyDescent="0.2">
      <c r="A1649" s="12" t="s">
        <v>1549</v>
      </c>
    </row>
    <row r="1650" spans="1:1" x14ac:dyDescent="0.2">
      <c r="A1650" s="12" t="s">
        <v>1550</v>
      </c>
    </row>
    <row r="1651" spans="1:1" x14ac:dyDescent="0.2">
      <c r="A1651" s="12" t="s">
        <v>1551</v>
      </c>
    </row>
    <row r="1652" spans="1:1" x14ac:dyDescent="0.2">
      <c r="A1652" s="12" t="s">
        <v>1552</v>
      </c>
    </row>
    <row r="1653" spans="1:1" x14ac:dyDescent="0.2">
      <c r="A1653" s="12" t="s">
        <v>1552</v>
      </c>
    </row>
    <row r="1654" spans="1:1" x14ac:dyDescent="0.2">
      <c r="A1654" s="12" t="s">
        <v>1553</v>
      </c>
    </row>
    <row r="1655" spans="1:1" x14ac:dyDescent="0.2">
      <c r="A1655" s="12" t="s">
        <v>1554</v>
      </c>
    </row>
    <row r="1656" spans="1:1" x14ac:dyDescent="0.2">
      <c r="A1656" s="12" t="s">
        <v>1555</v>
      </c>
    </row>
    <row r="1657" spans="1:1" x14ac:dyDescent="0.2">
      <c r="A1657" s="12" t="s">
        <v>1556</v>
      </c>
    </row>
    <row r="1658" spans="1:1" x14ac:dyDescent="0.2">
      <c r="A1658" s="12" t="s">
        <v>1557</v>
      </c>
    </row>
    <row r="1659" spans="1:1" x14ac:dyDescent="0.2">
      <c r="A1659" s="12" t="s">
        <v>1558</v>
      </c>
    </row>
    <row r="1660" spans="1:1" x14ac:dyDescent="0.2">
      <c r="A1660" s="12" t="s">
        <v>1559</v>
      </c>
    </row>
    <row r="1661" spans="1:1" x14ac:dyDescent="0.2">
      <c r="A1661" s="12" t="s">
        <v>1560</v>
      </c>
    </row>
    <row r="1662" spans="1:1" x14ac:dyDescent="0.2">
      <c r="A1662" s="12" t="s">
        <v>1561</v>
      </c>
    </row>
    <row r="1663" spans="1:1" x14ac:dyDescent="0.2">
      <c r="A1663" s="12" t="s">
        <v>1562</v>
      </c>
    </row>
    <row r="1664" spans="1:1" x14ac:dyDescent="0.2">
      <c r="A1664" s="12" t="s">
        <v>1563</v>
      </c>
    </row>
    <row r="1665" spans="1:1" x14ac:dyDescent="0.2">
      <c r="A1665" s="12" t="s">
        <v>1564</v>
      </c>
    </row>
    <row r="1666" spans="1:1" x14ac:dyDescent="0.2">
      <c r="A1666" s="12" t="s">
        <v>1565</v>
      </c>
    </row>
    <row r="1667" spans="1:1" x14ac:dyDescent="0.2">
      <c r="A1667" s="12" t="s">
        <v>1566</v>
      </c>
    </row>
    <row r="1668" spans="1:1" x14ac:dyDescent="0.2">
      <c r="A1668" s="12" t="s">
        <v>1567</v>
      </c>
    </row>
    <row r="1669" spans="1:1" x14ac:dyDescent="0.2">
      <c r="A1669" s="12" t="s">
        <v>250</v>
      </c>
    </row>
    <row r="1670" spans="1:1" x14ac:dyDescent="0.2">
      <c r="A1670" s="12" t="s">
        <v>1568</v>
      </c>
    </row>
    <row r="1671" spans="1:1" x14ac:dyDescent="0.2">
      <c r="A1671" s="12" t="s">
        <v>1569</v>
      </c>
    </row>
    <row r="1672" spans="1:1" x14ac:dyDescent="0.2">
      <c r="A1672" s="12" t="s">
        <v>1570</v>
      </c>
    </row>
    <row r="1673" spans="1:1" x14ac:dyDescent="0.2">
      <c r="A1673" s="12" t="s">
        <v>1571</v>
      </c>
    </row>
    <row r="1674" spans="1:1" x14ac:dyDescent="0.2">
      <c r="A1674" s="12" t="s">
        <v>1572</v>
      </c>
    </row>
    <row r="1675" spans="1:1" x14ac:dyDescent="0.2">
      <c r="A1675" s="12" t="s">
        <v>1573</v>
      </c>
    </row>
    <row r="1676" spans="1:1" x14ac:dyDescent="0.2">
      <c r="A1676" s="12" t="s">
        <v>1574</v>
      </c>
    </row>
    <row r="1677" spans="1:1" x14ac:dyDescent="0.2">
      <c r="A1677" s="12" t="s">
        <v>1575</v>
      </c>
    </row>
    <row r="1678" spans="1:1" x14ac:dyDescent="0.2">
      <c r="A1678" s="12" t="s">
        <v>1576</v>
      </c>
    </row>
    <row r="1679" spans="1:1" x14ac:dyDescent="0.2">
      <c r="A1679" s="12" t="s">
        <v>1577</v>
      </c>
    </row>
    <row r="1680" spans="1:1" x14ac:dyDescent="0.2">
      <c r="A1680" s="12" t="s">
        <v>1578</v>
      </c>
    </row>
    <row r="1681" spans="1:1" x14ac:dyDescent="0.2">
      <c r="A1681" s="12" t="s">
        <v>1579</v>
      </c>
    </row>
    <row r="1682" spans="1:1" x14ac:dyDescent="0.2">
      <c r="A1682" s="12" t="s">
        <v>1580</v>
      </c>
    </row>
    <row r="1683" spans="1:1" x14ac:dyDescent="0.2">
      <c r="A1683" s="12" t="s">
        <v>1581</v>
      </c>
    </row>
    <row r="1684" spans="1:1" x14ac:dyDescent="0.2">
      <c r="A1684" s="12" t="s">
        <v>1582</v>
      </c>
    </row>
    <row r="1685" spans="1:1" x14ac:dyDescent="0.2">
      <c r="A1685" s="12" t="s">
        <v>1583</v>
      </c>
    </row>
    <row r="1686" spans="1:1" x14ac:dyDescent="0.2">
      <c r="A1686" s="12" t="s">
        <v>1584</v>
      </c>
    </row>
    <row r="1687" spans="1:1" x14ac:dyDescent="0.2">
      <c r="A1687" s="12" t="s">
        <v>1585</v>
      </c>
    </row>
    <row r="1688" spans="1:1" x14ac:dyDescent="0.2">
      <c r="A1688" s="12" t="s">
        <v>1586</v>
      </c>
    </row>
    <row r="1689" spans="1:1" x14ac:dyDescent="0.2">
      <c r="A1689" s="12" t="s">
        <v>1587</v>
      </c>
    </row>
    <row r="1690" spans="1:1" x14ac:dyDescent="0.2">
      <c r="A1690" s="12" t="s">
        <v>1588</v>
      </c>
    </row>
    <row r="1691" spans="1:1" x14ac:dyDescent="0.2">
      <c r="A1691" s="12" t="s">
        <v>1589</v>
      </c>
    </row>
    <row r="1692" spans="1:1" x14ac:dyDescent="0.2">
      <c r="A1692" s="12" t="s">
        <v>1590</v>
      </c>
    </row>
    <row r="1693" spans="1:1" x14ac:dyDescent="0.2">
      <c r="A1693" s="12" t="s">
        <v>1591</v>
      </c>
    </row>
    <row r="1694" spans="1:1" x14ac:dyDescent="0.2">
      <c r="A1694" s="12" t="s">
        <v>1592</v>
      </c>
    </row>
    <row r="1695" spans="1:1" x14ac:dyDescent="0.2">
      <c r="A1695" s="12" t="s">
        <v>1593</v>
      </c>
    </row>
    <row r="1696" spans="1:1" x14ac:dyDescent="0.2">
      <c r="A1696" s="12" t="s">
        <v>1594</v>
      </c>
    </row>
    <row r="1697" spans="1:1" x14ac:dyDescent="0.2">
      <c r="A1697" s="12" t="s">
        <v>1595</v>
      </c>
    </row>
    <row r="1698" spans="1:1" x14ac:dyDescent="0.2">
      <c r="A1698" s="12" t="s">
        <v>1596</v>
      </c>
    </row>
    <row r="1699" spans="1:1" x14ac:dyDescent="0.2">
      <c r="A1699" s="12" t="s">
        <v>1597</v>
      </c>
    </row>
    <row r="1700" spans="1:1" x14ac:dyDescent="0.2">
      <c r="A1700" s="12" t="s">
        <v>1598</v>
      </c>
    </row>
    <row r="1701" spans="1:1" x14ac:dyDescent="0.2">
      <c r="A1701" s="12" t="s">
        <v>1599</v>
      </c>
    </row>
    <row r="1702" spans="1:1" x14ac:dyDescent="0.2">
      <c r="A1702" s="12" t="s">
        <v>1600</v>
      </c>
    </row>
    <row r="1703" spans="1:1" x14ac:dyDescent="0.2">
      <c r="A1703" s="12" t="s">
        <v>1601</v>
      </c>
    </row>
    <row r="1704" spans="1:1" x14ac:dyDescent="0.2">
      <c r="A1704" s="12" t="s">
        <v>1602</v>
      </c>
    </row>
    <row r="1705" spans="1:1" x14ac:dyDescent="0.2">
      <c r="A1705" s="12" t="s">
        <v>1603</v>
      </c>
    </row>
    <row r="1706" spans="1:1" x14ac:dyDescent="0.2">
      <c r="A1706" s="12" t="s">
        <v>1604</v>
      </c>
    </row>
    <row r="1707" spans="1:1" x14ac:dyDescent="0.2">
      <c r="A1707" s="12" t="s">
        <v>1605</v>
      </c>
    </row>
    <row r="1708" spans="1:1" x14ac:dyDescent="0.2">
      <c r="A1708" s="12" t="s">
        <v>1606</v>
      </c>
    </row>
    <row r="1709" spans="1:1" x14ac:dyDescent="0.2">
      <c r="A1709" s="12" t="s">
        <v>1607</v>
      </c>
    </row>
    <row r="1710" spans="1:1" x14ac:dyDescent="0.2">
      <c r="A1710" s="12" t="s">
        <v>1608</v>
      </c>
    </row>
    <row r="1711" spans="1:1" x14ac:dyDescent="0.2">
      <c r="A1711" s="12" t="s">
        <v>1609</v>
      </c>
    </row>
    <row r="1712" spans="1:1" x14ac:dyDescent="0.2">
      <c r="A1712" s="12" t="s">
        <v>1610</v>
      </c>
    </row>
    <row r="1713" spans="1:1" x14ac:dyDescent="0.2">
      <c r="A1713" s="12" t="s">
        <v>1611</v>
      </c>
    </row>
    <row r="1714" spans="1:1" x14ac:dyDescent="0.2">
      <c r="A1714" s="12" t="s">
        <v>1612</v>
      </c>
    </row>
    <row r="1715" spans="1:1" x14ac:dyDescent="0.2">
      <c r="A1715" s="12" t="s">
        <v>1613</v>
      </c>
    </row>
    <row r="1716" spans="1:1" x14ac:dyDescent="0.2">
      <c r="A1716" s="12" t="s">
        <v>1614</v>
      </c>
    </row>
    <row r="1717" spans="1:1" x14ac:dyDescent="0.2">
      <c r="A1717" s="12" t="s">
        <v>1615</v>
      </c>
    </row>
    <row r="1718" spans="1:1" x14ac:dyDescent="0.2">
      <c r="A1718" s="12" t="s">
        <v>1616</v>
      </c>
    </row>
    <row r="1719" spans="1:1" x14ac:dyDescent="0.2">
      <c r="A1719" s="12" t="s">
        <v>1617</v>
      </c>
    </row>
    <row r="1720" spans="1:1" x14ac:dyDescent="0.2">
      <c r="A1720" s="12" t="s">
        <v>1618</v>
      </c>
    </row>
    <row r="1721" spans="1:1" x14ac:dyDescent="0.2">
      <c r="A1721" s="12" t="s">
        <v>1619</v>
      </c>
    </row>
    <row r="1722" spans="1:1" x14ac:dyDescent="0.2">
      <c r="A1722" s="12" t="s">
        <v>1620</v>
      </c>
    </row>
    <row r="1723" spans="1:1" x14ac:dyDescent="0.2">
      <c r="A1723" s="12" t="s">
        <v>1621</v>
      </c>
    </row>
    <row r="1724" spans="1:1" x14ac:dyDescent="0.2">
      <c r="A1724" s="12" t="s">
        <v>1622</v>
      </c>
    </row>
    <row r="1725" spans="1:1" x14ac:dyDescent="0.2">
      <c r="A1725" s="12" t="s">
        <v>1623</v>
      </c>
    </row>
    <row r="1726" spans="1:1" x14ac:dyDescent="0.2">
      <c r="A1726" s="12" t="s">
        <v>1624</v>
      </c>
    </row>
    <row r="1727" spans="1:1" x14ac:dyDescent="0.2">
      <c r="A1727" s="12" t="s">
        <v>1625</v>
      </c>
    </row>
    <row r="1728" spans="1:1" x14ac:dyDescent="0.2">
      <c r="A1728" s="12" t="s">
        <v>1626</v>
      </c>
    </row>
    <row r="1729" spans="1:1" x14ac:dyDescent="0.2">
      <c r="A1729" s="12" t="s">
        <v>1627</v>
      </c>
    </row>
    <row r="1730" spans="1:1" x14ac:dyDescent="0.2">
      <c r="A1730" s="12" t="s">
        <v>1628</v>
      </c>
    </row>
    <row r="1731" spans="1:1" x14ac:dyDescent="0.2">
      <c r="A1731" s="12" t="s">
        <v>1629</v>
      </c>
    </row>
    <row r="1732" spans="1:1" x14ac:dyDescent="0.2">
      <c r="A1732" s="12" t="s">
        <v>1630</v>
      </c>
    </row>
    <row r="1733" spans="1:1" x14ac:dyDescent="0.2">
      <c r="A1733" s="12" t="s">
        <v>1631</v>
      </c>
    </row>
    <row r="1734" spans="1:1" x14ac:dyDescent="0.2">
      <c r="A1734" s="12" t="s">
        <v>1632</v>
      </c>
    </row>
    <row r="1735" spans="1:1" x14ac:dyDescent="0.2">
      <c r="A1735" s="12" t="s">
        <v>1633</v>
      </c>
    </row>
    <row r="1736" spans="1:1" x14ac:dyDescent="0.2">
      <c r="A1736" s="12" t="s">
        <v>1634</v>
      </c>
    </row>
    <row r="1737" spans="1:1" x14ac:dyDescent="0.2">
      <c r="A1737" s="12" t="s">
        <v>1635</v>
      </c>
    </row>
    <row r="1738" spans="1:1" x14ac:dyDescent="0.2">
      <c r="A1738" s="12" t="s">
        <v>1636</v>
      </c>
    </row>
    <row r="1739" spans="1:1" x14ac:dyDescent="0.2">
      <c r="A1739" s="12" t="s">
        <v>1637</v>
      </c>
    </row>
    <row r="1740" spans="1:1" x14ac:dyDescent="0.2">
      <c r="A1740" s="12" t="s">
        <v>1638</v>
      </c>
    </row>
    <row r="1741" spans="1:1" x14ac:dyDescent="0.2">
      <c r="A1741" s="12" t="s">
        <v>264</v>
      </c>
    </row>
    <row r="1742" spans="1:1" x14ac:dyDescent="0.2">
      <c r="A1742" s="12" t="s">
        <v>1639</v>
      </c>
    </row>
    <row r="1743" spans="1:1" x14ac:dyDescent="0.2">
      <c r="A1743" s="12" t="s">
        <v>1640</v>
      </c>
    </row>
    <row r="1744" spans="1:1" x14ac:dyDescent="0.2">
      <c r="A1744" s="12" t="s">
        <v>1641</v>
      </c>
    </row>
    <row r="1745" spans="1:1" x14ac:dyDescent="0.2">
      <c r="A1745" s="12" t="s">
        <v>1642</v>
      </c>
    </row>
    <row r="1746" spans="1:1" x14ac:dyDescent="0.2">
      <c r="A1746" s="12" t="s">
        <v>1643</v>
      </c>
    </row>
    <row r="1747" spans="1:1" x14ac:dyDescent="0.2">
      <c r="A1747" s="12" t="s">
        <v>1644</v>
      </c>
    </row>
    <row r="1748" spans="1:1" x14ac:dyDescent="0.2">
      <c r="A1748" s="12" t="s">
        <v>1645</v>
      </c>
    </row>
    <row r="1749" spans="1:1" x14ac:dyDescent="0.2">
      <c r="A1749" s="12" t="s">
        <v>1646</v>
      </c>
    </row>
    <row r="1750" spans="1:1" x14ac:dyDescent="0.2">
      <c r="A1750" s="12" t="s">
        <v>1647</v>
      </c>
    </row>
    <row r="1751" spans="1:1" x14ac:dyDescent="0.2">
      <c r="A1751" s="12" t="s">
        <v>1648</v>
      </c>
    </row>
    <row r="1752" spans="1:1" x14ac:dyDescent="0.2">
      <c r="A1752" s="12" t="s">
        <v>1649</v>
      </c>
    </row>
    <row r="1753" spans="1:1" x14ac:dyDescent="0.2">
      <c r="A1753" s="12" t="s">
        <v>1650</v>
      </c>
    </row>
    <row r="1754" spans="1:1" x14ac:dyDescent="0.2">
      <c r="A1754" s="12" t="s">
        <v>1651</v>
      </c>
    </row>
    <row r="1755" spans="1:1" x14ac:dyDescent="0.2">
      <c r="A1755" s="12" t="s">
        <v>1652</v>
      </c>
    </row>
    <row r="1756" spans="1:1" x14ac:dyDescent="0.2">
      <c r="A1756" s="12" t="s">
        <v>1653</v>
      </c>
    </row>
    <row r="1757" spans="1:1" x14ac:dyDescent="0.2">
      <c r="A1757" s="12" t="s">
        <v>1654</v>
      </c>
    </row>
    <row r="1758" spans="1:1" x14ac:dyDescent="0.2">
      <c r="A1758" s="12" t="s">
        <v>1655</v>
      </c>
    </row>
    <row r="1759" spans="1:1" x14ac:dyDescent="0.2">
      <c r="A1759" s="12" t="s">
        <v>1656</v>
      </c>
    </row>
    <row r="1760" spans="1:1" x14ac:dyDescent="0.2">
      <c r="A1760" s="12" t="s">
        <v>1657</v>
      </c>
    </row>
    <row r="1761" spans="1:1" x14ac:dyDescent="0.2">
      <c r="A1761" s="12" t="s">
        <v>1658</v>
      </c>
    </row>
    <row r="1762" spans="1:1" x14ac:dyDescent="0.2">
      <c r="A1762" s="12" t="s">
        <v>1659</v>
      </c>
    </row>
    <row r="1763" spans="1:1" x14ac:dyDescent="0.2">
      <c r="A1763" s="12" t="s">
        <v>1660</v>
      </c>
    </row>
    <row r="1764" spans="1:1" x14ac:dyDescent="0.2">
      <c r="A1764" s="12" t="s">
        <v>1661</v>
      </c>
    </row>
    <row r="1765" spans="1:1" x14ac:dyDescent="0.2">
      <c r="A1765" s="12" t="s">
        <v>1662</v>
      </c>
    </row>
    <row r="1766" spans="1:1" x14ac:dyDescent="0.2">
      <c r="A1766" s="12" t="s">
        <v>1663</v>
      </c>
    </row>
    <row r="1767" spans="1:1" x14ac:dyDescent="0.2">
      <c r="A1767" s="12" t="s">
        <v>1663</v>
      </c>
    </row>
    <row r="1768" spans="1:1" x14ac:dyDescent="0.2">
      <c r="A1768" s="12" t="s">
        <v>1664</v>
      </c>
    </row>
    <row r="1769" spans="1:1" x14ac:dyDescent="0.2">
      <c r="A1769" s="12" t="s">
        <v>1665</v>
      </c>
    </row>
    <row r="1770" spans="1:1" x14ac:dyDescent="0.2">
      <c r="A1770" s="12" t="s">
        <v>1665</v>
      </c>
    </row>
    <row r="1771" spans="1:1" x14ac:dyDescent="0.2">
      <c r="A1771" s="12" t="s">
        <v>1666</v>
      </c>
    </row>
    <row r="1772" spans="1:1" x14ac:dyDescent="0.2">
      <c r="A1772" s="12" t="s">
        <v>1667</v>
      </c>
    </row>
    <row r="1773" spans="1:1" x14ac:dyDescent="0.2">
      <c r="A1773" s="12" t="s">
        <v>1668</v>
      </c>
    </row>
    <row r="1774" spans="1:1" x14ac:dyDescent="0.2">
      <c r="A1774" s="12" t="s">
        <v>1668</v>
      </c>
    </row>
    <row r="1775" spans="1:1" x14ac:dyDescent="0.2">
      <c r="A1775" s="12" t="s">
        <v>1669</v>
      </c>
    </row>
    <row r="1776" spans="1:1" x14ac:dyDescent="0.2">
      <c r="A1776" s="12" t="s">
        <v>1670</v>
      </c>
    </row>
    <row r="1777" spans="1:1" x14ac:dyDescent="0.2">
      <c r="A1777" s="12" t="s">
        <v>271</v>
      </c>
    </row>
    <row r="1778" spans="1:1" x14ac:dyDescent="0.2">
      <c r="A1778" s="12" t="s">
        <v>271</v>
      </c>
    </row>
    <row r="1779" spans="1:1" x14ac:dyDescent="0.2">
      <c r="A1779" s="12" t="s">
        <v>1671</v>
      </c>
    </row>
    <row r="1780" spans="1:1" x14ac:dyDescent="0.2">
      <c r="A1780" s="12" t="s">
        <v>1672</v>
      </c>
    </row>
    <row r="1781" spans="1:1" x14ac:dyDescent="0.2">
      <c r="A1781" s="12" t="s">
        <v>1673</v>
      </c>
    </row>
    <row r="1782" spans="1:1" x14ac:dyDescent="0.2">
      <c r="A1782" s="12" t="s">
        <v>1674</v>
      </c>
    </row>
    <row r="1783" spans="1:1" x14ac:dyDescent="0.2">
      <c r="A1783" s="12" t="s">
        <v>1675</v>
      </c>
    </row>
    <row r="1784" spans="1:1" x14ac:dyDescent="0.2">
      <c r="A1784" s="12" t="s">
        <v>1676</v>
      </c>
    </row>
    <row r="1785" spans="1:1" x14ac:dyDescent="0.2">
      <c r="A1785" s="12" t="s">
        <v>1676</v>
      </c>
    </row>
    <row r="1786" spans="1:1" x14ac:dyDescent="0.2">
      <c r="A1786" s="12" t="s">
        <v>1677</v>
      </c>
    </row>
    <row r="1787" spans="1:1" x14ac:dyDescent="0.2">
      <c r="A1787" s="12" t="s">
        <v>1678</v>
      </c>
    </row>
    <row r="1788" spans="1:1" x14ac:dyDescent="0.2">
      <c r="A1788" s="12" t="s">
        <v>1679</v>
      </c>
    </row>
    <row r="1789" spans="1:1" x14ac:dyDescent="0.2">
      <c r="A1789" s="12" t="s">
        <v>276</v>
      </c>
    </row>
    <row r="1790" spans="1:1" x14ac:dyDescent="0.2">
      <c r="A1790" s="12" t="s">
        <v>1680</v>
      </c>
    </row>
    <row r="1791" spans="1:1" x14ac:dyDescent="0.2">
      <c r="A1791" s="12" t="s">
        <v>1681</v>
      </c>
    </row>
    <row r="1792" spans="1:1" x14ac:dyDescent="0.2">
      <c r="A1792" s="12" t="s">
        <v>1682</v>
      </c>
    </row>
    <row r="1793" spans="1:1" x14ac:dyDescent="0.2">
      <c r="A1793" s="12" t="s">
        <v>1683</v>
      </c>
    </row>
    <row r="1794" spans="1:1" x14ac:dyDescent="0.2">
      <c r="A1794" s="12" t="s">
        <v>1684</v>
      </c>
    </row>
    <row r="1795" spans="1:1" x14ac:dyDescent="0.2">
      <c r="A1795" s="12" t="s">
        <v>1685</v>
      </c>
    </row>
    <row r="1796" spans="1:1" x14ac:dyDescent="0.2">
      <c r="A1796" s="12" t="s">
        <v>1686</v>
      </c>
    </row>
    <row r="1797" spans="1:1" x14ac:dyDescent="0.2">
      <c r="A1797" s="12" t="s">
        <v>1687</v>
      </c>
    </row>
    <row r="1798" spans="1:1" x14ac:dyDescent="0.2">
      <c r="A1798" s="12" t="s">
        <v>1688</v>
      </c>
    </row>
    <row r="1799" spans="1:1" x14ac:dyDescent="0.2">
      <c r="A1799" s="12" t="s">
        <v>1689</v>
      </c>
    </row>
    <row r="1800" spans="1:1" x14ac:dyDescent="0.2">
      <c r="A1800" s="12" t="s">
        <v>1690</v>
      </c>
    </row>
    <row r="1801" spans="1:1" x14ac:dyDescent="0.2">
      <c r="A1801" s="12" t="s">
        <v>1691</v>
      </c>
    </row>
    <row r="1802" spans="1:1" x14ac:dyDescent="0.2">
      <c r="A1802" s="12" t="s">
        <v>1692</v>
      </c>
    </row>
    <row r="1803" spans="1:1" x14ac:dyDescent="0.2">
      <c r="A1803" s="12" t="s">
        <v>1692</v>
      </c>
    </row>
    <row r="1804" spans="1:1" x14ac:dyDescent="0.2">
      <c r="A1804" s="12" t="s">
        <v>1693</v>
      </c>
    </row>
    <row r="1805" spans="1:1" x14ac:dyDescent="0.2">
      <c r="A1805" s="12" t="s">
        <v>1694</v>
      </c>
    </row>
    <row r="1806" spans="1:1" x14ac:dyDescent="0.2">
      <c r="A1806" s="12" t="s">
        <v>1694</v>
      </c>
    </row>
    <row r="1807" spans="1:1" x14ac:dyDescent="0.2">
      <c r="A1807" s="12" t="s">
        <v>1694</v>
      </c>
    </row>
    <row r="1808" spans="1:1" x14ac:dyDescent="0.2">
      <c r="A1808" s="12" t="s">
        <v>1694</v>
      </c>
    </row>
    <row r="1809" spans="1:1" x14ac:dyDescent="0.2">
      <c r="A1809" s="12" t="s">
        <v>1695</v>
      </c>
    </row>
    <row r="1810" spans="1:1" x14ac:dyDescent="0.2">
      <c r="A1810" s="12" t="s">
        <v>1696</v>
      </c>
    </row>
    <row r="1811" spans="1:1" x14ac:dyDescent="0.2">
      <c r="A1811" s="12" t="s">
        <v>1697</v>
      </c>
    </row>
    <row r="1812" spans="1:1" x14ac:dyDescent="0.2">
      <c r="A1812" s="12" t="s">
        <v>1698</v>
      </c>
    </row>
    <row r="1813" spans="1:1" x14ac:dyDescent="0.2">
      <c r="A1813" s="12" t="s">
        <v>1699</v>
      </c>
    </row>
    <row r="1814" spans="1:1" x14ac:dyDescent="0.2">
      <c r="A1814" s="12" t="s">
        <v>1700</v>
      </c>
    </row>
    <row r="1815" spans="1:1" x14ac:dyDescent="0.2">
      <c r="A1815" s="12" t="s">
        <v>1701</v>
      </c>
    </row>
    <row r="1816" spans="1:1" x14ac:dyDescent="0.2">
      <c r="A1816" s="12" t="s">
        <v>279</v>
      </c>
    </row>
    <row r="1817" spans="1:1" x14ac:dyDescent="0.2">
      <c r="A1817" s="12" t="s">
        <v>1702</v>
      </c>
    </row>
    <row r="1818" spans="1:1" x14ac:dyDescent="0.2">
      <c r="A1818" s="12" t="s">
        <v>1703</v>
      </c>
    </row>
    <row r="1819" spans="1:1" x14ac:dyDescent="0.2">
      <c r="A1819" s="12" t="s">
        <v>1704</v>
      </c>
    </row>
    <row r="1820" spans="1:1" x14ac:dyDescent="0.2">
      <c r="A1820" s="12" t="s">
        <v>1705</v>
      </c>
    </row>
    <row r="1821" spans="1:1" x14ac:dyDescent="0.2">
      <c r="A1821" s="12" t="s">
        <v>1706</v>
      </c>
    </row>
    <row r="1822" spans="1:1" x14ac:dyDescent="0.2">
      <c r="A1822" s="12" t="s">
        <v>1707</v>
      </c>
    </row>
    <row r="1823" spans="1:1" x14ac:dyDescent="0.2">
      <c r="A1823" s="12" t="s">
        <v>1708</v>
      </c>
    </row>
    <row r="1824" spans="1:1" x14ac:dyDescent="0.2">
      <c r="A1824" s="12" t="s">
        <v>1709</v>
      </c>
    </row>
    <row r="1825" spans="1:1" x14ac:dyDescent="0.2">
      <c r="A1825" s="12" t="s">
        <v>1710</v>
      </c>
    </row>
    <row r="1826" spans="1:1" x14ac:dyDescent="0.2">
      <c r="A1826" s="12" t="s">
        <v>1711</v>
      </c>
    </row>
    <row r="1827" spans="1:1" x14ac:dyDescent="0.2">
      <c r="A1827" s="12" t="s">
        <v>1711</v>
      </c>
    </row>
    <row r="1828" spans="1:1" x14ac:dyDescent="0.2">
      <c r="A1828" s="12" t="s">
        <v>1712</v>
      </c>
    </row>
    <row r="1829" spans="1:1" x14ac:dyDescent="0.2">
      <c r="A1829" s="12" t="s">
        <v>1713</v>
      </c>
    </row>
    <row r="1830" spans="1:1" x14ac:dyDescent="0.2">
      <c r="A1830" s="12" t="s">
        <v>1714</v>
      </c>
    </row>
    <row r="1831" spans="1:1" x14ac:dyDescent="0.2">
      <c r="A1831" s="12" t="s">
        <v>1715</v>
      </c>
    </row>
    <row r="1832" spans="1:1" x14ac:dyDescent="0.2">
      <c r="A1832" s="12" t="s">
        <v>1716</v>
      </c>
    </row>
    <row r="1833" spans="1:1" x14ac:dyDescent="0.2">
      <c r="A1833" s="12" t="s">
        <v>1717</v>
      </c>
    </row>
    <row r="1834" spans="1:1" x14ac:dyDescent="0.2">
      <c r="A1834" s="12" t="s">
        <v>1718</v>
      </c>
    </row>
    <row r="1835" spans="1:1" x14ac:dyDescent="0.2">
      <c r="A1835" s="12" t="s">
        <v>1719</v>
      </c>
    </row>
    <row r="1836" spans="1:1" x14ac:dyDescent="0.2">
      <c r="A1836" s="12" t="s">
        <v>1720</v>
      </c>
    </row>
    <row r="1837" spans="1:1" x14ac:dyDescent="0.2">
      <c r="A1837" s="12" t="s">
        <v>1721</v>
      </c>
    </row>
    <row r="1838" spans="1:1" x14ac:dyDescent="0.2">
      <c r="A1838" s="12" t="s">
        <v>1722</v>
      </c>
    </row>
    <row r="1839" spans="1:1" x14ac:dyDescent="0.2">
      <c r="A1839" s="12" t="s">
        <v>1723</v>
      </c>
    </row>
    <row r="1840" spans="1:1" x14ac:dyDescent="0.2">
      <c r="A1840" s="12" t="s">
        <v>1724</v>
      </c>
    </row>
    <row r="1841" spans="1:1" x14ac:dyDescent="0.2">
      <c r="A1841" s="12" t="s">
        <v>1725</v>
      </c>
    </row>
    <row r="1842" spans="1:1" x14ac:dyDescent="0.2">
      <c r="A1842" s="12" t="s">
        <v>1726</v>
      </c>
    </row>
    <row r="1843" spans="1:1" x14ac:dyDescent="0.2">
      <c r="A1843" s="12" t="s">
        <v>1727</v>
      </c>
    </row>
    <row r="1844" spans="1:1" x14ac:dyDescent="0.2">
      <c r="A1844" s="12" t="s">
        <v>1728</v>
      </c>
    </row>
    <row r="1845" spans="1:1" x14ac:dyDescent="0.2">
      <c r="A1845" s="12" t="s">
        <v>1729</v>
      </c>
    </row>
    <row r="1846" spans="1:1" x14ac:dyDescent="0.2">
      <c r="A1846" s="12" t="s">
        <v>1730</v>
      </c>
    </row>
    <row r="1847" spans="1:1" x14ac:dyDescent="0.2">
      <c r="A1847" s="12" t="s">
        <v>1731</v>
      </c>
    </row>
    <row r="1848" spans="1:1" x14ac:dyDescent="0.2">
      <c r="A1848" s="12" t="s">
        <v>1732</v>
      </c>
    </row>
    <row r="1849" spans="1:1" x14ac:dyDescent="0.2">
      <c r="A1849" s="12" t="s">
        <v>1733</v>
      </c>
    </row>
    <row r="1850" spans="1:1" x14ac:dyDescent="0.2">
      <c r="A1850" s="12" t="s">
        <v>1734</v>
      </c>
    </row>
    <row r="1851" spans="1:1" x14ac:dyDescent="0.2">
      <c r="A1851" s="12" t="s">
        <v>1735</v>
      </c>
    </row>
    <row r="1852" spans="1:1" x14ac:dyDescent="0.2">
      <c r="A1852" s="12" t="s">
        <v>1736</v>
      </c>
    </row>
    <row r="1853" spans="1:1" x14ac:dyDescent="0.2">
      <c r="A1853" s="12" t="s">
        <v>1737</v>
      </c>
    </row>
    <row r="1854" spans="1:1" x14ac:dyDescent="0.2">
      <c r="A1854" s="12" t="s">
        <v>1738</v>
      </c>
    </row>
    <row r="1855" spans="1:1" x14ac:dyDescent="0.2">
      <c r="A1855" s="12" t="s">
        <v>1739</v>
      </c>
    </row>
    <row r="1856" spans="1:1" x14ac:dyDescent="0.2">
      <c r="A1856" s="12" t="s">
        <v>1740</v>
      </c>
    </row>
    <row r="1857" spans="1:1" x14ac:dyDescent="0.2">
      <c r="A1857" s="12" t="s">
        <v>1741</v>
      </c>
    </row>
    <row r="1858" spans="1:1" x14ac:dyDescent="0.2">
      <c r="A1858" s="12" t="s">
        <v>1742</v>
      </c>
    </row>
    <row r="1859" spans="1:1" x14ac:dyDescent="0.2">
      <c r="A1859" s="12" t="s">
        <v>1743</v>
      </c>
    </row>
    <row r="1860" spans="1:1" x14ac:dyDescent="0.2">
      <c r="A1860" s="12" t="s">
        <v>1744</v>
      </c>
    </row>
    <row r="1861" spans="1:1" x14ac:dyDescent="0.2">
      <c r="A1861" s="12" t="s">
        <v>1745</v>
      </c>
    </row>
    <row r="1862" spans="1:1" x14ac:dyDescent="0.2">
      <c r="A1862" s="12" t="s">
        <v>1746</v>
      </c>
    </row>
    <row r="1863" spans="1:1" x14ac:dyDescent="0.2">
      <c r="A1863" s="12" t="s">
        <v>1747</v>
      </c>
    </row>
    <row r="1864" spans="1:1" x14ac:dyDescent="0.2">
      <c r="A1864" s="12" t="s">
        <v>1748</v>
      </c>
    </row>
    <row r="1865" spans="1:1" x14ac:dyDescent="0.2">
      <c r="A1865" s="12" t="s">
        <v>1749</v>
      </c>
    </row>
    <row r="1866" spans="1:1" x14ac:dyDescent="0.2">
      <c r="A1866" s="12" t="s">
        <v>1750</v>
      </c>
    </row>
    <row r="1867" spans="1:1" x14ac:dyDescent="0.2">
      <c r="A1867" s="12" t="s">
        <v>1751</v>
      </c>
    </row>
    <row r="1868" spans="1:1" x14ac:dyDescent="0.2">
      <c r="A1868" s="12" t="s">
        <v>1752</v>
      </c>
    </row>
    <row r="1869" spans="1:1" x14ac:dyDescent="0.2">
      <c r="A1869" s="12" t="s">
        <v>1753</v>
      </c>
    </row>
    <row r="1870" spans="1:1" x14ac:dyDescent="0.2">
      <c r="A1870" s="12" t="s">
        <v>1754</v>
      </c>
    </row>
    <row r="1871" spans="1:1" x14ac:dyDescent="0.2">
      <c r="A1871" s="12" t="s">
        <v>1755</v>
      </c>
    </row>
    <row r="1872" spans="1:1" x14ac:dyDescent="0.2">
      <c r="A1872" s="12" t="s">
        <v>1756</v>
      </c>
    </row>
    <row r="1873" spans="1:1" x14ac:dyDescent="0.2">
      <c r="A1873" s="12" t="s">
        <v>1757</v>
      </c>
    </row>
    <row r="1874" spans="1:1" x14ac:dyDescent="0.2">
      <c r="A1874" s="12" t="s">
        <v>1758</v>
      </c>
    </row>
    <row r="1875" spans="1:1" x14ac:dyDescent="0.2">
      <c r="A1875" s="12" t="s">
        <v>1759</v>
      </c>
    </row>
    <row r="1876" spans="1:1" x14ac:dyDescent="0.2">
      <c r="A1876" s="12" t="s">
        <v>1759</v>
      </c>
    </row>
    <row r="1877" spans="1:1" x14ac:dyDescent="0.2">
      <c r="A1877" s="12" t="s">
        <v>1760</v>
      </c>
    </row>
    <row r="1878" spans="1:1" x14ac:dyDescent="0.2">
      <c r="A1878" s="12" t="s">
        <v>1761</v>
      </c>
    </row>
    <row r="1879" spans="1:1" x14ac:dyDescent="0.2">
      <c r="A1879" s="12" t="s">
        <v>1762</v>
      </c>
    </row>
    <row r="1880" spans="1:1" x14ac:dyDescent="0.2">
      <c r="A1880" s="12" t="s">
        <v>1763</v>
      </c>
    </row>
    <row r="1881" spans="1:1" x14ac:dyDescent="0.2">
      <c r="A1881" s="12" t="s">
        <v>1764</v>
      </c>
    </row>
    <row r="1882" spans="1:1" x14ac:dyDescent="0.2">
      <c r="A1882" s="12" t="s">
        <v>290</v>
      </c>
    </row>
    <row r="1883" spans="1:1" x14ac:dyDescent="0.2">
      <c r="A1883" s="12" t="s">
        <v>1765</v>
      </c>
    </row>
    <row r="1884" spans="1:1" x14ac:dyDescent="0.2">
      <c r="A1884" s="12" t="s">
        <v>1766</v>
      </c>
    </row>
    <row r="1885" spans="1:1" x14ac:dyDescent="0.2">
      <c r="A1885" s="12" t="s">
        <v>1767</v>
      </c>
    </row>
    <row r="1886" spans="1:1" x14ac:dyDescent="0.2">
      <c r="A1886" s="12" t="s">
        <v>1768</v>
      </c>
    </row>
    <row r="1887" spans="1:1" x14ac:dyDescent="0.2">
      <c r="A1887" s="12" t="s">
        <v>1769</v>
      </c>
    </row>
    <row r="1888" spans="1:1" x14ac:dyDescent="0.2">
      <c r="A1888" s="12" t="s">
        <v>1770</v>
      </c>
    </row>
    <row r="1889" spans="1:1" x14ac:dyDescent="0.2">
      <c r="A1889" s="12" t="s">
        <v>1771</v>
      </c>
    </row>
    <row r="1890" spans="1:1" x14ac:dyDescent="0.2">
      <c r="A1890" s="12" t="s">
        <v>1772</v>
      </c>
    </row>
    <row r="1891" spans="1:1" x14ac:dyDescent="0.2">
      <c r="A1891" s="12" t="s">
        <v>1773</v>
      </c>
    </row>
    <row r="1892" spans="1:1" x14ac:dyDescent="0.2">
      <c r="A1892" s="12" t="s">
        <v>1774</v>
      </c>
    </row>
    <row r="1893" spans="1:1" x14ac:dyDescent="0.2">
      <c r="A1893" s="12" t="s">
        <v>1775</v>
      </c>
    </row>
    <row r="1894" spans="1:1" x14ac:dyDescent="0.2">
      <c r="A1894" s="12" t="s">
        <v>1776</v>
      </c>
    </row>
    <row r="1895" spans="1:1" x14ac:dyDescent="0.2">
      <c r="A1895" s="12" t="s">
        <v>1777</v>
      </c>
    </row>
    <row r="1896" spans="1:1" x14ac:dyDescent="0.2">
      <c r="A1896" s="12" t="s">
        <v>1778</v>
      </c>
    </row>
    <row r="1897" spans="1:1" x14ac:dyDescent="0.2">
      <c r="A1897" s="12" t="s">
        <v>1779</v>
      </c>
    </row>
    <row r="1898" spans="1:1" x14ac:dyDescent="0.2">
      <c r="A1898" s="12" t="s">
        <v>1780</v>
      </c>
    </row>
    <row r="1899" spans="1:1" x14ac:dyDescent="0.2">
      <c r="A1899" s="12" t="s">
        <v>294</v>
      </c>
    </row>
    <row r="1900" spans="1:1" x14ac:dyDescent="0.2">
      <c r="A1900" s="12" t="s">
        <v>1781</v>
      </c>
    </row>
    <row r="1901" spans="1:1" x14ac:dyDescent="0.2">
      <c r="A1901" s="12" t="s">
        <v>1782</v>
      </c>
    </row>
    <row r="1902" spans="1:1" x14ac:dyDescent="0.2">
      <c r="A1902" s="12" t="s">
        <v>1783</v>
      </c>
    </row>
    <row r="1903" spans="1:1" x14ac:dyDescent="0.2">
      <c r="A1903" s="12" t="s">
        <v>1784</v>
      </c>
    </row>
    <row r="1904" spans="1:1" x14ac:dyDescent="0.2">
      <c r="A1904" s="12" t="s">
        <v>1785</v>
      </c>
    </row>
    <row r="1905" spans="1:1" x14ac:dyDescent="0.2">
      <c r="A1905" s="12" t="s">
        <v>1786</v>
      </c>
    </row>
    <row r="1906" spans="1:1" x14ac:dyDescent="0.2">
      <c r="A1906" s="12" t="s">
        <v>1787</v>
      </c>
    </row>
    <row r="1907" spans="1:1" x14ac:dyDescent="0.2">
      <c r="A1907" s="12" t="s">
        <v>1788</v>
      </c>
    </row>
    <row r="1908" spans="1:1" x14ac:dyDescent="0.2">
      <c r="A1908" s="12" t="s">
        <v>297</v>
      </c>
    </row>
    <row r="1909" spans="1:1" x14ac:dyDescent="0.2">
      <c r="A1909" s="12" t="s">
        <v>1789</v>
      </c>
    </row>
    <row r="1910" spans="1:1" x14ac:dyDescent="0.2">
      <c r="A1910" s="12" t="s">
        <v>1790</v>
      </c>
    </row>
    <row r="1911" spans="1:1" x14ac:dyDescent="0.2">
      <c r="A1911" s="12" t="s">
        <v>1791</v>
      </c>
    </row>
    <row r="1912" spans="1:1" x14ac:dyDescent="0.2">
      <c r="A1912" s="12" t="s">
        <v>1792</v>
      </c>
    </row>
    <row r="1913" spans="1:1" x14ac:dyDescent="0.2">
      <c r="A1913" s="12" t="s">
        <v>1793</v>
      </c>
    </row>
    <row r="1914" spans="1:1" x14ac:dyDescent="0.2">
      <c r="A1914" s="12" t="s">
        <v>1794</v>
      </c>
    </row>
    <row r="1915" spans="1:1" x14ac:dyDescent="0.2">
      <c r="A1915" s="12" t="s">
        <v>1795</v>
      </c>
    </row>
    <row r="1916" spans="1:1" x14ac:dyDescent="0.2">
      <c r="A1916" s="12" t="s">
        <v>1795</v>
      </c>
    </row>
    <row r="1917" spans="1:1" x14ac:dyDescent="0.2">
      <c r="A1917" s="12" t="s">
        <v>1796</v>
      </c>
    </row>
    <row r="1918" spans="1:1" x14ac:dyDescent="0.2">
      <c r="A1918" s="12" t="s">
        <v>1797</v>
      </c>
    </row>
    <row r="1919" spans="1:1" x14ac:dyDescent="0.2">
      <c r="A1919" s="12" t="s">
        <v>1798</v>
      </c>
    </row>
    <row r="1920" spans="1:1" x14ac:dyDescent="0.2">
      <c r="A1920" s="12" t="s">
        <v>1799</v>
      </c>
    </row>
    <row r="1921" spans="1:1" x14ac:dyDescent="0.2">
      <c r="A1921" s="12" t="s">
        <v>1800</v>
      </c>
    </row>
    <row r="1922" spans="1:1" x14ac:dyDescent="0.2">
      <c r="A1922" s="12" t="s">
        <v>1801</v>
      </c>
    </row>
    <row r="1923" spans="1:1" x14ac:dyDescent="0.2">
      <c r="A1923" s="12" t="s">
        <v>1802</v>
      </c>
    </row>
    <row r="1924" spans="1:1" x14ac:dyDescent="0.2">
      <c r="A1924" s="12" t="s">
        <v>1803</v>
      </c>
    </row>
    <row r="1925" spans="1:1" x14ac:dyDescent="0.2">
      <c r="A1925" s="12" t="s">
        <v>1804</v>
      </c>
    </row>
    <row r="1926" spans="1:1" x14ac:dyDescent="0.2">
      <c r="A1926" s="12" t="s">
        <v>1805</v>
      </c>
    </row>
    <row r="1927" spans="1:1" x14ac:dyDescent="0.2">
      <c r="A1927" s="12" t="s">
        <v>1806</v>
      </c>
    </row>
    <row r="1928" spans="1:1" x14ac:dyDescent="0.2">
      <c r="A1928" s="12" t="s">
        <v>1807</v>
      </c>
    </row>
    <row r="1929" spans="1:1" x14ac:dyDescent="0.2">
      <c r="A1929" s="12" t="s">
        <v>1808</v>
      </c>
    </row>
    <row r="1930" spans="1:1" x14ac:dyDescent="0.2">
      <c r="A1930" s="12" t="s">
        <v>1809</v>
      </c>
    </row>
    <row r="1931" spans="1:1" x14ac:dyDescent="0.2">
      <c r="A1931" s="12" t="s">
        <v>1810</v>
      </c>
    </row>
    <row r="1932" spans="1:1" x14ac:dyDescent="0.2">
      <c r="A1932" s="12" t="s">
        <v>1811</v>
      </c>
    </row>
    <row r="1933" spans="1:1" x14ac:dyDescent="0.2">
      <c r="A1933" s="12" t="s">
        <v>1812</v>
      </c>
    </row>
    <row r="1934" spans="1:1" x14ac:dyDescent="0.2">
      <c r="A1934" s="12" t="s">
        <v>1813</v>
      </c>
    </row>
    <row r="1935" spans="1:1" x14ac:dyDescent="0.2">
      <c r="A1935" s="12" t="s">
        <v>1814</v>
      </c>
    </row>
    <row r="1936" spans="1:1" x14ac:dyDescent="0.2">
      <c r="A1936" s="12" t="s">
        <v>1815</v>
      </c>
    </row>
    <row r="1937" spans="1:1" x14ac:dyDescent="0.2">
      <c r="A1937" s="12" t="s">
        <v>1816</v>
      </c>
    </row>
    <row r="1938" spans="1:1" x14ac:dyDescent="0.2">
      <c r="A1938" s="12" t="s">
        <v>1817</v>
      </c>
    </row>
    <row r="1939" spans="1:1" x14ac:dyDescent="0.2">
      <c r="A1939" s="12" t="s">
        <v>1818</v>
      </c>
    </row>
    <row r="1940" spans="1:1" x14ac:dyDescent="0.2">
      <c r="A1940" s="12" t="s">
        <v>1819</v>
      </c>
    </row>
    <row r="1941" spans="1:1" x14ac:dyDescent="0.2">
      <c r="A1941" s="12" t="s">
        <v>1820</v>
      </c>
    </row>
    <row r="1942" spans="1:1" x14ac:dyDescent="0.2">
      <c r="A1942" s="12" t="s">
        <v>1821</v>
      </c>
    </row>
    <row r="1943" spans="1:1" x14ac:dyDescent="0.2">
      <c r="A1943" s="12" t="s">
        <v>1822</v>
      </c>
    </row>
    <row r="1944" spans="1:1" x14ac:dyDescent="0.2">
      <c r="A1944" s="12" t="s">
        <v>1823</v>
      </c>
    </row>
    <row r="1945" spans="1:1" x14ac:dyDescent="0.2">
      <c r="A1945" s="12" t="s">
        <v>1824</v>
      </c>
    </row>
    <row r="1946" spans="1:1" x14ac:dyDescent="0.2">
      <c r="A1946" s="12" t="s">
        <v>1825</v>
      </c>
    </row>
    <row r="1947" spans="1:1" x14ac:dyDescent="0.2">
      <c r="A1947" s="12" t="s">
        <v>1826</v>
      </c>
    </row>
    <row r="1948" spans="1:1" x14ac:dyDescent="0.2">
      <c r="A1948" s="12" t="s">
        <v>1826</v>
      </c>
    </row>
    <row r="1949" spans="1:1" x14ac:dyDescent="0.2">
      <c r="A1949" s="12" t="s">
        <v>1826</v>
      </c>
    </row>
    <row r="1950" spans="1:1" x14ac:dyDescent="0.2">
      <c r="A1950" s="12" t="s">
        <v>1827</v>
      </c>
    </row>
    <row r="1951" spans="1:1" x14ac:dyDescent="0.2">
      <c r="A1951" s="12" t="s">
        <v>1828</v>
      </c>
    </row>
    <row r="1952" spans="1:1" x14ac:dyDescent="0.2">
      <c r="A1952" s="12" t="s">
        <v>1829</v>
      </c>
    </row>
    <row r="1953" spans="1:1" x14ac:dyDescent="0.2">
      <c r="A1953" s="12" t="s">
        <v>1830</v>
      </c>
    </row>
    <row r="1954" spans="1:1" x14ac:dyDescent="0.2">
      <c r="A1954" s="12" t="s">
        <v>1831</v>
      </c>
    </row>
    <row r="1955" spans="1:1" x14ac:dyDescent="0.2">
      <c r="A1955" s="12" t="s">
        <v>1832</v>
      </c>
    </row>
    <row r="1956" spans="1:1" x14ac:dyDescent="0.2">
      <c r="A1956" s="12" t="s">
        <v>303</v>
      </c>
    </row>
    <row r="1957" spans="1:1" x14ac:dyDescent="0.2">
      <c r="A1957" s="12" t="s">
        <v>1833</v>
      </c>
    </row>
    <row r="1958" spans="1:1" x14ac:dyDescent="0.2">
      <c r="A1958" s="12" t="s">
        <v>1834</v>
      </c>
    </row>
    <row r="1959" spans="1:1" x14ac:dyDescent="0.2">
      <c r="A1959" s="12" t="s">
        <v>1835</v>
      </c>
    </row>
    <row r="1960" spans="1:1" x14ac:dyDescent="0.2">
      <c r="A1960" s="12" t="s">
        <v>1836</v>
      </c>
    </row>
    <row r="1961" spans="1:1" x14ac:dyDescent="0.2">
      <c r="A1961" s="12" t="s">
        <v>1837</v>
      </c>
    </row>
    <row r="1962" spans="1:1" x14ac:dyDescent="0.2">
      <c r="A1962" s="12" t="s">
        <v>1838</v>
      </c>
    </row>
    <row r="1963" spans="1:1" x14ac:dyDescent="0.2">
      <c r="A1963" s="12" t="s">
        <v>1839</v>
      </c>
    </row>
    <row r="1964" spans="1:1" x14ac:dyDescent="0.2">
      <c r="A1964" s="12" t="s">
        <v>1840</v>
      </c>
    </row>
    <row r="1965" spans="1:1" x14ac:dyDescent="0.2">
      <c r="A1965" s="12" t="s">
        <v>1841</v>
      </c>
    </row>
    <row r="1966" spans="1:1" x14ac:dyDescent="0.2">
      <c r="A1966" s="12" t="s">
        <v>1842</v>
      </c>
    </row>
    <row r="1967" spans="1:1" x14ac:dyDescent="0.2">
      <c r="A1967" s="12" t="s">
        <v>1843</v>
      </c>
    </row>
    <row r="1968" spans="1:1" x14ac:dyDescent="0.2">
      <c r="A1968" s="12" t="s">
        <v>1844</v>
      </c>
    </row>
    <row r="1969" spans="1:1" x14ac:dyDescent="0.2">
      <c r="A1969" s="12" t="s">
        <v>1845</v>
      </c>
    </row>
    <row r="1970" spans="1:1" x14ac:dyDescent="0.2">
      <c r="A1970" s="12" t="s">
        <v>1846</v>
      </c>
    </row>
    <row r="1971" spans="1:1" x14ac:dyDescent="0.2">
      <c r="A1971" s="12" t="s">
        <v>1847</v>
      </c>
    </row>
    <row r="1972" spans="1:1" x14ac:dyDescent="0.2">
      <c r="A1972" s="12" t="s">
        <v>1848</v>
      </c>
    </row>
    <row r="1973" spans="1:1" x14ac:dyDescent="0.2">
      <c r="A1973" s="12" t="s">
        <v>1849</v>
      </c>
    </row>
    <row r="1974" spans="1:1" x14ac:dyDescent="0.2">
      <c r="A1974" s="12" t="s">
        <v>1850</v>
      </c>
    </row>
    <row r="1975" spans="1:1" x14ac:dyDescent="0.2">
      <c r="A1975" s="12" t="s">
        <v>1851</v>
      </c>
    </row>
    <row r="1976" spans="1:1" x14ac:dyDescent="0.2">
      <c r="A1976" s="12" t="s">
        <v>1852</v>
      </c>
    </row>
    <row r="1977" spans="1:1" x14ac:dyDescent="0.2">
      <c r="A1977" s="12" t="s">
        <v>1853</v>
      </c>
    </row>
    <row r="1978" spans="1:1" x14ac:dyDescent="0.2">
      <c r="A1978" s="12" t="s">
        <v>1854</v>
      </c>
    </row>
    <row r="1979" spans="1:1" x14ac:dyDescent="0.2">
      <c r="A1979" s="12" t="s">
        <v>1855</v>
      </c>
    </row>
    <row r="1980" spans="1:1" x14ac:dyDescent="0.2">
      <c r="A1980" s="12" t="s">
        <v>310</v>
      </c>
    </row>
    <row r="1981" spans="1:1" x14ac:dyDescent="0.2">
      <c r="A1981" s="12" t="s">
        <v>310</v>
      </c>
    </row>
    <row r="1982" spans="1:1" x14ac:dyDescent="0.2">
      <c r="A1982" s="12" t="s">
        <v>1856</v>
      </c>
    </row>
    <row r="1983" spans="1:1" x14ac:dyDescent="0.2">
      <c r="A1983" s="12" t="s">
        <v>1857</v>
      </c>
    </row>
    <row r="1984" spans="1:1" x14ac:dyDescent="0.2">
      <c r="A1984" s="12" t="s">
        <v>1858</v>
      </c>
    </row>
    <row r="1985" spans="1:1" x14ac:dyDescent="0.2">
      <c r="A1985" s="12" t="s">
        <v>1859</v>
      </c>
    </row>
    <row r="1986" spans="1:1" x14ac:dyDescent="0.2">
      <c r="A1986" s="12" t="s">
        <v>1860</v>
      </c>
    </row>
    <row r="1987" spans="1:1" x14ac:dyDescent="0.2">
      <c r="A1987" s="12" t="s">
        <v>1861</v>
      </c>
    </row>
    <row r="1988" spans="1:1" x14ac:dyDescent="0.2">
      <c r="A1988" s="12" t="s">
        <v>1862</v>
      </c>
    </row>
    <row r="1989" spans="1:1" x14ac:dyDescent="0.2">
      <c r="A1989" s="12" t="s">
        <v>1863</v>
      </c>
    </row>
    <row r="1990" spans="1:1" x14ac:dyDescent="0.2">
      <c r="A1990" s="12" t="s">
        <v>1864</v>
      </c>
    </row>
    <row r="1991" spans="1:1" x14ac:dyDescent="0.2">
      <c r="A1991" s="12" t="s">
        <v>1865</v>
      </c>
    </row>
    <row r="1992" spans="1:1" x14ac:dyDescent="0.2">
      <c r="A1992" s="12" t="s">
        <v>1866</v>
      </c>
    </row>
    <row r="1993" spans="1:1" x14ac:dyDescent="0.2">
      <c r="A1993" s="12" t="s">
        <v>1867</v>
      </c>
    </row>
    <row r="1994" spans="1:1" x14ac:dyDescent="0.2">
      <c r="A1994" s="12" t="s">
        <v>1868</v>
      </c>
    </row>
    <row r="1995" spans="1:1" x14ac:dyDescent="0.2">
      <c r="A1995" s="12" t="s">
        <v>1869</v>
      </c>
    </row>
    <row r="1996" spans="1:1" x14ac:dyDescent="0.2">
      <c r="A1996" s="12" t="s">
        <v>1870</v>
      </c>
    </row>
    <row r="1997" spans="1:1" x14ac:dyDescent="0.2">
      <c r="A1997" s="12" t="s">
        <v>1871</v>
      </c>
    </row>
    <row r="1998" spans="1:1" x14ac:dyDescent="0.2">
      <c r="A1998" s="12" t="s">
        <v>1872</v>
      </c>
    </row>
    <row r="1999" spans="1:1" x14ac:dyDescent="0.2">
      <c r="A1999" s="12" t="s">
        <v>1873</v>
      </c>
    </row>
    <row r="2000" spans="1:1" x14ac:dyDescent="0.2">
      <c r="A2000" s="12" t="s">
        <v>1874</v>
      </c>
    </row>
    <row r="2001" spans="1:1" x14ac:dyDescent="0.2">
      <c r="A2001" s="12" t="s">
        <v>1875</v>
      </c>
    </row>
    <row r="2002" spans="1:1" x14ac:dyDescent="0.2">
      <c r="A2002" s="12" t="s">
        <v>1876</v>
      </c>
    </row>
    <row r="2003" spans="1:1" x14ac:dyDescent="0.2">
      <c r="A2003" s="12" t="s">
        <v>1877</v>
      </c>
    </row>
    <row r="2004" spans="1:1" x14ac:dyDescent="0.2">
      <c r="A2004" s="12" t="s">
        <v>1878</v>
      </c>
    </row>
    <row r="2005" spans="1:1" x14ac:dyDescent="0.2">
      <c r="A2005" s="12" t="s">
        <v>1879</v>
      </c>
    </row>
    <row r="2006" spans="1:1" x14ac:dyDescent="0.2">
      <c r="A2006" s="12" t="s">
        <v>1880</v>
      </c>
    </row>
    <row r="2007" spans="1:1" x14ac:dyDescent="0.2">
      <c r="A2007" s="12" t="s">
        <v>1881</v>
      </c>
    </row>
    <row r="2008" spans="1:1" x14ac:dyDescent="0.2">
      <c r="A2008" s="12" t="s">
        <v>1882</v>
      </c>
    </row>
    <row r="2009" spans="1:1" x14ac:dyDescent="0.2">
      <c r="A2009" s="12" t="s">
        <v>1883</v>
      </c>
    </row>
    <row r="2010" spans="1:1" x14ac:dyDescent="0.2">
      <c r="A2010" s="12" t="s">
        <v>1884</v>
      </c>
    </row>
    <row r="2011" spans="1:1" x14ac:dyDescent="0.2">
      <c r="A2011" s="12" t="s">
        <v>1885</v>
      </c>
    </row>
    <row r="2012" spans="1:1" x14ac:dyDescent="0.2">
      <c r="A2012" s="12" t="s">
        <v>1886</v>
      </c>
    </row>
    <row r="2013" spans="1:1" x14ac:dyDescent="0.2">
      <c r="A2013" s="12" t="s">
        <v>1887</v>
      </c>
    </row>
    <row r="2014" spans="1:1" x14ac:dyDescent="0.2">
      <c r="A2014" s="12" t="s">
        <v>1888</v>
      </c>
    </row>
    <row r="2015" spans="1:1" x14ac:dyDescent="0.2">
      <c r="A2015" s="12" t="s">
        <v>1889</v>
      </c>
    </row>
    <row r="2016" spans="1:1" x14ac:dyDescent="0.2">
      <c r="A2016" s="12" t="s">
        <v>1890</v>
      </c>
    </row>
    <row r="2017" spans="1:1" x14ac:dyDescent="0.2">
      <c r="A2017" s="12" t="s">
        <v>1891</v>
      </c>
    </row>
    <row r="2018" spans="1:1" x14ac:dyDescent="0.2">
      <c r="A2018" s="12" t="s">
        <v>1892</v>
      </c>
    </row>
    <row r="2019" spans="1:1" x14ac:dyDescent="0.2">
      <c r="A2019" s="12" t="s">
        <v>1893</v>
      </c>
    </row>
    <row r="2020" spans="1:1" x14ac:dyDescent="0.2">
      <c r="A2020" s="12" t="s">
        <v>1894</v>
      </c>
    </row>
    <row r="2021" spans="1:1" x14ac:dyDescent="0.2">
      <c r="A2021" s="12" t="s">
        <v>1895</v>
      </c>
    </row>
    <row r="2022" spans="1:1" x14ac:dyDescent="0.2">
      <c r="A2022" s="12" t="s">
        <v>1896</v>
      </c>
    </row>
    <row r="2023" spans="1:1" x14ac:dyDescent="0.2">
      <c r="A2023" s="12" t="s">
        <v>1897</v>
      </c>
    </row>
    <row r="2024" spans="1:1" x14ac:dyDescent="0.2">
      <c r="A2024" s="12" t="s">
        <v>1898</v>
      </c>
    </row>
    <row r="2025" spans="1:1" x14ac:dyDescent="0.2">
      <c r="A2025" s="12" t="s">
        <v>1899</v>
      </c>
    </row>
    <row r="2026" spans="1:1" x14ac:dyDescent="0.2">
      <c r="A2026" s="12" t="s">
        <v>1900</v>
      </c>
    </row>
    <row r="2027" spans="1:1" x14ac:dyDescent="0.2">
      <c r="A2027" s="12" t="s">
        <v>1901</v>
      </c>
    </row>
    <row r="2028" spans="1:1" x14ac:dyDescent="0.2">
      <c r="A2028" s="12" t="s">
        <v>1901</v>
      </c>
    </row>
    <row r="2029" spans="1:1" x14ac:dyDescent="0.2">
      <c r="A2029" s="12" t="s">
        <v>1902</v>
      </c>
    </row>
    <row r="2030" spans="1:1" x14ac:dyDescent="0.2">
      <c r="A2030" s="12" t="s">
        <v>1903</v>
      </c>
    </row>
    <row r="2031" spans="1:1" x14ac:dyDescent="0.2">
      <c r="A2031" s="12" t="s">
        <v>1903</v>
      </c>
    </row>
    <row r="2032" spans="1:1" x14ac:dyDescent="0.2">
      <c r="A2032" s="12" t="s">
        <v>319</v>
      </c>
    </row>
    <row r="2033" spans="1:1" x14ac:dyDescent="0.2">
      <c r="A2033" s="12" t="s">
        <v>1904</v>
      </c>
    </row>
    <row r="2034" spans="1:1" x14ac:dyDescent="0.2">
      <c r="A2034" s="12" t="s">
        <v>1905</v>
      </c>
    </row>
    <row r="2035" spans="1:1" x14ac:dyDescent="0.2">
      <c r="A2035" s="12" t="s">
        <v>1906</v>
      </c>
    </row>
    <row r="2036" spans="1:1" x14ac:dyDescent="0.2">
      <c r="A2036" s="12" t="s">
        <v>1907</v>
      </c>
    </row>
    <row r="2037" spans="1:1" x14ac:dyDescent="0.2">
      <c r="A2037" s="12" t="s">
        <v>1908</v>
      </c>
    </row>
    <row r="2038" spans="1:1" x14ac:dyDescent="0.2">
      <c r="A2038" s="12" t="s">
        <v>1909</v>
      </c>
    </row>
    <row r="2039" spans="1:1" x14ac:dyDescent="0.2">
      <c r="A2039" s="12" t="s">
        <v>1910</v>
      </c>
    </row>
    <row r="2040" spans="1:1" x14ac:dyDescent="0.2">
      <c r="A2040" s="12" t="s">
        <v>1911</v>
      </c>
    </row>
    <row r="2041" spans="1:1" x14ac:dyDescent="0.2">
      <c r="A2041" s="12" t="s">
        <v>1912</v>
      </c>
    </row>
    <row r="2042" spans="1:1" x14ac:dyDescent="0.2">
      <c r="A2042" s="12" t="s">
        <v>1913</v>
      </c>
    </row>
    <row r="2043" spans="1:1" x14ac:dyDescent="0.2">
      <c r="A2043" s="12" t="s">
        <v>1913</v>
      </c>
    </row>
    <row r="2044" spans="1:1" x14ac:dyDescent="0.2">
      <c r="A2044" s="12" t="s">
        <v>1914</v>
      </c>
    </row>
    <row r="2045" spans="1:1" x14ac:dyDescent="0.2">
      <c r="A2045" s="12" t="s">
        <v>1915</v>
      </c>
    </row>
    <row r="2046" spans="1:1" x14ac:dyDescent="0.2">
      <c r="A2046" s="12" t="s">
        <v>1916</v>
      </c>
    </row>
    <row r="2047" spans="1:1" x14ac:dyDescent="0.2">
      <c r="A2047" s="12" t="s">
        <v>1917</v>
      </c>
    </row>
    <row r="2048" spans="1:1" x14ac:dyDescent="0.2">
      <c r="A2048" s="12" t="s">
        <v>1918</v>
      </c>
    </row>
    <row r="2049" spans="1:1" x14ac:dyDescent="0.2">
      <c r="A2049" s="12" t="s">
        <v>1919</v>
      </c>
    </row>
    <row r="2050" spans="1:1" x14ac:dyDescent="0.2">
      <c r="A2050" s="12" t="s">
        <v>1920</v>
      </c>
    </row>
    <row r="2051" spans="1:1" x14ac:dyDescent="0.2">
      <c r="A2051" s="12" t="s">
        <v>1921</v>
      </c>
    </row>
    <row r="2052" spans="1:1" x14ac:dyDescent="0.2">
      <c r="A2052" s="12" t="s">
        <v>1922</v>
      </c>
    </row>
    <row r="2053" spans="1:1" x14ac:dyDescent="0.2">
      <c r="A2053" s="12" t="s">
        <v>1923</v>
      </c>
    </row>
    <row r="2054" spans="1:1" x14ac:dyDescent="0.2">
      <c r="A2054" s="12" t="s">
        <v>1924</v>
      </c>
    </row>
    <row r="2055" spans="1:1" x14ac:dyDescent="0.2">
      <c r="A2055" s="12" t="s">
        <v>1925</v>
      </c>
    </row>
    <row r="2056" spans="1:1" x14ac:dyDescent="0.2">
      <c r="A2056" s="12" t="s">
        <v>1926</v>
      </c>
    </row>
    <row r="2057" spans="1:1" x14ac:dyDescent="0.2">
      <c r="A2057" s="12" t="s">
        <v>1927</v>
      </c>
    </row>
    <row r="2058" spans="1:1" x14ac:dyDescent="0.2">
      <c r="A2058" s="12" t="s">
        <v>1928</v>
      </c>
    </row>
    <row r="2059" spans="1:1" x14ac:dyDescent="0.2">
      <c r="A2059" s="12" t="s">
        <v>1929</v>
      </c>
    </row>
    <row r="2060" spans="1:1" x14ac:dyDescent="0.2">
      <c r="A2060" s="12" t="s">
        <v>1930</v>
      </c>
    </row>
    <row r="2061" spans="1:1" x14ac:dyDescent="0.2">
      <c r="A2061" s="12" t="s">
        <v>1931</v>
      </c>
    </row>
    <row r="2062" spans="1:1" x14ac:dyDescent="0.2">
      <c r="A2062" s="12" t="s">
        <v>1932</v>
      </c>
    </row>
    <row r="2063" spans="1:1" x14ac:dyDescent="0.2">
      <c r="A2063" s="12" t="s">
        <v>1933</v>
      </c>
    </row>
    <row r="2064" spans="1:1" x14ac:dyDescent="0.2">
      <c r="A2064" s="12" t="s">
        <v>1934</v>
      </c>
    </row>
    <row r="2065" spans="1:1" x14ac:dyDescent="0.2">
      <c r="A2065" s="12" t="s">
        <v>1935</v>
      </c>
    </row>
    <row r="2066" spans="1:1" x14ac:dyDescent="0.2">
      <c r="A2066" s="12" t="s">
        <v>1936</v>
      </c>
    </row>
    <row r="2067" spans="1:1" x14ac:dyDescent="0.2">
      <c r="A2067" s="12" t="s">
        <v>1937</v>
      </c>
    </row>
    <row r="2068" spans="1:1" x14ac:dyDescent="0.2">
      <c r="A2068" s="12" t="s">
        <v>1938</v>
      </c>
    </row>
    <row r="2069" spans="1:1" x14ac:dyDescent="0.2">
      <c r="A2069" s="12" t="s">
        <v>1939</v>
      </c>
    </row>
    <row r="2070" spans="1:1" x14ac:dyDescent="0.2">
      <c r="A2070" s="12" t="s">
        <v>1940</v>
      </c>
    </row>
    <row r="2071" spans="1:1" x14ac:dyDescent="0.2">
      <c r="A2071" s="12" t="s">
        <v>1941</v>
      </c>
    </row>
    <row r="2072" spans="1:1" x14ac:dyDescent="0.2">
      <c r="A2072" s="12" t="s">
        <v>1942</v>
      </c>
    </row>
    <row r="2073" spans="1:1" x14ac:dyDescent="0.2">
      <c r="A2073" s="12" t="s">
        <v>1943</v>
      </c>
    </row>
    <row r="2074" spans="1:1" x14ac:dyDescent="0.2">
      <c r="A2074" s="12" t="s">
        <v>1944</v>
      </c>
    </row>
    <row r="2075" spans="1:1" x14ac:dyDescent="0.2">
      <c r="A2075" s="12" t="s">
        <v>1945</v>
      </c>
    </row>
    <row r="2076" spans="1:1" x14ac:dyDescent="0.2">
      <c r="A2076" s="12" t="s">
        <v>1946</v>
      </c>
    </row>
    <row r="2077" spans="1:1" x14ac:dyDescent="0.2">
      <c r="A2077" s="12" t="s">
        <v>1947</v>
      </c>
    </row>
    <row r="2078" spans="1:1" x14ac:dyDescent="0.2">
      <c r="A2078" s="12" t="s">
        <v>1947</v>
      </c>
    </row>
    <row r="2079" spans="1:1" x14ac:dyDescent="0.2">
      <c r="A2079" s="12" t="s">
        <v>1948</v>
      </c>
    </row>
    <row r="2080" spans="1:1" x14ac:dyDescent="0.2">
      <c r="A2080" s="12" t="s">
        <v>1949</v>
      </c>
    </row>
    <row r="2081" spans="1:1" x14ac:dyDescent="0.2">
      <c r="A2081" s="12" t="s">
        <v>1950</v>
      </c>
    </row>
    <row r="2082" spans="1:1" x14ac:dyDescent="0.2">
      <c r="A2082" s="12" t="s">
        <v>1951</v>
      </c>
    </row>
    <row r="2083" spans="1:1" x14ac:dyDescent="0.2">
      <c r="A2083" s="12" t="s">
        <v>1952</v>
      </c>
    </row>
    <row r="2084" spans="1:1" x14ac:dyDescent="0.2">
      <c r="A2084" s="12" t="s">
        <v>1953</v>
      </c>
    </row>
    <row r="2085" spans="1:1" x14ac:dyDescent="0.2">
      <c r="A2085" s="12" t="s">
        <v>1953</v>
      </c>
    </row>
    <row r="2086" spans="1:1" x14ac:dyDescent="0.2">
      <c r="A2086" s="12" t="s">
        <v>1954</v>
      </c>
    </row>
    <row r="2087" spans="1:1" x14ac:dyDescent="0.2">
      <c r="A2087" s="12" t="s">
        <v>1955</v>
      </c>
    </row>
    <row r="2088" spans="1:1" x14ac:dyDescent="0.2">
      <c r="A2088" s="12" t="s">
        <v>1956</v>
      </c>
    </row>
    <row r="2089" spans="1:1" x14ac:dyDescent="0.2">
      <c r="A2089" s="12" t="s">
        <v>1957</v>
      </c>
    </row>
    <row r="2090" spans="1:1" x14ac:dyDescent="0.2">
      <c r="A2090" s="12" t="s">
        <v>1958</v>
      </c>
    </row>
    <row r="2091" spans="1:1" x14ac:dyDescent="0.2">
      <c r="A2091" s="12" t="s">
        <v>1959</v>
      </c>
    </row>
    <row r="2092" spans="1:1" x14ac:dyDescent="0.2">
      <c r="A2092" s="12" t="s">
        <v>1960</v>
      </c>
    </row>
    <row r="2093" spans="1:1" x14ac:dyDescent="0.2">
      <c r="A2093" s="12" t="s">
        <v>1961</v>
      </c>
    </row>
    <row r="2094" spans="1:1" x14ac:dyDescent="0.2">
      <c r="A2094" s="12" t="s">
        <v>1962</v>
      </c>
    </row>
    <row r="2095" spans="1:1" x14ac:dyDescent="0.2">
      <c r="A2095" s="12" t="s">
        <v>1963</v>
      </c>
    </row>
    <row r="2096" spans="1:1" x14ac:dyDescent="0.2">
      <c r="A2096" s="12" t="s">
        <v>1964</v>
      </c>
    </row>
    <row r="2097" spans="1:1" x14ac:dyDescent="0.2">
      <c r="A2097" s="12" t="s">
        <v>1965</v>
      </c>
    </row>
    <row r="2098" spans="1:1" x14ac:dyDescent="0.2">
      <c r="A2098" s="12" t="s">
        <v>327</v>
      </c>
    </row>
    <row r="2099" spans="1:1" x14ac:dyDescent="0.2">
      <c r="A2099" s="12" t="s">
        <v>1966</v>
      </c>
    </row>
    <row r="2100" spans="1:1" x14ac:dyDescent="0.2">
      <c r="A2100" s="12" t="s">
        <v>1967</v>
      </c>
    </row>
    <row r="2101" spans="1:1" x14ac:dyDescent="0.2">
      <c r="A2101" s="12" t="s">
        <v>1968</v>
      </c>
    </row>
    <row r="2102" spans="1:1" x14ac:dyDescent="0.2">
      <c r="A2102" s="12" t="s">
        <v>1969</v>
      </c>
    </row>
    <row r="2103" spans="1:1" x14ac:dyDescent="0.2">
      <c r="A2103" s="12" t="s">
        <v>1969</v>
      </c>
    </row>
    <row r="2104" spans="1:1" x14ac:dyDescent="0.2">
      <c r="A2104" s="12" t="s">
        <v>1970</v>
      </c>
    </row>
    <row r="2105" spans="1:1" x14ac:dyDescent="0.2">
      <c r="A2105" s="12" t="s">
        <v>1971</v>
      </c>
    </row>
    <row r="2106" spans="1:1" x14ac:dyDescent="0.2">
      <c r="A2106" s="12" t="s">
        <v>1972</v>
      </c>
    </row>
    <row r="2107" spans="1:1" x14ac:dyDescent="0.2">
      <c r="A2107" s="12" t="s">
        <v>1973</v>
      </c>
    </row>
    <row r="2108" spans="1:1" x14ac:dyDescent="0.2">
      <c r="A2108" s="12" t="s">
        <v>1974</v>
      </c>
    </row>
    <row r="2109" spans="1:1" x14ac:dyDescent="0.2">
      <c r="A2109" s="12" t="s">
        <v>1975</v>
      </c>
    </row>
    <row r="2110" spans="1:1" x14ac:dyDescent="0.2">
      <c r="A2110" s="12" t="s">
        <v>1976</v>
      </c>
    </row>
    <row r="2111" spans="1:1" x14ac:dyDescent="0.2">
      <c r="A2111" s="12" t="s">
        <v>1977</v>
      </c>
    </row>
    <row r="2112" spans="1:1" x14ac:dyDescent="0.2">
      <c r="A2112" s="12" t="s">
        <v>1978</v>
      </c>
    </row>
    <row r="2113" spans="1:1" x14ac:dyDescent="0.2">
      <c r="A2113" s="12" t="s">
        <v>1979</v>
      </c>
    </row>
    <row r="2114" spans="1:1" x14ac:dyDescent="0.2">
      <c r="A2114" s="12" t="s">
        <v>329</v>
      </c>
    </row>
    <row r="2115" spans="1:1" x14ac:dyDescent="0.2">
      <c r="A2115" s="12" t="s">
        <v>1980</v>
      </c>
    </row>
    <row r="2116" spans="1:1" x14ac:dyDescent="0.2">
      <c r="A2116" s="12" t="s">
        <v>1980</v>
      </c>
    </row>
    <row r="2117" spans="1:1" x14ac:dyDescent="0.2">
      <c r="A2117" s="12" t="s">
        <v>1981</v>
      </c>
    </row>
    <row r="2118" spans="1:1" x14ac:dyDescent="0.2">
      <c r="A2118" s="12" t="s">
        <v>1982</v>
      </c>
    </row>
    <row r="2119" spans="1:1" x14ac:dyDescent="0.2">
      <c r="A2119" s="12" t="s">
        <v>1983</v>
      </c>
    </row>
    <row r="2120" spans="1:1" x14ac:dyDescent="0.2">
      <c r="A2120" s="12" t="s">
        <v>1984</v>
      </c>
    </row>
    <row r="2121" spans="1:1" x14ac:dyDescent="0.2">
      <c r="A2121" s="12" t="s">
        <v>1985</v>
      </c>
    </row>
    <row r="2122" spans="1:1" x14ac:dyDescent="0.2">
      <c r="A2122" s="12" t="s">
        <v>1986</v>
      </c>
    </row>
    <row r="2123" spans="1:1" x14ac:dyDescent="0.2">
      <c r="A2123" s="12" t="s">
        <v>1987</v>
      </c>
    </row>
    <row r="2124" spans="1:1" x14ac:dyDescent="0.2">
      <c r="A2124" s="12" t="s">
        <v>1988</v>
      </c>
    </row>
    <row r="2125" spans="1:1" x14ac:dyDescent="0.2">
      <c r="A2125" s="12" t="s">
        <v>1989</v>
      </c>
    </row>
    <row r="2126" spans="1:1" x14ac:dyDescent="0.2">
      <c r="A2126" s="12" t="s">
        <v>1990</v>
      </c>
    </row>
    <row r="2127" spans="1:1" x14ac:dyDescent="0.2">
      <c r="A2127" s="12" t="s">
        <v>1991</v>
      </c>
    </row>
    <row r="2128" spans="1:1" x14ac:dyDescent="0.2">
      <c r="A2128" s="12" t="s">
        <v>1992</v>
      </c>
    </row>
    <row r="2129" spans="1:1" x14ac:dyDescent="0.2">
      <c r="A2129" s="12" t="s">
        <v>1993</v>
      </c>
    </row>
    <row r="2130" spans="1:1" x14ac:dyDescent="0.2">
      <c r="A2130" s="12" t="s">
        <v>1994</v>
      </c>
    </row>
    <row r="2131" spans="1:1" x14ac:dyDescent="0.2">
      <c r="A2131" s="12" t="s">
        <v>1995</v>
      </c>
    </row>
    <row r="2132" spans="1:1" x14ac:dyDescent="0.2">
      <c r="A2132" s="12" t="s">
        <v>1996</v>
      </c>
    </row>
    <row r="2133" spans="1:1" x14ac:dyDescent="0.2">
      <c r="A2133" s="12" t="s">
        <v>1997</v>
      </c>
    </row>
    <row r="2134" spans="1:1" x14ac:dyDescent="0.2">
      <c r="A2134" s="12" t="s">
        <v>1998</v>
      </c>
    </row>
    <row r="2135" spans="1:1" x14ac:dyDescent="0.2">
      <c r="A2135" s="12" t="s">
        <v>1999</v>
      </c>
    </row>
    <row r="2136" spans="1:1" x14ac:dyDescent="0.2">
      <c r="A2136" s="12" t="s">
        <v>2000</v>
      </c>
    </row>
    <row r="2137" spans="1:1" x14ac:dyDescent="0.2">
      <c r="A2137" s="12" t="s">
        <v>2001</v>
      </c>
    </row>
    <row r="2138" spans="1:1" x14ac:dyDescent="0.2">
      <c r="A2138" s="12" t="s">
        <v>2002</v>
      </c>
    </row>
    <row r="2139" spans="1:1" x14ac:dyDescent="0.2">
      <c r="A2139" s="12" t="s">
        <v>2003</v>
      </c>
    </row>
    <row r="2140" spans="1:1" x14ac:dyDescent="0.2">
      <c r="A2140" s="12" t="s">
        <v>333</v>
      </c>
    </row>
    <row r="2141" spans="1:1" x14ac:dyDescent="0.2">
      <c r="A2141" s="12" t="s">
        <v>2004</v>
      </c>
    </row>
    <row r="2142" spans="1:1" x14ac:dyDescent="0.2">
      <c r="A2142" s="12" t="s">
        <v>2005</v>
      </c>
    </row>
    <row r="2143" spans="1:1" x14ac:dyDescent="0.2">
      <c r="A2143" s="12" t="s">
        <v>2006</v>
      </c>
    </row>
    <row r="2144" spans="1:1" x14ac:dyDescent="0.2">
      <c r="A2144" s="12" t="s">
        <v>2006</v>
      </c>
    </row>
    <row r="2145" spans="1:1" x14ac:dyDescent="0.2">
      <c r="A2145" s="12" t="s">
        <v>2007</v>
      </c>
    </row>
    <row r="2146" spans="1:1" x14ac:dyDescent="0.2">
      <c r="A2146" s="12" t="s">
        <v>2008</v>
      </c>
    </row>
    <row r="2147" spans="1:1" x14ac:dyDescent="0.2">
      <c r="A2147" s="12" t="s">
        <v>2009</v>
      </c>
    </row>
    <row r="2148" spans="1:1" x14ac:dyDescent="0.2">
      <c r="A2148" s="12" t="s">
        <v>2010</v>
      </c>
    </row>
    <row r="2149" spans="1:1" x14ac:dyDescent="0.2">
      <c r="A2149" s="12" t="s">
        <v>2011</v>
      </c>
    </row>
    <row r="2150" spans="1:1" x14ac:dyDescent="0.2">
      <c r="A2150" s="12" t="s">
        <v>2012</v>
      </c>
    </row>
    <row r="2151" spans="1:1" x14ac:dyDescent="0.2">
      <c r="A2151" s="12" t="s">
        <v>2013</v>
      </c>
    </row>
    <row r="2152" spans="1:1" x14ac:dyDescent="0.2">
      <c r="A2152" s="12" t="s">
        <v>2014</v>
      </c>
    </row>
    <row r="2153" spans="1:1" x14ac:dyDescent="0.2">
      <c r="A2153" s="12" t="s">
        <v>2015</v>
      </c>
    </row>
    <row r="2154" spans="1:1" x14ac:dyDescent="0.2">
      <c r="A2154" s="12" t="s">
        <v>2016</v>
      </c>
    </row>
    <row r="2155" spans="1:1" x14ac:dyDescent="0.2">
      <c r="A2155" s="12" t="s">
        <v>2017</v>
      </c>
    </row>
    <row r="2156" spans="1:1" x14ac:dyDescent="0.2">
      <c r="A2156" s="12" t="s">
        <v>2018</v>
      </c>
    </row>
    <row r="2157" spans="1:1" x14ac:dyDescent="0.2">
      <c r="A2157" s="12" t="s">
        <v>2019</v>
      </c>
    </row>
    <row r="2158" spans="1:1" x14ac:dyDescent="0.2">
      <c r="A2158" s="12" t="s">
        <v>2020</v>
      </c>
    </row>
    <row r="2159" spans="1:1" x14ac:dyDescent="0.2">
      <c r="A2159" s="12" t="s">
        <v>2021</v>
      </c>
    </row>
    <row r="2160" spans="1:1" x14ac:dyDescent="0.2">
      <c r="A2160" s="12" t="s">
        <v>2022</v>
      </c>
    </row>
    <row r="2161" spans="1:1" x14ac:dyDescent="0.2">
      <c r="A2161" s="12" t="s">
        <v>2023</v>
      </c>
    </row>
    <row r="2162" spans="1:1" x14ac:dyDescent="0.2">
      <c r="A2162" s="12" t="s">
        <v>2024</v>
      </c>
    </row>
    <row r="2163" spans="1:1" x14ac:dyDescent="0.2">
      <c r="A2163" s="12" t="s">
        <v>2025</v>
      </c>
    </row>
    <row r="2164" spans="1:1" x14ac:dyDescent="0.2">
      <c r="A2164" s="12" t="s">
        <v>2026</v>
      </c>
    </row>
    <row r="2165" spans="1:1" x14ac:dyDescent="0.2">
      <c r="A2165" s="12" t="s">
        <v>2027</v>
      </c>
    </row>
    <row r="2166" spans="1:1" x14ac:dyDescent="0.2">
      <c r="A2166" s="12" t="s">
        <v>2028</v>
      </c>
    </row>
    <row r="2167" spans="1:1" x14ac:dyDescent="0.2">
      <c r="A2167" s="12" t="s">
        <v>2029</v>
      </c>
    </row>
    <row r="2168" spans="1:1" x14ac:dyDescent="0.2">
      <c r="A2168" s="12" t="s">
        <v>2030</v>
      </c>
    </row>
    <row r="2169" spans="1:1" x14ac:dyDescent="0.2">
      <c r="A2169" s="12" t="s">
        <v>2031</v>
      </c>
    </row>
    <row r="2170" spans="1:1" x14ac:dyDescent="0.2">
      <c r="A2170" s="12" t="s">
        <v>2032</v>
      </c>
    </row>
    <row r="2171" spans="1:1" x14ac:dyDescent="0.2">
      <c r="A2171" s="12" t="s">
        <v>2033</v>
      </c>
    </row>
    <row r="2172" spans="1:1" x14ac:dyDescent="0.2">
      <c r="A2172" s="12" t="s">
        <v>2034</v>
      </c>
    </row>
    <row r="2173" spans="1:1" x14ac:dyDescent="0.2">
      <c r="A2173" s="12" t="s">
        <v>2035</v>
      </c>
    </row>
    <row r="2174" spans="1:1" x14ac:dyDescent="0.2">
      <c r="A2174" s="12" t="s">
        <v>338</v>
      </c>
    </row>
    <row r="2175" spans="1:1" x14ac:dyDescent="0.2">
      <c r="A2175" s="12" t="s">
        <v>338</v>
      </c>
    </row>
    <row r="2176" spans="1:1" x14ac:dyDescent="0.2">
      <c r="A2176" s="12" t="s">
        <v>2036</v>
      </c>
    </row>
    <row r="2177" spans="1:1" x14ac:dyDescent="0.2">
      <c r="A2177" s="12" t="s">
        <v>2037</v>
      </c>
    </row>
    <row r="2178" spans="1:1" x14ac:dyDescent="0.2">
      <c r="A2178" s="12" t="s">
        <v>2038</v>
      </c>
    </row>
    <row r="2179" spans="1:1" x14ac:dyDescent="0.2">
      <c r="A2179" s="12" t="s">
        <v>2039</v>
      </c>
    </row>
    <row r="2180" spans="1:1" x14ac:dyDescent="0.2">
      <c r="A2180" s="12" t="s">
        <v>340</v>
      </c>
    </row>
    <row r="2181" spans="1:1" x14ac:dyDescent="0.2">
      <c r="A2181" s="12" t="s">
        <v>2040</v>
      </c>
    </row>
    <row r="2182" spans="1:1" x14ac:dyDescent="0.2">
      <c r="A2182" s="12" t="s">
        <v>2041</v>
      </c>
    </row>
    <row r="2183" spans="1:1" x14ac:dyDescent="0.2">
      <c r="A2183" s="12" t="s">
        <v>2042</v>
      </c>
    </row>
    <row r="2184" spans="1:1" x14ac:dyDescent="0.2">
      <c r="A2184" s="12" t="s">
        <v>2043</v>
      </c>
    </row>
    <row r="2185" spans="1:1" x14ac:dyDescent="0.2">
      <c r="A2185" s="12" t="s">
        <v>2044</v>
      </c>
    </row>
    <row r="2186" spans="1:1" x14ac:dyDescent="0.2">
      <c r="A2186" s="12" t="s">
        <v>2045</v>
      </c>
    </row>
    <row r="2187" spans="1:1" x14ac:dyDescent="0.2">
      <c r="A2187" s="12" t="s">
        <v>2046</v>
      </c>
    </row>
    <row r="2188" spans="1:1" x14ac:dyDescent="0.2">
      <c r="A2188" s="12" t="s">
        <v>2047</v>
      </c>
    </row>
    <row r="2189" spans="1:1" x14ac:dyDescent="0.2">
      <c r="A2189" s="12" t="s">
        <v>2048</v>
      </c>
    </row>
    <row r="2190" spans="1:1" x14ac:dyDescent="0.2">
      <c r="A2190" s="12" t="s">
        <v>2049</v>
      </c>
    </row>
    <row r="2191" spans="1:1" x14ac:dyDescent="0.2">
      <c r="A2191" s="12" t="s">
        <v>2050</v>
      </c>
    </row>
    <row r="2192" spans="1:1" x14ac:dyDescent="0.2">
      <c r="A2192" s="12" t="s">
        <v>2051</v>
      </c>
    </row>
    <row r="2193" spans="1:1" x14ac:dyDescent="0.2">
      <c r="A2193" s="12" t="s">
        <v>2052</v>
      </c>
    </row>
    <row r="2194" spans="1:1" x14ac:dyDescent="0.2">
      <c r="A2194" s="12" t="s">
        <v>2053</v>
      </c>
    </row>
    <row r="2195" spans="1:1" x14ac:dyDescent="0.2">
      <c r="A2195" s="12" t="s">
        <v>2054</v>
      </c>
    </row>
    <row r="2196" spans="1:1" x14ac:dyDescent="0.2">
      <c r="A2196" s="12" t="s">
        <v>2055</v>
      </c>
    </row>
    <row r="2197" spans="1:1" x14ac:dyDescent="0.2">
      <c r="A2197" s="12" t="s">
        <v>2056</v>
      </c>
    </row>
    <row r="2198" spans="1:1" x14ac:dyDescent="0.2">
      <c r="A2198" s="12" t="s">
        <v>2057</v>
      </c>
    </row>
    <row r="2199" spans="1:1" x14ac:dyDescent="0.2">
      <c r="A2199" s="12" t="s">
        <v>2058</v>
      </c>
    </row>
    <row r="2200" spans="1:1" x14ac:dyDescent="0.2">
      <c r="A2200" s="12" t="s">
        <v>2059</v>
      </c>
    </row>
    <row r="2201" spans="1:1" x14ac:dyDescent="0.2">
      <c r="A2201" s="12" t="s">
        <v>2060</v>
      </c>
    </row>
    <row r="2202" spans="1:1" x14ac:dyDescent="0.2">
      <c r="A2202" s="12" t="s">
        <v>2061</v>
      </c>
    </row>
    <row r="2203" spans="1:1" x14ac:dyDescent="0.2">
      <c r="A2203" s="12" t="s">
        <v>2062</v>
      </c>
    </row>
    <row r="2204" spans="1:1" x14ac:dyDescent="0.2">
      <c r="A2204" s="12" t="s">
        <v>2063</v>
      </c>
    </row>
    <row r="2205" spans="1:1" x14ac:dyDescent="0.2">
      <c r="A2205" s="12" t="s">
        <v>2064</v>
      </c>
    </row>
    <row r="2206" spans="1:1" x14ac:dyDescent="0.2">
      <c r="A2206" s="12" t="s">
        <v>2065</v>
      </c>
    </row>
    <row r="2207" spans="1:1" x14ac:dyDescent="0.2">
      <c r="A2207" s="12" t="s">
        <v>2066</v>
      </c>
    </row>
    <row r="2208" spans="1:1" x14ac:dyDescent="0.2">
      <c r="A2208" s="12" t="s">
        <v>2067</v>
      </c>
    </row>
    <row r="2209" spans="1:1" x14ac:dyDescent="0.2">
      <c r="A2209" s="12" t="s">
        <v>2068</v>
      </c>
    </row>
    <row r="2210" spans="1:1" x14ac:dyDescent="0.2">
      <c r="A2210" s="12" t="s">
        <v>345</v>
      </c>
    </row>
    <row r="2211" spans="1:1" x14ac:dyDescent="0.2">
      <c r="A2211" s="12" t="s">
        <v>345</v>
      </c>
    </row>
    <row r="2212" spans="1:1" x14ac:dyDescent="0.2">
      <c r="A2212" s="12" t="s">
        <v>2069</v>
      </c>
    </row>
    <row r="2213" spans="1:1" x14ac:dyDescent="0.2">
      <c r="A2213" s="12" t="s">
        <v>2070</v>
      </c>
    </row>
    <row r="2214" spans="1:1" x14ac:dyDescent="0.2">
      <c r="A2214" s="12" t="s">
        <v>2071</v>
      </c>
    </row>
    <row r="2215" spans="1:1" x14ac:dyDescent="0.2">
      <c r="A2215" s="12" t="s">
        <v>2072</v>
      </c>
    </row>
    <row r="2216" spans="1:1" x14ac:dyDescent="0.2">
      <c r="A2216" s="12" t="s">
        <v>2073</v>
      </c>
    </row>
    <row r="2217" spans="1:1" x14ac:dyDescent="0.2">
      <c r="A2217" s="12" t="s">
        <v>2074</v>
      </c>
    </row>
    <row r="2218" spans="1:1" x14ac:dyDescent="0.2">
      <c r="A2218" s="12" t="s">
        <v>2075</v>
      </c>
    </row>
    <row r="2219" spans="1:1" x14ac:dyDescent="0.2">
      <c r="A2219" s="12" t="s">
        <v>2076</v>
      </c>
    </row>
    <row r="2220" spans="1:1" x14ac:dyDescent="0.2">
      <c r="A2220" s="12" t="s">
        <v>2077</v>
      </c>
    </row>
    <row r="2221" spans="1:1" x14ac:dyDescent="0.2">
      <c r="A2221" s="12" t="s">
        <v>2078</v>
      </c>
    </row>
    <row r="2222" spans="1:1" x14ac:dyDescent="0.2">
      <c r="A2222" s="12" t="s">
        <v>2079</v>
      </c>
    </row>
    <row r="2223" spans="1:1" x14ac:dyDescent="0.2">
      <c r="A2223" s="12" t="s">
        <v>2080</v>
      </c>
    </row>
    <row r="2224" spans="1:1" x14ac:dyDescent="0.2">
      <c r="A2224" s="12" t="s">
        <v>2081</v>
      </c>
    </row>
    <row r="2225" spans="1:1" x14ac:dyDescent="0.2">
      <c r="A2225" s="12" t="s">
        <v>2082</v>
      </c>
    </row>
    <row r="2226" spans="1:1" x14ac:dyDescent="0.2">
      <c r="A2226" s="12" t="s">
        <v>2083</v>
      </c>
    </row>
    <row r="2227" spans="1:1" x14ac:dyDescent="0.2">
      <c r="A2227" s="12" t="s">
        <v>2084</v>
      </c>
    </row>
    <row r="2228" spans="1:1" x14ac:dyDescent="0.2">
      <c r="A2228" s="12" t="s">
        <v>2084</v>
      </c>
    </row>
    <row r="2229" spans="1:1" x14ac:dyDescent="0.2">
      <c r="A2229" s="12" t="s">
        <v>2085</v>
      </c>
    </row>
    <row r="2230" spans="1:1" x14ac:dyDescent="0.2">
      <c r="A2230" s="12" t="s">
        <v>2086</v>
      </c>
    </row>
    <row r="2231" spans="1:1" x14ac:dyDescent="0.2">
      <c r="A2231" s="12" t="s">
        <v>2087</v>
      </c>
    </row>
    <row r="2232" spans="1:1" x14ac:dyDescent="0.2">
      <c r="A2232" s="12" t="s">
        <v>2088</v>
      </c>
    </row>
    <row r="2233" spans="1:1" x14ac:dyDescent="0.2">
      <c r="A2233" s="12" t="s">
        <v>2089</v>
      </c>
    </row>
    <row r="2234" spans="1:1" x14ac:dyDescent="0.2">
      <c r="A2234" s="12" t="s">
        <v>2089</v>
      </c>
    </row>
    <row r="2235" spans="1:1" x14ac:dyDescent="0.2">
      <c r="A2235" s="12" t="s">
        <v>2090</v>
      </c>
    </row>
    <row r="2236" spans="1:1" x14ac:dyDescent="0.2">
      <c r="A2236" s="12" t="s">
        <v>2091</v>
      </c>
    </row>
    <row r="2237" spans="1:1" x14ac:dyDescent="0.2">
      <c r="A2237" s="12" t="s">
        <v>2092</v>
      </c>
    </row>
    <row r="2238" spans="1:1" x14ac:dyDescent="0.2">
      <c r="A2238" s="12" t="s">
        <v>2093</v>
      </c>
    </row>
    <row r="2239" spans="1:1" x14ac:dyDescent="0.2">
      <c r="A2239" s="12" t="s">
        <v>2094</v>
      </c>
    </row>
    <row r="2240" spans="1:1" x14ac:dyDescent="0.2">
      <c r="A2240" s="12" t="s">
        <v>350</v>
      </c>
    </row>
    <row r="2241" spans="1:1" x14ac:dyDescent="0.2">
      <c r="A2241" s="12" t="s">
        <v>350</v>
      </c>
    </row>
    <row r="2242" spans="1:1" x14ac:dyDescent="0.2">
      <c r="A2242" s="12" t="s">
        <v>2095</v>
      </c>
    </row>
    <row r="2243" spans="1:1" x14ac:dyDescent="0.2">
      <c r="A2243" s="12" t="s">
        <v>2096</v>
      </c>
    </row>
    <row r="2244" spans="1:1" x14ac:dyDescent="0.2">
      <c r="A2244" s="12" t="s">
        <v>2097</v>
      </c>
    </row>
    <row r="2245" spans="1:1" x14ac:dyDescent="0.2">
      <c r="A2245" s="12" t="s">
        <v>2098</v>
      </c>
    </row>
    <row r="2246" spans="1:1" x14ac:dyDescent="0.2">
      <c r="A2246" s="12" t="s">
        <v>2099</v>
      </c>
    </row>
    <row r="2247" spans="1:1" x14ac:dyDescent="0.2">
      <c r="A2247" s="12" t="s">
        <v>2100</v>
      </c>
    </row>
    <row r="2248" spans="1:1" x14ac:dyDescent="0.2">
      <c r="A2248" s="12" t="s">
        <v>2101</v>
      </c>
    </row>
    <row r="2249" spans="1:1" x14ac:dyDescent="0.2">
      <c r="A2249" s="12" t="s">
        <v>2102</v>
      </c>
    </row>
    <row r="2250" spans="1:1" x14ac:dyDescent="0.2">
      <c r="A2250" s="12" t="s">
        <v>2103</v>
      </c>
    </row>
    <row r="2251" spans="1:1" x14ac:dyDescent="0.2">
      <c r="A2251" s="12" t="s">
        <v>2104</v>
      </c>
    </row>
    <row r="2252" spans="1:1" x14ac:dyDescent="0.2">
      <c r="A2252" s="12" t="s">
        <v>2105</v>
      </c>
    </row>
    <row r="2253" spans="1:1" x14ac:dyDescent="0.2">
      <c r="A2253" s="12" t="s">
        <v>2106</v>
      </c>
    </row>
    <row r="2254" spans="1:1" x14ac:dyDescent="0.2">
      <c r="A2254" s="12" t="s">
        <v>2107</v>
      </c>
    </row>
    <row r="2255" spans="1:1" x14ac:dyDescent="0.2">
      <c r="A2255" s="12" t="s">
        <v>2108</v>
      </c>
    </row>
    <row r="2256" spans="1:1" x14ac:dyDescent="0.2">
      <c r="A2256" s="12" t="s">
        <v>2109</v>
      </c>
    </row>
    <row r="2257" spans="1:1" x14ac:dyDescent="0.2">
      <c r="A2257" s="12" t="s">
        <v>2110</v>
      </c>
    </row>
    <row r="2258" spans="1:1" x14ac:dyDescent="0.2">
      <c r="A2258" s="12" t="s">
        <v>2111</v>
      </c>
    </row>
    <row r="2259" spans="1:1" x14ac:dyDescent="0.2">
      <c r="A2259" s="12" t="s">
        <v>2112</v>
      </c>
    </row>
    <row r="2260" spans="1:1" x14ac:dyDescent="0.2">
      <c r="A2260" s="12" t="s">
        <v>2113</v>
      </c>
    </row>
    <row r="2261" spans="1:1" x14ac:dyDescent="0.2">
      <c r="A2261" s="12" t="s">
        <v>2114</v>
      </c>
    </row>
    <row r="2262" spans="1:1" x14ac:dyDescent="0.2">
      <c r="A2262" s="12" t="s">
        <v>2115</v>
      </c>
    </row>
    <row r="2263" spans="1:1" x14ac:dyDescent="0.2">
      <c r="A2263" s="12" t="s">
        <v>2116</v>
      </c>
    </row>
    <row r="2264" spans="1:1" x14ac:dyDescent="0.2">
      <c r="A2264" s="12" t="s">
        <v>355</v>
      </c>
    </row>
    <row r="2265" spans="1:1" x14ac:dyDescent="0.2">
      <c r="A2265" s="12" t="s">
        <v>2117</v>
      </c>
    </row>
    <row r="2266" spans="1:1" x14ac:dyDescent="0.2">
      <c r="A2266" s="12" t="s">
        <v>2118</v>
      </c>
    </row>
    <row r="2267" spans="1:1" x14ac:dyDescent="0.2">
      <c r="A2267" s="12" t="s">
        <v>356</v>
      </c>
    </row>
    <row r="2268" spans="1:1" x14ac:dyDescent="0.2">
      <c r="A2268" s="12" t="s">
        <v>2119</v>
      </c>
    </row>
    <row r="2269" spans="1:1" x14ac:dyDescent="0.2">
      <c r="A2269" s="12" t="s">
        <v>2120</v>
      </c>
    </row>
    <row r="2270" spans="1:1" x14ac:dyDescent="0.2">
      <c r="A2270" s="12" t="s">
        <v>2121</v>
      </c>
    </row>
    <row r="2271" spans="1:1" x14ac:dyDescent="0.2">
      <c r="A2271" s="12" t="s">
        <v>2122</v>
      </c>
    </row>
    <row r="2272" spans="1:1" x14ac:dyDescent="0.2">
      <c r="A2272" s="12" t="s">
        <v>2123</v>
      </c>
    </row>
    <row r="2273" spans="1:1" x14ac:dyDescent="0.2">
      <c r="A2273" s="12" t="s">
        <v>2124</v>
      </c>
    </row>
    <row r="2274" spans="1:1" x14ac:dyDescent="0.2">
      <c r="A2274" s="12" t="s">
        <v>2124</v>
      </c>
    </row>
    <row r="2275" spans="1:1" x14ac:dyDescent="0.2">
      <c r="A2275" s="12" t="s">
        <v>2125</v>
      </c>
    </row>
    <row r="2276" spans="1:1" x14ac:dyDescent="0.2">
      <c r="A2276" s="12" t="s">
        <v>2126</v>
      </c>
    </row>
    <row r="2277" spans="1:1" x14ac:dyDescent="0.2">
      <c r="A2277" s="12" t="s">
        <v>2127</v>
      </c>
    </row>
    <row r="2278" spans="1:1" x14ac:dyDescent="0.2">
      <c r="A2278" s="12" t="s">
        <v>2128</v>
      </c>
    </row>
    <row r="2279" spans="1:1" x14ac:dyDescent="0.2">
      <c r="A2279" s="12" t="s">
        <v>2129</v>
      </c>
    </row>
    <row r="2280" spans="1:1" x14ac:dyDescent="0.2">
      <c r="A2280" s="12" t="s">
        <v>2130</v>
      </c>
    </row>
    <row r="2281" spans="1:1" x14ac:dyDescent="0.2">
      <c r="A2281" s="12" t="s">
        <v>2131</v>
      </c>
    </row>
    <row r="2282" spans="1:1" x14ac:dyDescent="0.2">
      <c r="A2282" s="12" t="s">
        <v>2132</v>
      </c>
    </row>
    <row r="2283" spans="1:1" x14ac:dyDescent="0.2">
      <c r="A2283" s="12" t="s">
        <v>2133</v>
      </c>
    </row>
    <row r="2284" spans="1:1" x14ac:dyDescent="0.2">
      <c r="A2284" s="12" t="s">
        <v>2134</v>
      </c>
    </row>
    <row r="2285" spans="1:1" x14ac:dyDescent="0.2">
      <c r="A2285" s="12" t="s">
        <v>2135</v>
      </c>
    </row>
    <row r="2286" spans="1:1" x14ac:dyDescent="0.2">
      <c r="A2286" s="12" t="s">
        <v>2136</v>
      </c>
    </row>
    <row r="2287" spans="1:1" x14ac:dyDescent="0.2">
      <c r="A2287" s="12" t="s">
        <v>2137</v>
      </c>
    </row>
    <row r="2288" spans="1:1" x14ac:dyDescent="0.2">
      <c r="A2288" s="12" t="s">
        <v>2138</v>
      </c>
    </row>
    <row r="2289" spans="1:1" x14ac:dyDescent="0.2">
      <c r="A2289" s="12" t="s">
        <v>2139</v>
      </c>
    </row>
    <row r="2290" spans="1:1" x14ac:dyDescent="0.2">
      <c r="A2290" s="12" t="s">
        <v>2140</v>
      </c>
    </row>
    <row r="2291" spans="1:1" x14ac:dyDescent="0.2">
      <c r="A2291" s="12" t="s">
        <v>2141</v>
      </c>
    </row>
    <row r="2292" spans="1:1" x14ac:dyDescent="0.2">
      <c r="A2292" s="12" t="s">
        <v>2142</v>
      </c>
    </row>
    <row r="2293" spans="1:1" x14ac:dyDescent="0.2">
      <c r="A2293" s="12" t="s">
        <v>2143</v>
      </c>
    </row>
    <row r="2294" spans="1:1" x14ac:dyDescent="0.2">
      <c r="A2294" s="12" t="s">
        <v>2144</v>
      </c>
    </row>
    <row r="2295" spans="1:1" x14ac:dyDescent="0.2">
      <c r="A2295" s="12" t="s">
        <v>2145</v>
      </c>
    </row>
    <row r="2296" spans="1:1" x14ac:dyDescent="0.2">
      <c r="A2296" s="12" t="s">
        <v>2146</v>
      </c>
    </row>
    <row r="2297" spans="1:1" x14ac:dyDescent="0.2">
      <c r="A2297" s="12" t="s">
        <v>2147</v>
      </c>
    </row>
    <row r="2298" spans="1:1" x14ac:dyDescent="0.2">
      <c r="A2298" s="12" t="s">
        <v>2148</v>
      </c>
    </row>
    <row r="2299" spans="1:1" x14ac:dyDescent="0.2">
      <c r="A2299" s="12" t="s">
        <v>2149</v>
      </c>
    </row>
    <row r="2300" spans="1:1" x14ac:dyDescent="0.2">
      <c r="A2300" s="12" t="s">
        <v>2150</v>
      </c>
    </row>
    <row r="2301" spans="1:1" x14ac:dyDescent="0.2">
      <c r="A2301" s="12" t="s">
        <v>2151</v>
      </c>
    </row>
    <row r="2302" spans="1:1" x14ac:dyDescent="0.2">
      <c r="A2302" s="12" t="s">
        <v>2152</v>
      </c>
    </row>
    <row r="2303" spans="1:1" x14ac:dyDescent="0.2">
      <c r="A2303" s="12" t="s">
        <v>2153</v>
      </c>
    </row>
    <row r="2304" spans="1:1" x14ac:dyDescent="0.2">
      <c r="A2304" s="12" t="s">
        <v>2154</v>
      </c>
    </row>
    <row r="2305" spans="1:1" x14ac:dyDescent="0.2">
      <c r="A2305" s="12" t="s">
        <v>2155</v>
      </c>
    </row>
    <row r="2306" spans="1:1" x14ac:dyDescent="0.2">
      <c r="A2306" s="12" t="s">
        <v>2156</v>
      </c>
    </row>
    <row r="2307" spans="1:1" x14ac:dyDescent="0.2">
      <c r="A2307" s="12" t="s">
        <v>2157</v>
      </c>
    </row>
    <row r="2308" spans="1:1" x14ac:dyDescent="0.2">
      <c r="A2308" s="12" t="s">
        <v>2158</v>
      </c>
    </row>
    <row r="2309" spans="1:1" x14ac:dyDescent="0.2">
      <c r="A2309" s="12" t="s">
        <v>2159</v>
      </c>
    </row>
    <row r="2310" spans="1:1" x14ac:dyDescent="0.2">
      <c r="A2310" s="12" t="s">
        <v>2160</v>
      </c>
    </row>
    <row r="2311" spans="1:1" x14ac:dyDescent="0.2">
      <c r="A2311" s="12" t="s">
        <v>2161</v>
      </c>
    </row>
    <row r="2312" spans="1:1" x14ac:dyDescent="0.2">
      <c r="A2312" s="12" t="s">
        <v>2162</v>
      </c>
    </row>
    <row r="2313" spans="1:1" x14ac:dyDescent="0.2">
      <c r="A2313" s="12" t="s">
        <v>2163</v>
      </c>
    </row>
    <row r="2314" spans="1:1" x14ac:dyDescent="0.2">
      <c r="A2314" s="12" t="s">
        <v>2163</v>
      </c>
    </row>
    <row r="2315" spans="1:1" x14ac:dyDescent="0.2">
      <c r="A2315" s="12" t="s">
        <v>2164</v>
      </c>
    </row>
    <row r="2316" spans="1:1" x14ac:dyDescent="0.2">
      <c r="A2316" s="12" t="s">
        <v>2165</v>
      </c>
    </row>
    <row r="2317" spans="1:1" x14ac:dyDescent="0.2">
      <c r="A2317" s="12" t="s">
        <v>2166</v>
      </c>
    </row>
    <row r="2318" spans="1:1" x14ac:dyDescent="0.2">
      <c r="A2318" s="12" t="s">
        <v>2167</v>
      </c>
    </row>
    <row r="2319" spans="1:1" x14ac:dyDescent="0.2">
      <c r="A2319" s="12" t="s">
        <v>2168</v>
      </c>
    </row>
    <row r="2320" spans="1:1" x14ac:dyDescent="0.2">
      <c r="A2320" s="12" t="s">
        <v>2169</v>
      </c>
    </row>
    <row r="2321" spans="1:1" x14ac:dyDescent="0.2">
      <c r="A2321" s="12" t="s">
        <v>2170</v>
      </c>
    </row>
    <row r="2322" spans="1:1" x14ac:dyDescent="0.2">
      <c r="A2322" s="12" t="s">
        <v>2171</v>
      </c>
    </row>
    <row r="2323" spans="1:1" x14ac:dyDescent="0.2">
      <c r="A2323" s="12" t="s">
        <v>2172</v>
      </c>
    </row>
    <row r="2324" spans="1:1" x14ac:dyDescent="0.2">
      <c r="A2324" s="12" t="s">
        <v>2173</v>
      </c>
    </row>
    <row r="2325" spans="1:1" x14ac:dyDescent="0.2">
      <c r="A2325" s="12" t="s">
        <v>2174</v>
      </c>
    </row>
    <row r="2326" spans="1:1" x14ac:dyDescent="0.2">
      <c r="A2326" s="12" t="s">
        <v>2175</v>
      </c>
    </row>
    <row r="2327" spans="1:1" x14ac:dyDescent="0.2">
      <c r="A2327" s="12" t="s">
        <v>2176</v>
      </c>
    </row>
    <row r="2328" spans="1:1" x14ac:dyDescent="0.2">
      <c r="A2328" s="12" t="s">
        <v>2177</v>
      </c>
    </row>
    <row r="2329" spans="1:1" x14ac:dyDescent="0.2">
      <c r="A2329" s="12" t="s">
        <v>2178</v>
      </c>
    </row>
    <row r="2330" spans="1:1" x14ac:dyDescent="0.2">
      <c r="A2330" s="12" t="s">
        <v>2179</v>
      </c>
    </row>
    <row r="2331" spans="1:1" x14ac:dyDescent="0.2">
      <c r="A2331" s="12" t="s">
        <v>2180</v>
      </c>
    </row>
    <row r="2332" spans="1:1" x14ac:dyDescent="0.2">
      <c r="A2332" s="12" t="s">
        <v>2181</v>
      </c>
    </row>
    <row r="2333" spans="1:1" x14ac:dyDescent="0.2">
      <c r="A2333" s="12" t="s">
        <v>2182</v>
      </c>
    </row>
    <row r="2334" spans="1:1" x14ac:dyDescent="0.2">
      <c r="A2334" s="12" t="s">
        <v>2183</v>
      </c>
    </row>
    <row r="2335" spans="1:1" x14ac:dyDescent="0.2">
      <c r="A2335" s="12" t="s">
        <v>2184</v>
      </c>
    </row>
    <row r="2336" spans="1:1" x14ac:dyDescent="0.2">
      <c r="A2336" s="12" t="s">
        <v>2185</v>
      </c>
    </row>
    <row r="2337" spans="1:1" x14ac:dyDescent="0.2">
      <c r="A2337" s="12" t="s">
        <v>2186</v>
      </c>
    </row>
    <row r="2338" spans="1:1" x14ac:dyDescent="0.2">
      <c r="A2338" s="12" t="s">
        <v>2187</v>
      </c>
    </row>
    <row r="2339" spans="1:1" x14ac:dyDescent="0.2">
      <c r="A2339" s="12" t="s">
        <v>2188</v>
      </c>
    </row>
    <row r="2340" spans="1:1" x14ac:dyDescent="0.2">
      <c r="A2340" s="12" t="s">
        <v>2189</v>
      </c>
    </row>
    <row r="2341" spans="1:1" x14ac:dyDescent="0.2">
      <c r="A2341" s="12" t="s">
        <v>2190</v>
      </c>
    </row>
    <row r="2342" spans="1:1" x14ac:dyDescent="0.2">
      <c r="A2342" s="12" t="s">
        <v>2191</v>
      </c>
    </row>
    <row r="2343" spans="1:1" x14ac:dyDescent="0.2">
      <c r="A2343" s="12" t="s">
        <v>2192</v>
      </c>
    </row>
    <row r="2344" spans="1:1" x14ac:dyDescent="0.2">
      <c r="A2344" s="12" t="s">
        <v>2193</v>
      </c>
    </row>
    <row r="2345" spans="1:1" x14ac:dyDescent="0.2">
      <c r="A2345" s="12" t="s">
        <v>2194</v>
      </c>
    </row>
    <row r="2346" spans="1:1" x14ac:dyDescent="0.2">
      <c r="A2346" s="12" t="s">
        <v>2195</v>
      </c>
    </row>
    <row r="2347" spans="1:1" x14ac:dyDescent="0.2">
      <c r="A2347" s="12" t="s">
        <v>2196</v>
      </c>
    </row>
    <row r="2348" spans="1:1" x14ac:dyDescent="0.2">
      <c r="A2348" s="12" t="s">
        <v>2197</v>
      </c>
    </row>
    <row r="2349" spans="1:1" x14ac:dyDescent="0.2">
      <c r="A2349" s="12" t="s">
        <v>2198</v>
      </c>
    </row>
    <row r="2350" spans="1:1" x14ac:dyDescent="0.2">
      <c r="A2350" s="12" t="s">
        <v>2199</v>
      </c>
    </row>
    <row r="2351" spans="1:1" x14ac:dyDescent="0.2">
      <c r="A2351" s="12" t="s">
        <v>2200</v>
      </c>
    </row>
    <row r="2352" spans="1:1" x14ac:dyDescent="0.2">
      <c r="A2352" s="12" t="s">
        <v>2201</v>
      </c>
    </row>
    <row r="2353" spans="1:1" x14ac:dyDescent="0.2">
      <c r="A2353" s="12" t="s">
        <v>2202</v>
      </c>
    </row>
    <row r="2354" spans="1:1" x14ac:dyDescent="0.2">
      <c r="A2354" s="12" t="s">
        <v>2203</v>
      </c>
    </row>
    <row r="2355" spans="1:1" x14ac:dyDescent="0.2">
      <c r="A2355" s="12" t="s">
        <v>2204</v>
      </c>
    </row>
    <row r="2356" spans="1:1" x14ac:dyDescent="0.2">
      <c r="A2356" s="12" t="s">
        <v>2205</v>
      </c>
    </row>
    <row r="2357" spans="1:1" x14ac:dyDescent="0.2">
      <c r="A2357" s="12" t="s">
        <v>2206</v>
      </c>
    </row>
    <row r="2358" spans="1:1" x14ac:dyDescent="0.2">
      <c r="A2358" s="12" t="s">
        <v>2206</v>
      </c>
    </row>
    <row r="2359" spans="1:1" x14ac:dyDescent="0.2">
      <c r="A2359" s="12" t="s">
        <v>2207</v>
      </c>
    </row>
    <row r="2360" spans="1:1" x14ac:dyDescent="0.2">
      <c r="A2360" s="12" t="s">
        <v>2208</v>
      </c>
    </row>
    <row r="2361" spans="1:1" x14ac:dyDescent="0.2">
      <c r="A2361" s="12" t="s">
        <v>2209</v>
      </c>
    </row>
    <row r="2362" spans="1:1" x14ac:dyDescent="0.2">
      <c r="A2362" s="12" t="s">
        <v>2210</v>
      </c>
    </row>
    <row r="2363" spans="1:1" x14ac:dyDescent="0.2">
      <c r="A2363" s="12" t="s">
        <v>2211</v>
      </c>
    </row>
    <row r="2364" spans="1:1" x14ac:dyDescent="0.2">
      <c r="A2364" s="12" t="s">
        <v>2212</v>
      </c>
    </row>
    <row r="2365" spans="1:1" x14ac:dyDescent="0.2">
      <c r="A2365" s="12" t="s">
        <v>2213</v>
      </c>
    </row>
    <row r="2366" spans="1:1" x14ac:dyDescent="0.2">
      <c r="A2366" s="12" t="s">
        <v>2214</v>
      </c>
    </row>
    <row r="2367" spans="1:1" x14ac:dyDescent="0.2">
      <c r="A2367" s="12" t="s">
        <v>369</v>
      </c>
    </row>
    <row r="2368" spans="1:1" x14ac:dyDescent="0.2">
      <c r="A2368" s="12" t="s">
        <v>369</v>
      </c>
    </row>
    <row r="2369" spans="1:1" x14ac:dyDescent="0.2">
      <c r="A2369" s="12" t="s">
        <v>2215</v>
      </c>
    </row>
    <row r="2370" spans="1:1" x14ac:dyDescent="0.2">
      <c r="A2370" s="12" t="s">
        <v>2216</v>
      </c>
    </row>
    <row r="2371" spans="1:1" x14ac:dyDescent="0.2">
      <c r="A2371" s="12" t="s">
        <v>2217</v>
      </c>
    </row>
    <row r="2372" spans="1:1" x14ac:dyDescent="0.2">
      <c r="A2372" s="12" t="s">
        <v>2218</v>
      </c>
    </row>
    <row r="2373" spans="1:1" x14ac:dyDescent="0.2">
      <c r="A2373" s="12" t="s">
        <v>2219</v>
      </c>
    </row>
    <row r="2374" spans="1:1" x14ac:dyDescent="0.2">
      <c r="A2374" s="12" t="s">
        <v>2220</v>
      </c>
    </row>
    <row r="2375" spans="1:1" x14ac:dyDescent="0.2">
      <c r="A2375" s="12" t="s">
        <v>2221</v>
      </c>
    </row>
    <row r="2376" spans="1:1" x14ac:dyDescent="0.2">
      <c r="A2376" s="12" t="s">
        <v>2222</v>
      </c>
    </row>
    <row r="2377" spans="1:1" x14ac:dyDescent="0.2">
      <c r="A2377" s="12" t="s">
        <v>2223</v>
      </c>
    </row>
    <row r="2378" spans="1:1" x14ac:dyDescent="0.2">
      <c r="A2378" s="12" t="s">
        <v>2224</v>
      </c>
    </row>
    <row r="2379" spans="1:1" x14ac:dyDescent="0.2">
      <c r="A2379" s="12" t="s">
        <v>2225</v>
      </c>
    </row>
    <row r="2380" spans="1:1" x14ac:dyDescent="0.2">
      <c r="A2380" s="12" t="s">
        <v>2226</v>
      </c>
    </row>
    <row r="2381" spans="1:1" x14ac:dyDescent="0.2">
      <c r="A2381" s="12" t="s">
        <v>2227</v>
      </c>
    </row>
    <row r="2382" spans="1:1" x14ac:dyDescent="0.2">
      <c r="A2382" s="12" t="s">
        <v>371</v>
      </c>
    </row>
    <row r="2383" spans="1:1" x14ac:dyDescent="0.2">
      <c r="A2383" s="12" t="s">
        <v>2228</v>
      </c>
    </row>
    <row r="2384" spans="1:1" x14ac:dyDescent="0.2">
      <c r="A2384" s="12" t="s">
        <v>2229</v>
      </c>
    </row>
    <row r="2385" spans="1:1" x14ac:dyDescent="0.2">
      <c r="A2385" s="12" t="s">
        <v>2230</v>
      </c>
    </row>
    <row r="2386" spans="1:1" x14ac:dyDescent="0.2">
      <c r="A2386" s="12" t="s">
        <v>2231</v>
      </c>
    </row>
    <row r="2387" spans="1:1" x14ac:dyDescent="0.2">
      <c r="A2387" s="12" t="s">
        <v>2232</v>
      </c>
    </row>
    <row r="2388" spans="1:1" x14ac:dyDescent="0.2">
      <c r="A2388" s="12" t="s">
        <v>2233</v>
      </c>
    </row>
    <row r="2389" spans="1:1" x14ac:dyDescent="0.2">
      <c r="A2389" s="12" t="s">
        <v>2234</v>
      </c>
    </row>
    <row r="2390" spans="1:1" x14ac:dyDescent="0.2">
      <c r="A2390" s="12" t="s">
        <v>2235</v>
      </c>
    </row>
    <row r="2391" spans="1:1" x14ac:dyDescent="0.2">
      <c r="A2391" s="12" t="s">
        <v>2236</v>
      </c>
    </row>
    <row r="2392" spans="1:1" x14ac:dyDescent="0.2">
      <c r="A2392" s="12" t="s">
        <v>2237</v>
      </c>
    </row>
    <row r="2393" spans="1:1" x14ac:dyDescent="0.2">
      <c r="A2393" s="12" t="s">
        <v>2238</v>
      </c>
    </row>
    <row r="2394" spans="1:1" x14ac:dyDescent="0.2">
      <c r="A2394" s="12" t="s">
        <v>2239</v>
      </c>
    </row>
    <row r="2395" spans="1:1" x14ac:dyDescent="0.2">
      <c r="A2395" s="12" t="s">
        <v>2240</v>
      </c>
    </row>
    <row r="2396" spans="1:1" x14ac:dyDescent="0.2">
      <c r="A2396" s="12" t="s">
        <v>2241</v>
      </c>
    </row>
    <row r="2397" spans="1:1" x14ac:dyDescent="0.2">
      <c r="A2397" s="12" t="s">
        <v>2242</v>
      </c>
    </row>
    <row r="2398" spans="1:1" x14ac:dyDescent="0.2">
      <c r="A2398" s="12" t="s">
        <v>2243</v>
      </c>
    </row>
    <row r="2399" spans="1:1" x14ac:dyDescent="0.2">
      <c r="A2399" s="12" t="s">
        <v>2244</v>
      </c>
    </row>
    <row r="2400" spans="1:1" x14ac:dyDescent="0.2">
      <c r="A2400" s="12" t="s">
        <v>2245</v>
      </c>
    </row>
    <row r="2401" spans="1:1" x14ac:dyDescent="0.2">
      <c r="A2401" s="12" t="s">
        <v>2246</v>
      </c>
    </row>
    <row r="2402" spans="1:1" x14ac:dyDescent="0.2">
      <c r="A2402" s="12" t="s">
        <v>2247</v>
      </c>
    </row>
    <row r="2403" spans="1:1" x14ac:dyDescent="0.2">
      <c r="A2403" s="12" t="s">
        <v>2248</v>
      </c>
    </row>
    <row r="2404" spans="1:1" x14ac:dyDescent="0.2">
      <c r="A2404" s="12" t="s">
        <v>2249</v>
      </c>
    </row>
    <row r="2405" spans="1:1" x14ac:dyDescent="0.2">
      <c r="A2405" s="12" t="s">
        <v>2250</v>
      </c>
    </row>
    <row r="2406" spans="1:1" x14ac:dyDescent="0.2">
      <c r="A2406" s="12" t="s">
        <v>2251</v>
      </c>
    </row>
    <row r="2407" spans="1:1" x14ac:dyDescent="0.2">
      <c r="A2407" s="12" t="s">
        <v>2252</v>
      </c>
    </row>
    <row r="2408" spans="1:1" x14ac:dyDescent="0.2">
      <c r="A2408" s="12" t="s">
        <v>2253</v>
      </c>
    </row>
    <row r="2409" spans="1:1" x14ac:dyDescent="0.2">
      <c r="A2409" s="12" t="s">
        <v>2254</v>
      </c>
    </row>
    <row r="2410" spans="1:1" x14ac:dyDescent="0.2">
      <c r="A2410" s="12" t="s">
        <v>2255</v>
      </c>
    </row>
    <row r="2411" spans="1:1" x14ac:dyDescent="0.2">
      <c r="A2411" s="12" t="s">
        <v>2255</v>
      </c>
    </row>
    <row r="2412" spans="1:1" x14ac:dyDescent="0.2">
      <c r="A2412" s="12" t="s">
        <v>2256</v>
      </c>
    </row>
    <row r="2413" spans="1:1" x14ac:dyDescent="0.2">
      <c r="A2413" s="12" t="s">
        <v>2257</v>
      </c>
    </row>
    <row r="2414" spans="1:1" x14ac:dyDescent="0.2">
      <c r="A2414" s="12" t="s">
        <v>2258</v>
      </c>
    </row>
    <row r="2415" spans="1:1" x14ac:dyDescent="0.2">
      <c r="A2415" s="12" t="s">
        <v>2259</v>
      </c>
    </row>
    <row r="2416" spans="1:1" x14ac:dyDescent="0.2">
      <c r="A2416" s="12" t="s">
        <v>2260</v>
      </c>
    </row>
    <row r="2417" spans="1:1" x14ac:dyDescent="0.2">
      <c r="A2417" s="12" t="s">
        <v>2261</v>
      </c>
    </row>
    <row r="2418" spans="1:1" x14ac:dyDescent="0.2">
      <c r="A2418" s="12" t="s">
        <v>2262</v>
      </c>
    </row>
    <row r="2419" spans="1:1" x14ac:dyDescent="0.2">
      <c r="A2419" s="12" t="s">
        <v>2263</v>
      </c>
    </row>
    <row r="2420" spans="1:1" x14ac:dyDescent="0.2">
      <c r="A2420" s="12" t="s">
        <v>2264</v>
      </c>
    </row>
    <row r="2421" spans="1:1" x14ac:dyDescent="0.2">
      <c r="A2421" s="12" t="s">
        <v>2265</v>
      </c>
    </row>
    <row r="2422" spans="1:1" x14ac:dyDescent="0.2">
      <c r="A2422" s="12" t="s">
        <v>2266</v>
      </c>
    </row>
    <row r="2423" spans="1:1" x14ac:dyDescent="0.2">
      <c r="A2423" s="12" t="s">
        <v>2267</v>
      </c>
    </row>
    <row r="2424" spans="1:1" x14ac:dyDescent="0.2">
      <c r="A2424" s="12" t="s">
        <v>2268</v>
      </c>
    </row>
    <row r="2425" spans="1:1" x14ac:dyDescent="0.2">
      <c r="A2425" s="12" t="s">
        <v>2269</v>
      </c>
    </row>
    <row r="2426" spans="1:1" x14ac:dyDescent="0.2">
      <c r="A2426" s="12" t="s">
        <v>2269</v>
      </c>
    </row>
    <row r="2427" spans="1:1" x14ac:dyDescent="0.2">
      <c r="A2427" s="12" t="s">
        <v>2270</v>
      </c>
    </row>
    <row r="2428" spans="1:1" x14ac:dyDescent="0.2">
      <c r="A2428" s="12" t="s">
        <v>2271</v>
      </c>
    </row>
    <row r="2429" spans="1:1" x14ac:dyDescent="0.2">
      <c r="A2429" s="12" t="s">
        <v>2272</v>
      </c>
    </row>
    <row r="2430" spans="1:1" x14ac:dyDescent="0.2">
      <c r="A2430" s="12" t="s">
        <v>2273</v>
      </c>
    </row>
    <row r="2431" spans="1:1" x14ac:dyDescent="0.2">
      <c r="A2431" s="12" t="s">
        <v>2274</v>
      </c>
    </row>
    <row r="2432" spans="1:1" x14ac:dyDescent="0.2">
      <c r="A2432" s="12" t="s">
        <v>2275</v>
      </c>
    </row>
    <row r="2433" spans="1:1" x14ac:dyDescent="0.2">
      <c r="A2433" s="12" t="s">
        <v>2276</v>
      </c>
    </row>
    <row r="2434" spans="1:1" x14ac:dyDescent="0.2">
      <c r="A2434" s="12" t="s">
        <v>2277</v>
      </c>
    </row>
    <row r="2435" spans="1:1" x14ac:dyDescent="0.2">
      <c r="A2435" s="12" t="s">
        <v>2278</v>
      </c>
    </row>
    <row r="2436" spans="1:1" x14ac:dyDescent="0.2">
      <c r="A2436" s="12" t="s">
        <v>2279</v>
      </c>
    </row>
    <row r="2437" spans="1:1" x14ac:dyDescent="0.2">
      <c r="A2437" s="12" t="s">
        <v>2280</v>
      </c>
    </row>
    <row r="2438" spans="1:1" x14ac:dyDescent="0.2">
      <c r="A2438" s="12" t="s">
        <v>2281</v>
      </c>
    </row>
    <row r="2439" spans="1:1" x14ac:dyDescent="0.2">
      <c r="A2439" s="12" t="s">
        <v>2282</v>
      </c>
    </row>
    <row r="2440" spans="1:1" x14ac:dyDescent="0.2">
      <c r="A2440" s="12" t="s">
        <v>2283</v>
      </c>
    </row>
    <row r="2441" spans="1:1" x14ac:dyDescent="0.2">
      <c r="A2441" s="12" t="s">
        <v>2284</v>
      </c>
    </row>
    <row r="2442" spans="1:1" x14ac:dyDescent="0.2">
      <c r="A2442" s="12" t="s">
        <v>2285</v>
      </c>
    </row>
    <row r="2443" spans="1:1" x14ac:dyDescent="0.2">
      <c r="A2443" s="12" t="s">
        <v>2286</v>
      </c>
    </row>
    <row r="2444" spans="1:1" x14ac:dyDescent="0.2">
      <c r="A2444" s="12" t="s">
        <v>2287</v>
      </c>
    </row>
    <row r="2445" spans="1:1" x14ac:dyDescent="0.2">
      <c r="A2445" s="12" t="s">
        <v>2287</v>
      </c>
    </row>
    <row r="2446" spans="1:1" x14ac:dyDescent="0.2">
      <c r="A2446" s="12" t="s">
        <v>382</v>
      </c>
    </row>
    <row r="2447" spans="1:1" x14ac:dyDescent="0.2">
      <c r="A2447" s="12" t="s">
        <v>2288</v>
      </c>
    </row>
    <row r="2448" spans="1:1" x14ac:dyDescent="0.2">
      <c r="A2448" s="12" t="s">
        <v>2289</v>
      </c>
    </row>
    <row r="2449" spans="1:1" x14ac:dyDescent="0.2">
      <c r="A2449" s="12" t="s">
        <v>2290</v>
      </c>
    </row>
    <row r="2450" spans="1:1" x14ac:dyDescent="0.2">
      <c r="A2450" s="12" t="s">
        <v>383</v>
      </c>
    </row>
    <row r="2451" spans="1:1" x14ac:dyDescent="0.2">
      <c r="A2451" s="12" t="s">
        <v>2291</v>
      </c>
    </row>
    <row r="2452" spans="1:1" x14ac:dyDescent="0.2">
      <c r="A2452" s="12" t="s">
        <v>2292</v>
      </c>
    </row>
    <row r="2453" spans="1:1" x14ac:dyDescent="0.2">
      <c r="A2453" s="12" t="s">
        <v>2293</v>
      </c>
    </row>
    <row r="2454" spans="1:1" x14ac:dyDescent="0.2">
      <c r="A2454" s="12" t="s">
        <v>384</v>
      </c>
    </row>
    <row r="2455" spans="1:1" x14ac:dyDescent="0.2">
      <c r="A2455" s="12" t="s">
        <v>2294</v>
      </c>
    </row>
    <row r="2456" spans="1:1" x14ac:dyDescent="0.2">
      <c r="A2456" s="12" t="s">
        <v>2295</v>
      </c>
    </row>
    <row r="2457" spans="1:1" x14ac:dyDescent="0.2">
      <c r="A2457" s="12" t="s">
        <v>2296</v>
      </c>
    </row>
    <row r="2458" spans="1:1" x14ac:dyDescent="0.2">
      <c r="A2458" s="12" t="s">
        <v>2297</v>
      </c>
    </row>
    <row r="2459" spans="1:1" x14ac:dyDescent="0.2">
      <c r="A2459" s="12" t="s">
        <v>388</v>
      </c>
    </row>
    <row r="2460" spans="1:1" x14ac:dyDescent="0.2">
      <c r="A2460" s="12" t="s">
        <v>388</v>
      </c>
    </row>
    <row r="2461" spans="1:1" x14ac:dyDescent="0.2">
      <c r="A2461" s="12" t="s">
        <v>2298</v>
      </c>
    </row>
    <row r="2462" spans="1:1" x14ac:dyDescent="0.2">
      <c r="A2462" s="12" t="s">
        <v>2299</v>
      </c>
    </row>
    <row r="2463" spans="1:1" x14ac:dyDescent="0.2">
      <c r="A2463" s="12" t="s">
        <v>2300</v>
      </c>
    </row>
    <row r="2464" spans="1:1" x14ac:dyDescent="0.2">
      <c r="A2464" s="12" t="s">
        <v>2301</v>
      </c>
    </row>
    <row r="2465" spans="1:1" x14ac:dyDescent="0.2">
      <c r="A2465" s="12" t="s">
        <v>2302</v>
      </c>
    </row>
    <row r="2466" spans="1:1" x14ac:dyDescent="0.2">
      <c r="A2466" s="12" t="s">
        <v>2303</v>
      </c>
    </row>
    <row r="2467" spans="1:1" x14ac:dyDescent="0.2">
      <c r="A2467" s="12" t="s">
        <v>2304</v>
      </c>
    </row>
    <row r="2468" spans="1:1" x14ac:dyDescent="0.2">
      <c r="A2468" s="12" t="s">
        <v>2305</v>
      </c>
    </row>
    <row r="2469" spans="1:1" x14ac:dyDescent="0.2">
      <c r="A2469" s="12" t="s">
        <v>2306</v>
      </c>
    </row>
    <row r="2470" spans="1:1" x14ac:dyDescent="0.2">
      <c r="A2470" s="12" t="s">
        <v>2307</v>
      </c>
    </row>
    <row r="2471" spans="1:1" x14ac:dyDescent="0.2">
      <c r="A2471" s="12" t="s">
        <v>2308</v>
      </c>
    </row>
    <row r="2472" spans="1:1" x14ac:dyDescent="0.2">
      <c r="A2472" s="12" t="s">
        <v>2309</v>
      </c>
    </row>
    <row r="2473" spans="1:1" x14ac:dyDescent="0.2">
      <c r="A2473" s="12" t="s">
        <v>2310</v>
      </c>
    </row>
    <row r="2474" spans="1:1" x14ac:dyDescent="0.2">
      <c r="A2474" s="12" t="s">
        <v>2311</v>
      </c>
    </row>
    <row r="2475" spans="1:1" x14ac:dyDescent="0.2">
      <c r="A2475" s="12" t="s">
        <v>2312</v>
      </c>
    </row>
    <row r="2476" spans="1:1" x14ac:dyDescent="0.2">
      <c r="A2476" s="12" t="s">
        <v>2313</v>
      </c>
    </row>
    <row r="2477" spans="1:1" x14ac:dyDescent="0.2">
      <c r="A2477" s="12" t="s">
        <v>392</v>
      </c>
    </row>
    <row r="2478" spans="1:1" x14ac:dyDescent="0.2">
      <c r="A2478" s="12" t="s">
        <v>2314</v>
      </c>
    </row>
    <row r="2479" spans="1:1" x14ac:dyDescent="0.2">
      <c r="A2479" s="12" t="s">
        <v>2315</v>
      </c>
    </row>
    <row r="2480" spans="1:1" x14ac:dyDescent="0.2">
      <c r="A2480" s="12" t="s">
        <v>2316</v>
      </c>
    </row>
    <row r="2481" spans="1:1" x14ac:dyDescent="0.2">
      <c r="A2481" s="12" t="s">
        <v>2317</v>
      </c>
    </row>
    <row r="2482" spans="1:1" x14ac:dyDescent="0.2">
      <c r="A2482" s="12" t="s">
        <v>2318</v>
      </c>
    </row>
    <row r="2483" spans="1:1" x14ac:dyDescent="0.2">
      <c r="A2483" s="12" t="s">
        <v>2319</v>
      </c>
    </row>
    <row r="2484" spans="1:1" x14ac:dyDescent="0.2">
      <c r="A2484" s="12" t="s">
        <v>2320</v>
      </c>
    </row>
    <row r="2485" spans="1:1" x14ac:dyDescent="0.2">
      <c r="A2485" s="12" t="s">
        <v>2321</v>
      </c>
    </row>
    <row r="2486" spans="1:1" x14ac:dyDescent="0.2">
      <c r="A2486" s="12" t="s">
        <v>2322</v>
      </c>
    </row>
    <row r="2487" spans="1:1" x14ac:dyDescent="0.2">
      <c r="A2487" s="12" t="s">
        <v>2323</v>
      </c>
    </row>
    <row r="2488" spans="1:1" x14ac:dyDescent="0.2">
      <c r="A2488" s="12" t="s">
        <v>2324</v>
      </c>
    </row>
    <row r="2489" spans="1:1" x14ac:dyDescent="0.2">
      <c r="A2489" s="12" t="s">
        <v>2325</v>
      </c>
    </row>
    <row r="2490" spans="1:1" x14ac:dyDescent="0.2">
      <c r="A2490" s="12" t="s">
        <v>2326</v>
      </c>
    </row>
    <row r="2491" spans="1:1" x14ac:dyDescent="0.2">
      <c r="A2491" s="12" t="s">
        <v>2327</v>
      </c>
    </row>
    <row r="2492" spans="1:1" x14ac:dyDescent="0.2">
      <c r="A2492" s="12" t="s">
        <v>2328</v>
      </c>
    </row>
    <row r="2493" spans="1:1" x14ac:dyDescent="0.2">
      <c r="A2493" s="12" t="s">
        <v>2329</v>
      </c>
    </row>
    <row r="2494" spans="1:1" x14ac:dyDescent="0.2">
      <c r="A2494" s="12" t="s">
        <v>2330</v>
      </c>
    </row>
    <row r="2495" spans="1:1" x14ac:dyDescent="0.2">
      <c r="A2495" s="12" t="s">
        <v>2331</v>
      </c>
    </row>
    <row r="2496" spans="1:1" x14ac:dyDescent="0.2">
      <c r="A2496" s="12" t="s">
        <v>2332</v>
      </c>
    </row>
    <row r="2497" spans="1:1" x14ac:dyDescent="0.2">
      <c r="A2497" s="12" t="s">
        <v>2333</v>
      </c>
    </row>
    <row r="2498" spans="1:1" x14ac:dyDescent="0.2">
      <c r="A2498" s="12" t="s">
        <v>2334</v>
      </c>
    </row>
    <row r="2499" spans="1:1" x14ac:dyDescent="0.2">
      <c r="A2499" s="12" t="s">
        <v>2335</v>
      </c>
    </row>
    <row r="2500" spans="1:1" x14ac:dyDescent="0.2">
      <c r="A2500" s="12" t="s">
        <v>2336</v>
      </c>
    </row>
    <row r="2501" spans="1:1" x14ac:dyDescent="0.2">
      <c r="A2501" s="12" t="s">
        <v>2337</v>
      </c>
    </row>
    <row r="2502" spans="1:1" x14ac:dyDescent="0.2">
      <c r="A2502" s="12" t="s">
        <v>2338</v>
      </c>
    </row>
    <row r="2503" spans="1:1" x14ac:dyDescent="0.2">
      <c r="A2503" s="12" t="s">
        <v>2339</v>
      </c>
    </row>
    <row r="2504" spans="1:1" x14ac:dyDescent="0.2">
      <c r="A2504" s="12" t="s">
        <v>2340</v>
      </c>
    </row>
    <row r="2505" spans="1:1" x14ac:dyDescent="0.2">
      <c r="A2505" s="12" t="s">
        <v>2341</v>
      </c>
    </row>
    <row r="2506" spans="1:1" x14ac:dyDescent="0.2">
      <c r="A2506" s="12" t="s">
        <v>2342</v>
      </c>
    </row>
    <row r="2507" spans="1:1" x14ac:dyDescent="0.2">
      <c r="A2507" s="12" t="s">
        <v>2343</v>
      </c>
    </row>
    <row r="2508" spans="1:1" x14ac:dyDescent="0.2">
      <c r="A2508" s="12" t="s">
        <v>2344</v>
      </c>
    </row>
    <row r="2509" spans="1:1" x14ac:dyDescent="0.2">
      <c r="A2509" s="12" t="s">
        <v>2345</v>
      </c>
    </row>
    <row r="2510" spans="1:1" x14ac:dyDescent="0.2">
      <c r="A2510" s="12" t="s">
        <v>2346</v>
      </c>
    </row>
    <row r="2511" spans="1:1" x14ac:dyDescent="0.2">
      <c r="A2511" s="12" t="s">
        <v>2347</v>
      </c>
    </row>
    <row r="2512" spans="1:1" x14ac:dyDescent="0.2">
      <c r="A2512" s="12" t="s">
        <v>2348</v>
      </c>
    </row>
    <row r="2513" spans="1:1" x14ac:dyDescent="0.2">
      <c r="A2513" s="12" t="s">
        <v>2349</v>
      </c>
    </row>
    <row r="2514" spans="1:1" x14ac:dyDescent="0.2">
      <c r="A2514" s="12" t="s">
        <v>2350</v>
      </c>
    </row>
    <row r="2515" spans="1:1" x14ac:dyDescent="0.2">
      <c r="A2515" s="12" t="s">
        <v>2351</v>
      </c>
    </row>
    <row r="2516" spans="1:1" x14ac:dyDescent="0.2">
      <c r="A2516" s="12" t="s">
        <v>2352</v>
      </c>
    </row>
    <row r="2517" spans="1:1" x14ac:dyDescent="0.2">
      <c r="A2517" s="12" t="s">
        <v>2353</v>
      </c>
    </row>
    <row r="2518" spans="1:1" x14ac:dyDescent="0.2">
      <c r="A2518" s="12" t="s">
        <v>2354</v>
      </c>
    </row>
    <row r="2519" spans="1:1" x14ac:dyDescent="0.2">
      <c r="A2519" s="12" t="s">
        <v>2355</v>
      </c>
    </row>
    <row r="2520" spans="1:1" x14ac:dyDescent="0.2">
      <c r="A2520" s="12" t="s">
        <v>2356</v>
      </c>
    </row>
    <row r="2521" spans="1:1" x14ac:dyDescent="0.2">
      <c r="A2521" s="12" t="s">
        <v>2357</v>
      </c>
    </row>
    <row r="2522" spans="1:1" x14ac:dyDescent="0.2">
      <c r="A2522" s="12" t="s">
        <v>397</v>
      </c>
    </row>
    <row r="2523" spans="1:1" x14ac:dyDescent="0.2">
      <c r="A2523" s="12" t="s">
        <v>2358</v>
      </c>
    </row>
    <row r="2524" spans="1:1" x14ac:dyDescent="0.2">
      <c r="A2524" s="12" t="s">
        <v>2359</v>
      </c>
    </row>
    <row r="2525" spans="1:1" x14ac:dyDescent="0.2">
      <c r="A2525" s="12" t="s">
        <v>2360</v>
      </c>
    </row>
    <row r="2526" spans="1:1" x14ac:dyDescent="0.2">
      <c r="A2526" s="12" t="s">
        <v>2361</v>
      </c>
    </row>
    <row r="2527" spans="1:1" x14ac:dyDescent="0.2">
      <c r="A2527" s="12" t="s">
        <v>2362</v>
      </c>
    </row>
    <row r="2528" spans="1:1" x14ac:dyDescent="0.2">
      <c r="A2528" s="12" t="s">
        <v>2363</v>
      </c>
    </row>
    <row r="2529" spans="1:1" x14ac:dyDescent="0.2">
      <c r="A2529" s="12" t="s">
        <v>2364</v>
      </c>
    </row>
    <row r="2530" spans="1:1" x14ac:dyDescent="0.2">
      <c r="A2530" s="12" t="s">
        <v>2365</v>
      </c>
    </row>
    <row r="2531" spans="1:1" x14ac:dyDescent="0.2">
      <c r="A2531" s="12" t="s">
        <v>2365</v>
      </c>
    </row>
    <row r="2532" spans="1:1" x14ac:dyDescent="0.2">
      <c r="A2532" s="12" t="s">
        <v>2366</v>
      </c>
    </row>
    <row r="2533" spans="1:1" x14ac:dyDescent="0.2">
      <c r="A2533" s="12" t="s">
        <v>2367</v>
      </c>
    </row>
    <row r="2534" spans="1:1" x14ac:dyDescent="0.2">
      <c r="A2534" s="12" t="s">
        <v>2368</v>
      </c>
    </row>
    <row r="2535" spans="1:1" x14ac:dyDescent="0.2">
      <c r="A2535" s="12" t="s">
        <v>2369</v>
      </c>
    </row>
    <row r="2536" spans="1:1" x14ac:dyDescent="0.2">
      <c r="A2536" s="12" t="s">
        <v>2370</v>
      </c>
    </row>
    <row r="2537" spans="1:1" x14ac:dyDescent="0.2">
      <c r="A2537" s="12" t="s">
        <v>2371</v>
      </c>
    </row>
    <row r="2538" spans="1:1" x14ac:dyDescent="0.2">
      <c r="A2538" s="12" t="s">
        <v>2372</v>
      </c>
    </row>
    <row r="2539" spans="1:1" x14ac:dyDescent="0.2">
      <c r="A2539" s="12" t="s">
        <v>2373</v>
      </c>
    </row>
    <row r="2540" spans="1:1" x14ac:dyDescent="0.2">
      <c r="A2540" s="12" t="s">
        <v>2374</v>
      </c>
    </row>
    <row r="2541" spans="1:1" x14ac:dyDescent="0.2">
      <c r="A2541" s="12" t="s">
        <v>2375</v>
      </c>
    </row>
    <row r="2542" spans="1:1" x14ac:dyDescent="0.2">
      <c r="A2542" s="12" t="s">
        <v>2376</v>
      </c>
    </row>
    <row r="2543" spans="1:1" x14ac:dyDescent="0.2">
      <c r="A2543" s="12" t="s">
        <v>2377</v>
      </c>
    </row>
    <row r="2544" spans="1:1" x14ac:dyDescent="0.2">
      <c r="A2544" s="12" t="s">
        <v>2378</v>
      </c>
    </row>
    <row r="2545" spans="1:1" x14ac:dyDescent="0.2">
      <c r="A2545" s="12" t="s">
        <v>2379</v>
      </c>
    </row>
    <row r="2546" spans="1:1" x14ac:dyDescent="0.2">
      <c r="A2546" s="12" t="s">
        <v>2380</v>
      </c>
    </row>
    <row r="2547" spans="1:1" x14ac:dyDescent="0.2">
      <c r="A2547" s="12" t="s">
        <v>2381</v>
      </c>
    </row>
    <row r="2548" spans="1:1" x14ac:dyDescent="0.2">
      <c r="A2548" s="12" t="s">
        <v>2382</v>
      </c>
    </row>
    <row r="2549" spans="1:1" x14ac:dyDescent="0.2">
      <c r="A2549" s="12" t="s">
        <v>2383</v>
      </c>
    </row>
    <row r="2550" spans="1:1" x14ac:dyDescent="0.2">
      <c r="A2550" s="12" t="s">
        <v>2384</v>
      </c>
    </row>
    <row r="2551" spans="1:1" x14ac:dyDescent="0.2">
      <c r="A2551" s="12" t="s">
        <v>2385</v>
      </c>
    </row>
    <row r="2552" spans="1:1" x14ac:dyDescent="0.2">
      <c r="A2552" s="12" t="s">
        <v>2386</v>
      </c>
    </row>
    <row r="2553" spans="1:1" x14ac:dyDescent="0.2">
      <c r="A2553" s="12" t="s">
        <v>2387</v>
      </c>
    </row>
    <row r="2554" spans="1:1" x14ac:dyDescent="0.2">
      <c r="A2554" s="12" t="s">
        <v>2388</v>
      </c>
    </row>
    <row r="2555" spans="1:1" x14ac:dyDescent="0.2">
      <c r="A2555" s="12" t="s">
        <v>2389</v>
      </c>
    </row>
    <row r="2556" spans="1:1" x14ac:dyDescent="0.2">
      <c r="A2556" s="12" t="s">
        <v>2390</v>
      </c>
    </row>
    <row r="2557" spans="1:1" x14ac:dyDescent="0.2">
      <c r="A2557" s="12" t="s">
        <v>2391</v>
      </c>
    </row>
    <row r="2558" spans="1:1" x14ac:dyDescent="0.2">
      <c r="A2558" s="12" t="s">
        <v>2392</v>
      </c>
    </row>
    <row r="2559" spans="1:1" x14ac:dyDescent="0.2">
      <c r="A2559" s="12" t="s">
        <v>401</v>
      </c>
    </row>
    <row r="2560" spans="1:1" x14ac:dyDescent="0.2">
      <c r="A2560" s="12" t="s">
        <v>2393</v>
      </c>
    </row>
    <row r="2561" spans="1:1" x14ac:dyDescent="0.2">
      <c r="A2561" s="12" t="s">
        <v>2394</v>
      </c>
    </row>
    <row r="2562" spans="1:1" x14ac:dyDescent="0.2">
      <c r="A2562" s="12" t="s">
        <v>2395</v>
      </c>
    </row>
    <row r="2563" spans="1:1" x14ac:dyDescent="0.2">
      <c r="A2563" s="12" t="s">
        <v>2396</v>
      </c>
    </row>
    <row r="2564" spans="1:1" x14ac:dyDescent="0.2">
      <c r="A2564" s="12" t="s">
        <v>2397</v>
      </c>
    </row>
    <row r="2565" spans="1:1" x14ac:dyDescent="0.2">
      <c r="A2565" s="12" t="s">
        <v>2398</v>
      </c>
    </row>
    <row r="2566" spans="1:1" x14ac:dyDescent="0.2">
      <c r="A2566" s="12" t="s">
        <v>2399</v>
      </c>
    </row>
    <row r="2567" spans="1:1" x14ac:dyDescent="0.2">
      <c r="A2567" s="12" t="s">
        <v>2400</v>
      </c>
    </row>
    <row r="2568" spans="1:1" x14ac:dyDescent="0.2">
      <c r="A2568" s="12" t="s">
        <v>2401</v>
      </c>
    </row>
    <row r="2569" spans="1:1" x14ac:dyDescent="0.2">
      <c r="A2569" s="12" t="s">
        <v>2402</v>
      </c>
    </row>
    <row r="2570" spans="1:1" x14ac:dyDescent="0.2">
      <c r="A2570" s="12" t="s">
        <v>2403</v>
      </c>
    </row>
    <row r="2571" spans="1:1" x14ac:dyDescent="0.2">
      <c r="A2571" s="12" t="s">
        <v>2404</v>
      </c>
    </row>
    <row r="2572" spans="1:1" x14ac:dyDescent="0.2">
      <c r="A2572" s="12" t="s">
        <v>2404</v>
      </c>
    </row>
    <row r="2573" spans="1:1" x14ac:dyDescent="0.2">
      <c r="A2573" s="12" t="s">
        <v>2405</v>
      </c>
    </row>
    <row r="2574" spans="1:1" x14ac:dyDescent="0.2">
      <c r="A2574" s="12" t="s">
        <v>2406</v>
      </c>
    </row>
    <row r="2575" spans="1:1" x14ac:dyDescent="0.2">
      <c r="A2575" s="12" t="s">
        <v>2407</v>
      </c>
    </row>
    <row r="2576" spans="1:1" x14ac:dyDescent="0.2">
      <c r="A2576" s="12" t="s">
        <v>2408</v>
      </c>
    </row>
    <row r="2577" spans="1:1" x14ac:dyDescent="0.2">
      <c r="A2577" s="12" t="s">
        <v>2409</v>
      </c>
    </row>
    <row r="2578" spans="1:1" x14ac:dyDescent="0.2">
      <c r="A2578" s="12" t="s">
        <v>2410</v>
      </c>
    </row>
    <row r="2579" spans="1:1" x14ac:dyDescent="0.2">
      <c r="A2579" s="12" t="s">
        <v>2411</v>
      </c>
    </row>
    <row r="2580" spans="1:1" x14ac:dyDescent="0.2">
      <c r="A2580" s="12" t="s">
        <v>2412</v>
      </c>
    </row>
    <row r="2581" spans="1:1" x14ac:dyDescent="0.2">
      <c r="A2581" s="12" t="s">
        <v>2413</v>
      </c>
    </row>
    <row r="2582" spans="1:1" x14ac:dyDescent="0.2">
      <c r="A2582" s="12" t="s">
        <v>2414</v>
      </c>
    </row>
    <row r="2583" spans="1:1" x14ac:dyDescent="0.2">
      <c r="A2583" s="12" t="s">
        <v>2415</v>
      </c>
    </row>
    <row r="2584" spans="1:1" x14ac:dyDescent="0.2">
      <c r="A2584" s="12" t="s">
        <v>2416</v>
      </c>
    </row>
    <row r="2585" spans="1:1" x14ac:dyDescent="0.2">
      <c r="A2585" s="12" t="s">
        <v>2417</v>
      </c>
    </row>
    <row r="2586" spans="1:1" x14ac:dyDescent="0.2">
      <c r="A2586" s="12" t="s">
        <v>2418</v>
      </c>
    </row>
    <row r="2587" spans="1:1" x14ac:dyDescent="0.2">
      <c r="A2587" s="12" t="s">
        <v>2419</v>
      </c>
    </row>
    <row r="2588" spans="1:1" x14ac:dyDescent="0.2">
      <c r="A2588" s="12" t="s">
        <v>2420</v>
      </c>
    </row>
    <row r="2589" spans="1:1" x14ac:dyDescent="0.2">
      <c r="A2589" s="12" t="s">
        <v>2421</v>
      </c>
    </row>
    <row r="2590" spans="1:1" x14ac:dyDescent="0.2">
      <c r="A2590" s="12" t="s">
        <v>2422</v>
      </c>
    </row>
    <row r="2591" spans="1:1" x14ac:dyDescent="0.2">
      <c r="A2591" s="12" t="s">
        <v>2423</v>
      </c>
    </row>
    <row r="2592" spans="1:1" x14ac:dyDescent="0.2">
      <c r="A2592" s="12" t="s">
        <v>2424</v>
      </c>
    </row>
    <row r="2593" spans="1:1" x14ac:dyDescent="0.2">
      <c r="A2593" s="12" t="s">
        <v>2425</v>
      </c>
    </row>
    <row r="2594" spans="1:1" x14ac:dyDescent="0.2">
      <c r="A2594" s="12" t="s">
        <v>2426</v>
      </c>
    </row>
    <row r="2595" spans="1:1" x14ac:dyDescent="0.2">
      <c r="A2595" s="12" t="s">
        <v>2427</v>
      </c>
    </row>
    <row r="2596" spans="1:1" x14ac:dyDescent="0.2">
      <c r="A2596" s="12" t="s">
        <v>2428</v>
      </c>
    </row>
    <row r="2597" spans="1:1" x14ac:dyDescent="0.2">
      <c r="A2597" s="12" t="s">
        <v>2429</v>
      </c>
    </row>
    <row r="2598" spans="1:1" x14ac:dyDescent="0.2">
      <c r="A2598" s="12" t="s">
        <v>2430</v>
      </c>
    </row>
    <row r="2599" spans="1:1" x14ac:dyDescent="0.2">
      <c r="A2599" s="12" t="s">
        <v>2431</v>
      </c>
    </row>
    <row r="2600" spans="1:1" x14ac:dyDescent="0.2">
      <c r="A2600" s="12" t="s">
        <v>2432</v>
      </c>
    </row>
    <row r="2601" spans="1:1" x14ac:dyDescent="0.2">
      <c r="A2601" s="12" t="s">
        <v>2433</v>
      </c>
    </row>
    <row r="2602" spans="1:1" x14ac:dyDescent="0.2">
      <c r="A2602" s="12" t="s">
        <v>2434</v>
      </c>
    </row>
    <row r="2603" spans="1:1" x14ac:dyDescent="0.2">
      <c r="A2603" s="12" t="s">
        <v>2435</v>
      </c>
    </row>
    <row r="2604" spans="1:1" x14ac:dyDescent="0.2">
      <c r="A2604" s="12" t="s">
        <v>2436</v>
      </c>
    </row>
    <row r="2605" spans="1:1" x14ac:dyDescent="0.2">
      <c r="A2605" s="12" t="s">
        <v>2437</v>
      </c>
    </row>
    <row r="2606" spans="1:1" x14ac:dyDescent="0.2">
      <c r="A2606" s="12" t="s">
        <v>2437</v>
      </c>
    </row>
    <row r="2607" spans="1:1" x14ac:dyDescent="0.2">
      <c r="A2607" s="12" t="s">
        <v>2438</v>
      </c>
    </row>
    <row r="2608" spans="1:1" x14ac:dyDescent="0.2">
      <c r="A2608" s="12" t="s">
        <v>2439</v>
      </c>
    </row>
    <row r="2609" spans="1:1" x14ac:dyDescent="0.2">
      <c r="A2609" s="12" t="s">
        <v>2440</v>
      </c>
    </row>
    <row r="2610" spans="1:1" x14ac:dyDescent="0.2">
      <c r="A2610" s="12" t="s">
        <v>2441</v>
      </c>
    </row>
    <row r="2611" spans="1:1" x14ac:dyDescent="0.2">
      <c r="A2611" s="12" t="s">
        <v>2442</v>
      </c>
    </row>
    <row r="2612" spans="1:1" x14ac:dyDescent="0.2">
      <c r="A2612" s="12" t="s">
        <v>2443</v>
      </c>
    </row>
    <row r="2613" spans="1:1" x14ac:dyDescent="0.2">
      <c r="A2613" s="12" t="s">
        <v>2444</v>
      </c>
    </row>
    <row r="2614" spans="1:1" x14ac:dyDescent="0.2">
      <c r="A2614" s="12" t="s">
        <v>2445</v>
      </c>
    </row>
    <row r="2615" spans="1:1" x14ac:dyDescent="0.2">
      <c r="A2615" s="12" t="s">
        <v>2446</v>
      </c>
    </row>
    <row r="2616" spans="1:1" x14ac:dyDescent="0.2">
      <c r="A2616" s="12" t="s">
        <v>2447</v>
      </c>
    </row>
    <row r="2617" spans="1:1" x14ac:dyDescent="0.2">
      <c r="A2617" s="12" t="s">
        <v>2448</v>
      </c>
    </row>
    <row r="2618" spans="1:1" x14ac:dyDescent="0.2">
      <c r="A2618" s="12" t="s">
        <v>2449</v>
      </c>
    </row>
    <row r="2619" spans="1:1" x14ac:dyDescent="0.2">
      <c r="A2619" s="12" t="s">
        <v>2450</v>
      </c>
    </row>
    <row r="2620" spans="1:1" x14ac:dyDescent="0.2">
      <c r="A2620" s="12" t="s">
        <v>2451</v>
      </c>
    </row>
    <row r="2621" spans="1:1" x14ac:dyDescent="0.2">
      <c r="A2621" s="12" t="s">
        <v>2452</v>
      </c>
    </row>
    <row r="2622" spans="1:1" x14ac:dyDescent="0.2">
      <c r="A2622" s="12" t="s">
        <v>2453</v>
      </c>
    </row>
    <row r="2623" spans="1:1" x14ac:dyDescent="0.2">
      <c r="A2623" s="12" t="s">
        <v>2453</v>
      </c>
    </row>
    <row r="2624" spans="1:1" x14ac:dyDescent="0.2">
      <c r="A2624" s="12" t="s">
        <v>2454</v>
      </c>
    </row>
    <row r="2625" spans="1:1" x14ac:dyDescent="0.2">
      <c r="A2625" s="12" t="s">
        <v>2455</v>
      </c>
    </row>
    <row r="2626" spans="1:1" x14ac:dyDescent="0.2">
      <c r="A2626" s="12" t="s">
        <v>2456</v>
      </c>
    </row>
    <row r="2627" spans="1:1" x14ac:dyDescent="0.2">
      <c r="A2627" s="12" t="s">
        <v>2457</v>
      </c>
    </row>
    <row r="2628" spans="1:1" x14ac:dyDescent="0.2">
      <c r="A2628" s="12" t="s">
        <v>2458</v>
      </c>
    </row>
    <row r="2629" spans="1:1" x14ac:dyDescent="0.2">
      <c r="A2629" s="12" t="s">
        <v>2459</v>
      </c>
    </row>
    <row r="2630" spans="1:1" x14ac:dyDescent="0.2">
      <c r="A2630" s="12" t="s">
        <v>2460</v>
      </c>
    </row>
    <row r="2631" spans="1:1" x14ac:dyDescent="0.2">
      <c r="A2631" s="12" t="s">
        <v>2461</v>
      </c>
    </row>
    <row r="2632" spans="1:1" x14ac:dyDescent="0.2">
      <c r="A2632" s="12" t="s">
        <v>2462</v>
      </c>
    </row>
    <row r="2633" spans="1:1" x14ac:dyDescent="0.2">
      <c r="A2633" s="12" t="s">
        <v>2463</v>
      </c>
    </row>
    <row r="2634" spans="1:1" x14ac:dyDescent="0.2">
      <c r="A2634" s="12" t="s">
        <v>2463</v>
      </c>
    </row>
    <row r="2635" spans="1:1" x14ac:dyDescent="0.2">
      <c r="A2635" s="12" t="s">
        <v>2464</v>
      </c>
    </row>
    <row r="2636" spans="1:1" x14ac:dyDescent="0.2">
      <c r="A2636" s="12" t="s">
        <v>2465</v>
      </c>
    </row>
    <row r="2637" spans="1:1" x14ac:dyDescent="0.2">
      <c r="A2637" s="12" t="s">
        <v>2466</v>
      </c>
    </row>
    <row r="2638" spans="1:1" x14ac:dyDescent="0.2">
      <c r="A2638" s="12" t="s">
        <v>2467</v>
      </c>
    </row>
    <row r="2639" spans="1:1" x14ac:dyDescent="0.2">
      <c r="A2639" s="12" t="s">
        <v>2468</v>
      </c>
    </row>
    <row r="2640" spans="1:1" x14ac:dyDescent="0.2">
      <c r="A2640" s="12" t="s">
        <v>2469</v>
      </c>
    </row>
    <row r="2641" spans="1:1" x14ac:dyDescent="0.2">
      <c r="A2641" s="12" t="s">
        <v>2470</v>
      </c>
    </row>
    <row r="2642" spans="1:1" x14ac:dyDescent="0.2">
      <c r="A2642" s="12" t="s">
        <v>2471</v>
      </c>
    </row>
    <row r="2643" spans="1:1" x14ac:dyDescent="0.2">
      <c r="A2643" s="12" t="s">
        <v>411</v>
      </c>
    </row>
    <row r="2644" spans="1:1" x14ac:dyDescent="0.2">
      <c r="A2644" s="12" t="s">
        <v>411</v>
      </c>
    </row>
    <row r="2645" spans="1:1" x14ac:dyDescent="0.2">
      <c r="A2645" s="12" t="s">
        <v>2472</v>
      </c>
    </row>
    <row r="2646" spans="1:1" x14ac:dyDescent="0.2">
      <c r="A2646" s="12" t="s">
        <v>2473</v>
      </c>
    </row>
    <row r="2647" spans="1:1" x14ac:dyDescent="0.2">
      <c r="A2647" s="12" t="s">
        <v>2474</v>
      </c>
    </row>
    <row r="2648" spans="1:1" x14ac:dyDescent="0.2">
      <c r="A2648" s="12" t="s">
        <v>2475</v>
      </c>
    </row>
    <row r="2649" spans="1:1" x14ac:dyDescent="0.2">
      <c r="A2649" s="12" t="s">
        <v>2476</v>
      </c>
    </row>
    <row r="2650" spans="1:1" x14ac:dyDescent="0.2">
      <c r="A2650" s="12" t="s">
        <v>2477</v>
      </c>
    </row>
    <row r="2651" spans="1:1" x14ac:dyDescent="0.2">
      <c r="A2651" s="12" t="s">
        <v>2478</v>
      </c>
    </row>
    <row r="2652" spans="1:1" x14ac:dyDescent="0.2">
      <c r="A2652" s="12" t="s">
        <v>2479</v>
      </c>
    </row>
    <row r="2653" spans="1:1" x14ac:dyDescent="0.2">
      <c r="A2653" s="12" t="s">
        <v>2480</v>
      </c>
    </row>
    <row r="2654" spans="1:1" x14ac:dyDescent="0.2">
      <c r="A2654" s="12" t="s">
        <v>2481</v>
      </c>
    </row>
    <row r="2655" spans="1:1" x14ac:dyDescent="0.2">
      <c r="A2655" s="12" t="s">
        <v>2482</v>
      </c>
    </row>
    <row r="2656" spans="1:1" x14ac:dyDescent="0.2">
      <c r="A2656" s="12" t="s">
        <v>2483</v>
      </c>
    </row>
    <row r="2657" spans="1:1" x14ac:dyDescent="0.2">
      <c r="A2657" s="12" t="s">
        <v>2484</v>
      </c>
    </row>
    <row r="2658" spans="1:1" x14ac:dyDescent="0.2">
      <c r="A2658" s="12" t="s">
        <v>2485</v>
      </c>
    </row>
    <row r="2659" spans="1:1" x14ac:dyDescent="0.2">
      <c r="A2659" s="12" t="s">
        <v>2486</v>
      </c>
    </row>
    <row r="2660" spans="1:1" x14ac:dyDescent="0.2">
      <c r="A2660" s="12" t="s">
        <v>2487</v>
      </c>
    </row>
    <row r="2661" spans="1:1" x14ac:dyDescent="0.2">
      <c r="A2661" s="12" t="s">
        <v>2488</v>
      </c>
    </row>
    <row r="2662" spans="1:1" x14ac:dyDescent="0.2">
      <c r="A2662" s="12" t="s">
        <v>2489</v>
      </c>
    </row>
    <row r="2663" spans="1:1" x14ac:dyDescent="0.2">
      <c r="A2663" s="12" t="s">
        <v>2490</v>
      </c>
    </row>
    <row r="2664" spans="1:1" x14ac:dyDescent="0.2">
      <c r="A2664" s="12" t="s">
        <v>2491</v>
      </c>
    </row>
    <row r="2665" spans="1:1" x14ac:dyDescent="0.2">
      <c r="A2665" s="12" t="s">
        <v>2492</v>
      </c>
    </row>
    <row r="2666" spans="1:1" x14ac:dyDescent="0.2">
      <c r="A2666" s="12" t="s">
        <v>2493</v>
      </c>
    </row>
    <row r="2667" spans="1:1" x14ac:dyDescent="0.2">
      <c r="A2667" s="12" t="s">
        <v>2494</v>
      </c>
    </row>
    <row r="2668" spans="1:1" x14ac:dyDescent="0.2">
      <c r="A2668" s="12" t="s">
        <v>2495</v>
      </c>
    </row>
    <row r="2669" spans="1:1" x14ac:dyDescent="0.2">
      <c r="A2669" s="12" t="s">
        <v>2496</v>
      </c>
    </row>
    <row r="2670" spans="1:1" x14ac:dyDescent="0.2">
      <c r="A2670" s="12" t="s">
        <v>2497</v>
      </c>
    </row>
    <row r="2671" spans="1:1" x14ac:dyDescent="0.2">
      <c r="A2671" s="12" t="s">
        <v>2498</v>
      </c>
    </row>
    <row r="2672" spans="1:1" x14ac:dyDescent="0.2">
      <c r="A2672" s="12" t="s">
        <v>2499</v>
      </c>
    </row>
    <row r="2673" spans="1:1" x14ac:dyDescent="0.2">
      <c r="A2673" s="12" t="s">
        <v>2500</v>
      </c>
    </row>
    <row r="2674" spans="1:1" x14ac:dyDescent="0.2">
      <c r="A2674" s="12" t="s">
        <v>2501</v>
      </c>
    </row>
    <row r="2675" spans="1:1" x14ac:dyDescent="0.2">
      <c r="A2675" s="12" t="s">
        <v>2502</v>
      </c>
    </row>
    <row r="2676" spans="1:1" x14ac:dyDescent="0.2">
      <c r="A2676" s="12" t="s">
        <v>419</v>
      </c>
    </row>
    <row r="2677" spans="1:1" x14ac:dyDescent="0.2">
      <c r="A2677" s="12" t="s">
        <v>2503</v>
      </c>
    </row>
    <row r="2678" spans="1:1" x14ac:dyDescent="0.2">
      <c r="A2678" s="12" t="s">
        <v>2504</v>
      </c>
    </row>
    <row r="2679" spans="1:1" x14ac:dyDescent="0.2">
      <c r="A2679" s="12" t="s">
        <v>2505</v>
      </c>
    </row>
    <row r="2680" spans="1:1" x14ac:dyDescent="0.2">
      <c r="A2680" s="12" t="s">
        <v>2506</v>
      </c>
    </row>
    <row r="2681" spans="1:1" x14ac:dyDescent="0.2">
      <c r="A2681" s="12" t="s">
        <v>2507</v>
      </c>
    </row>
    <row r="2682" spans="1:1" x14ac:dyDescent="0.2">
      <c r="A2682" s="12" t="s">
        <v>2508</v>
      </c>
    </row>
    <row r="2683" spans="1:1" x14ac:dyDescent="0.2">
      <c r="A2683" s="12" t="s">
        <v>2509</v>
      </c>
    </row>
    <row r="2684" spans="1:1" x14ac:dyDescent="0.2">
      <c r="A2684" s="12" t="s">
        <v>2510</v>
      </c>
    </row>
    <row r="2685" spans="1:1" x14ac:dyDescent="0.2">
      <c r="A2685" s="12" t="s">
        <v>2511</v>
      </c>
    </row>
    <row r="2686" spans="1:1" x14ac:dyDescent="0.2">
      <c r="A2686" s="12" t="s">
        <v>2512</v>
      </c>
    </row>
    <row r="2687" spans="1:1" x14ac:dyDescent="0.2">
      <c r="A2687" s="12" t="s">
        <v>2513</v>
      </c>
    </row>
    <row r="2688" spans="1:1" x14ac:dyDescent="0.2">
      <c r="A2688" s="12" t="s">
        <v>2514</v>
      </c>
    </row>
    <row r="2689" spans="1:1" x14ac:dyDescent="0.2">
      <c r="A2689" s="12" t="s">
        <v>2515</v>
      </c>
    </row>
    <row r="2690" spans="1:1" x14ac:dyDescent="0.2">
      <c r="A2690" s="12" t="s">
        <v>2516</v>
      </c>
    </row>
    <row r="2691" spans="1:1" x14ac:dyDescent="0.2">
      <c r="A2691" s="12" t="s">
        <v>2517</v>
      </c>
    </row>
    <row r="2692" spans="1:1" x14ac:dyDescent="0.2">
      <c r="A2692" s="12" t="s">
        <v>2518</v>
      </c>
    </row>
    <row r="2693" spans="1:1" x14ac:dyDescent="0.2">
      <c r="A2693" s="12" t="s">
        <v>2519</v>
      </c>
    </row>
    <row r="2694" spans="1:1" x14ac:dyDescent="0.2">
      <c r="A2694" s="12" t="s">
        <v>2520</v>
      </c>
    </row>
    <row r="2695" spans="1:1" x14ac:dyDescent="0.2">
      <c r="A2695" s="12" t="s">
        <v>2521</v>
      </c>
    </row>
    <row r="2696" spans="1:1" x14ac:dyDescent="0.2">
      <c r="A2696" s="12" t="s">
        <v>2522</v>
      </c>
    </row>
    <row r="2697" spans="1:1" x14ac:dyDescent="0.2">
      <c r="A2697" s="12" t="s">
        <v>425</v>
      </c>
    </row>
    <row r="2698" spans="1:1" x14ac:dyDescent="0.2">
      <c r="A2698" s="12" t="s">
        <v>2523</v>
      </c>
    </row>
    <row r="2699" spans="1:1" x14ac:dyDescent="0.2">
      <c r="A2699" s="12" t="s">
        <v>2524</v>
      </c>
    </row>
    <row r="2700" spans="1:1" x14ac:dyDescent="0.2">
      <c r="A2700" s="12" t="s">
        <v>2525</v>
      </c>
    </row>
    <row r="2701" spans="1:1" x14ac:dyDescent="0.2">
      <c r="A2701" s="12" t="s">
        <v>2526</v>
      </c>
    </row>
    <row r="2702" spans="1:1" x14ac:dyDescent="0.2">
      <c r="A2702" s="12" t="s">
        <v>2527</v>
      </c>
    </row>
    <row r="2703" spans="1:1" x14ac:dyDescent="0.2">
      <c r="A2703" s="12" t="s">
        <v>2528</v>
      </c>
    </row>
    <row r="2704" spans="1:1" x14ac:dyDescent="0.2">
      <c r="A2704" s="12" t="s">
        <v>2529</v>
      </c>
    </row>
    <row r="2705" spans="1:1" x14ac:dyDescent="0.2">
      <c r="A2705" s="12" t="s">
        <v>2530</v>
      </c>
    </row>
    <row r="2706" spans="1:1" x14ac:dyDescent="0.2">
      <c r="A2706" s="12" t="s">
        <v>2531</v>
      </c>
    </row>
    <row r="2707" spans="1:1" x14ac:dyDescent="0.2">
      <c r="A2707" s="12" t="s">
        <v>2532</v>
      </c>
    </row>
    <row r="2708" spans="1:1" x14ac:dyDescent="0.2">
      <c r="A2708" s="12" t="s">
        <v>2532</v>
      </c>
    </row>
    <row r="2709" spans="1:1" x14ac:dyDescent="0.2">
      <c r="A2709" s="12" t="s">
        <v>2533</v>
      </c>
    </row>
    <row r="2710" spans="1:1" x14ac:dyDescent="0.2">
      <c r="A2710" s="12" t="s">
        <v>2533</v>
      </c>
    </row>
    <row r="2711" spans="1:1" x14ac:dyDescent="0.2">
      <c r="A2711" s="12" t="s">
        <v>2534</v>
      </c>
    </row>
    <row r="2712" spans="1:1" x14ac:dyDescent="0.2">
      <c r="A2712" s="12" t="s">
        <v>2535</v>
      </c>
    </row>
    <row r="2713" spans="1:1" x14ac:dyDescent="0.2">
      <c r="A2713" s="12" t="s">
        <v>2536</v>
      </c>
    </row>
    <row r="2714" spans="1:1" x14ac:dyDescent="0.2">
      <c r="A2714" s="12" t="s">
        <v>2537</v>
      </c>
    </row>
    <row r="2715" spans="1:1" x14ac:dyDescent="0.2">
      <c r="A2715" s="12" t="s">
        <v>2538</v>
      </c>
    </row>
    <row r="2716" spans="1:1" x14ac:dyDescent="0.2">
      <c r="A2716" s="12" t="s">
        <v>2539</v>
      </c>
    </row>
    <row r="2717" spans="1:1" x14ac:dyDescent="0.2">
      <c r="A2717" s="12" t="s">
        <v>428</v>
      </c>
    </row>
    <row r="2718" spans="1:1" x14ac:dyDescent="0.2">
      <c r="A2718" s="12" t="s">
        <v>428</v>
      </c>
    </row>
    <row r="2719" spans="1:1" x14ac:dyDescent="0.2">
      <c r="A2719" s="12" t="s">
        <v>2540</v>
      </c>
    </row>
    <row r="2720" spans="1:1" x14ac:dyDescent="0.2">
      <c r="A2720" s="12" t="s">
        <v>2541</v>
      </c>
    </row>
    <row r="2721" spans="1:1" x14ac:dyDescent="0.2">
      <c r="A2721" s="12" t="s">
        <v>2542</v>
      </c>
    </row>
    <row r="2722" spans="1:1" x14ac:dyDescent="0.2">
      <c r="A2722" s="12" t="s">
        <v>2543</v>
      </c>
    </row>
    <row r="2723" spans="1:1" x14ac:dyDescent="0.2">
      <c r="A2723" s="12" t="s">
        <v>2544</v>
      </c>
    </row>
    <row r="2724" spans="1:1" x14ac:dyDescent="0.2">
      <c r="A2724" s="12" t="s">
        <v>2545</v>
      </c>
    </row>
    <row r="2725" spans="1:1" x14ac:dyDescent="0.2">
      <c r="A2725" s="12" t="s">
        <v>2546</v>
      </c>
    </row>
    <row r="2726" spans="1:1" x14ac:dyDescent="0.2">
      <c r="A2726" s="12" t="s">
        <v>2547</v>
      </c>
    </row>
    <row r="2727" spans="1:1" x14ac:dyDescent="0.2">
      <c r="A2727" s="12" t="s">
        <v>2548</v>
      </c>
    </row>
    <row r="2728" spans="1:1" x14ac:dyDescent="0.2">
      <c r="A2728" s="12" t="s">
        <v>2549</v>
      </c>
    </row>
    <row r="2729" spans="1:1" x14ac:dyDescent="0.2">
      <c r="A2729" s="12" t="s">
        <v>2550</v>
      </c>
    </row>
    <row r="2730" spans="1:1" x14ac:dyDescent="0.2">
      <c r="A2730" s="12" t="s">
        <v>2551</v>
      </c>
    </row>
    <row r="2731" spans="1:1" x14ac:dyDescent="0.2">
      <c r="A2731" s="12" t="s">
        <v>2552</v>
      </c>
    </row>
    <row r="2732" spans="1:1" x14ac:dyDescent="0.2">
      <c r="A2732" s="12" t="s">
        <v>2553</v>
      </c>
    </row>
    <row r="2733" spans="1:1" x14ac:dyDescent="0.2">
      <c r="A2733" s="12" t="s">
        <v>2554</v>
      </c>
    </row>
    <row r="2734" spans="1:1" x14ac:dyDescent="0.2">
      <c r="A2734" s="12" t="s">
        <v>2555</v>
      </c>
    </row>
    <row r="2735" spans="1:1" x14ac:dyDescent="0.2">
      <c r="A2735" s="12" t="s">
        <v>2556</v>
      </c>
    </row>
    <row r="2736" spans="1:1" x14ac:dyDescent="0.2">
      <c r="A2736" s="12" t="s">
        <v>2557</v>
      </c>
    </row>
    <row r="2737" spans="1:1" x14ac:dyDescent="0.2">
      <c r="A2737" s="12" t="s">
        <v>2558</v>
      </c>
    </row>
    <row r="2738" spans="1:1" x14ac:dyDescent="0.2">
      <c r="A2738" s="12" t="s">
        <v>2559</v>
      </c>
    </row>
    <row r="2739" spans="1:1" x14ac:dyDescent="0.2">
      <c r="A2739" s="12" t="s">
        <v>2560</v>
      </c>
    </row>
    <row r="2740" spans="1:1" x14ac:dyDescent="0.2">
      <c r="A2740" s="12" t="s">
        <v>2561</v>
      </c>
    </row>
    <row r="2741" spans="1:1" x14ac:dyDescent="0.2">
      <c r="A2741" s="12" t="s">
        <v>2562</v>
      </c>
    </row>
    <row r="2742" spans="1:1" x14ac:dyDescent="0.2">
      <c r="A2742" s="12" t="s">
        <v>2563</v>
      </c>
    </row>
    <row r="2743" spans="1:1" x14ac:dyDescent="0.2">
      <c r="A2743" s="12" t="s">
        <v>2564</v>
      </c>
    </row>
    <row r="2744" spans="1:1" x14ac:dyDescent="0.2">
      <c r="A2744" s="12" t="s">
        <v>2565</v>
      </c>
    </row>
    <row r="2745" spans="1:1" x14ac:dyDescent="0.2">
      <c r="A2745" s="12" t="s">
        <v>2565</v>
      </c>
    </row>
    <row r="2746" spans="1:1" x14ac:dyDescent="0.2">
      <c r="A2746" s="12" t="s">
        <v>2566</v>
      </c>
    </row>
    <row r="2747" spans="1:1" x14ac:dyDescent="0.2">
      <c r="A2747" s="12" t="s">
        <v>2567</v>
      </c>
    </row>
    <row r="2748" spans="1:1" x14ac:dyDescent="0.2">
      <c r="A2748" s="12" t="s">
        <v>2568</v>
      </c>
    </row>
    <row r="2749" spans="1:1" x14ac:dyDescent="0.2">
      <c r="A2749" s="12" t="s">
        <v>2569</v>
      </c>
    </row>
    <row r="2750" spans="1:1" x14ac:dyDescent="0.2">
      <c r="A2750" s="12" t="s">
        <v>2570</v>
      </c>
    </row>
    <row r="2751" spans="1:1" x14ac:dyDescent="0.2">
      <c r="A2751" s="12" t="s">
        <v>2571</v>
      </c>
    </row>
    <row r="2752" spans="1:1" x14ac:dyDescent="0.2">
      <c r="A2752" s="12" t="s">
        <v>2572</v>
      </c>
    </row>
    <row r="2753" spans="1:1" x14ac:dyDescent="0.2">
      <c r="A2753" s="12" t="s">
        <v>2573</v>
      </c>
    </row>
    <row r="2754" spans="1:1" x14ac:dyDescent="0.2">
      <c r="A2754" s="12" t="s">
        <v>434</v>
      </c>
    </row>
    <row r="2755" spans="1:1" x14ac:dyDescent="0.2">
      <c r="A2755" s="12" t="s">
        <v>434</v>
      </c>
    </row>
    <row r="2756" spans="1:1" x14ac:dyDescent="0.2">
      <c r="A2756" s="12" t="s">
        <v>2574</v>
      </c>
    </row>
    <row r="2757" spans="1:1" x14ac:dyDescent="0.2">
      <c r="A2757" s="12" t="s">
        <v>2575</v>
      </c>
    </row>
    <row r="2758" spans="1:1" x14ac:dyDescent="0.2">
      <c r="A2758" s="12" t="s">
        <v>2576</v>
      </c>
    </row>
    <row r="2759" spans="1:1" x14ac:dyDescent="0.2">
      <c r="A2759" s="12" t="s">
        <v>2577</v>
      </c>
    </row>
    <row r="2760" spans="1:1" x14ac:dyDescent="0.2">
      <c r="A2760" s="12" t="s">
        <v>2578</v>
      </c>
    </row>
    <row r="2761" spans="1:1" x14ac:dyDescent="0.2">
      <c r="A2761" s="12" t="s">
        <v>2579</v>
      </c>
    </row>
    <row r="2762" spans="1:1" x14ac:dyDescent="0.2">
      <c r="A2762" s="12" t="s">
        <v>2580</v>
      </c>
    </row>
    <row r="2763" spans="1:1" x14ac:dyDescent="0.2">
      <c r="A2763" s="12" t="s">
        <v>2581</v>
      </c>
    </row>
    <row r="2764" spans="1:1" x14ac:dyDescent="0.2">
      <c r="A2764" s="12" t="s">
        <v>2582</v>
      </c>
    </row>
    <row r="2765" spans="1:1" x14ac:dyDescent="0.2">
      <c r="A2765" s="12" t="s">
        <v>2583</v>
      </c>
    </row>
    <row r="2766" spans="1:1" x14ac:dyDescent="0.2">
      <c r="A2766" s="12" t="s">
        <v>2584</v>
      </c>
    </row>
    <row r="2767" spans="1:1" x14ac:dyDescent="0.2">
      <c r="A2767" s="12" t="s">
        <v>2585</v>
      </c>
    </row>
    <row r="2768" spans="1:1" x14ac:dyDescent="0.2">
      <c r="A2768" s="12" t="s">
        <v>2586</v>
      </c>
    </row>
    <row r="2769" spans="1:1" x14ac:dyDescent="0.2">
      <c r="A2769" s="12" t="s">
        <v>2587</v>
      </c>
    </row>
    <row r="2770" spans="1:1" x14ac:dyDescent="0.2">
      <c r="A2770" s="12" t="s">
        <v>2588</v>
      </c>
    </row>
    <row r="2771" spans="1:1" x14ac:dyDescent="0.2">
      <c r="A2771" s="12" t="s">
        <v>2589</v>
      </c>
    </row>
    <row r="2772" spans="1:1" x14ac:dyDescent="0.2">
      <c r="A2772" s="12" t="s">
        <v>2590</v>
      </c>
    </row>
    <row r="2773" spans="1:1" x14ac:dyDescent="0.2">
      <c r="A2773" s="12" t="s">
        <v>2591</v>
      </c>
    </row>
    <row r="2774" spans="1:1" x14ac:dyDescent="0.2">
      <c r="A2774" s="12" t="s">
        <v>2592</v>
      </c>
    </row>
    <row r="2775" spans="1:1" x14ac:dyDescent="0.2">
      <c r="A2775" s="12" t="s">
        <v>2593</v>
      </c>
    </row>
    <row r="2776" spans="1:1" x14ac:dyDescent="0.2">
      <c r="A2776" s="12" t="s">
        <v>2594</v>
      </c>
    </row>
    <row r="2777" spans="1:1" x14ac:dyDescent="0.2">
      <c r="A2777" s="12" t="s">
        <v>2595</v>
      </c>
    </row>
    <row r="2778" spans="1:1" x14ac:dyDescent="0.2">
      <c r="A2778" s="12" t="s">
        <v>2596</v>
      </c>
    </row>
    <row r="2779" spans="1:1" x14ac:dyDescent="0.2">
      <c r="A2779" s="12" t="s">
        <v>2597</v>
      </c>
    </row>
    <row r="2780" spans="1:1" x14ac:dyDescent="0.2">
      <c r="A2780" s="12" t="s">
        <v>2598</v>
      </c>
    </row>
    <row r="2781" spans="1:1" x14ac:dyDescent="0.2">
      <c r="A2781" s="12" t="s">
        <v>2599</v>
      </c>
    </row>
    <row r="2782" spans="1:1" x14ac:dyDescent="0.2">
      <c r="A2782" s="12" t="s">
        <v>2600</v>
      </c>
    </row>
    <row r="2783" spans="1:1" x14ac:dyDescent="0.2">
      <c r="A2783" s="12" t="s">
        <v>2601</v>
      </c>
    </row>
    <row r="2784" spans="1:1" x14ac:dyDescent="0.2">
      <c r="A2784" s="12" t="s">
        <v>2602</v>
      </c>
    </row>
    <row r="2785" spans="1:1" x14ac:dyDescent="0.2">
      <c r="A2785" s="12" t="s">
        <v>2603</v>
      </c>
    </row>
    <row r="2786" spans="1:1" x14ac:dyDescent="0.2">
      <c r="A2786" s="12" t="s">
        <v>2604</v>
      </c>
    </row>
    <row r="2787" spans="1:1" x14ac:dyDescent="0.2">
      <c r="A2787" s="12" t="s">
        <v>442</v>
      </c>
    </row>
    <row r="2788" spans="1:1" x14ac:dyDescent="0.2">
      <c r="A2788" s="12" t="s">
        <v>2605</v>
      </c>
    </row>
    <row r="2789" spans="1:1" x14ac:dyDescent="0.2">
      <c r="A2789" s="12" t="s">
        <v>2606</v>
      </c>
    </row>
    <row r="2790" spans="1:1" x14ac:dyDescent="0.2">
      <c r="A2790" s="12" t="s">
        <v>2607</v>
      </c>
    </row>
    <row r="2791" spans="1:1" x14ac:dyDescent="0.2">
      <c r="A2791" s="12" t="s">
        <v>2608</v>
      </c>
    </row>
    <row r="2792" spans="1:1" x14ac:dyDescent="0.2">
      <c r="A2792" s="12" t="s">
        <v>2609</v>
      </c>
    </row>
    <row r="2793" spans="1:1" x14ac:dyDescent="0.2">
      <c r="A2793" s="12" t="s">
        <v>2610</v>
      </c>
    </row>
    <row r="2794" spans="1:1" x14ac:dyDescent="0.2">
      <c r="A2794" s="12" t="s">
        <v>2611</v>
      </c>
    </row>
    <row r="2795" spans="1:1" x14ac:dyDescent="0.2">
      <c r="A2795" s="12" t="s">
        <v>2612</v>
      </c>
    </row>
    <row r="2796" spans="1:1" x14ac:dyDescent="0.2">
      <c r="A2796" s="12" t="s">
        <v>2613</v>
      </c>
    </row>
    <row r="2797" spans="1:1" x14ac:dyDescent="0.2">
      <c r="A2797" s="12" t="s">
        <v>2614</v>
      </c>
    </row>
    <row r="2798" spans="1:1" x14ac:dyDescent="0.2">
      <c r="A2798" s="12" t="s">
        <v>2615</v>
      </c>
    </row>
    <row r="2799" spans="1:1" x14ac:dyDescent="0.2">
      <c r="A2799" s="12" t="s">
        <v>2616</v>
      </c>
    </row>
  </sheetData>
  <mergeCells count="2">
    <mergeCell ref="R1:T1"/>
    <mergeCell ref="R2:T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FK3"/>
  <sheetViews>
    <sheetView workbookViewId="0">
      <selection activeCell="S29" sqref="S29"/>
    </sheetView>
  </sheetViews>
  <sheetFormatPr defaultRowHeight="14.25" x14ac:dyDescent="0.2"/>
  <cols>
    <col min="1" max="1" width="9" customWidth="1"/>
    <col min="29" max="29" width="10.125" bestFit="1" customWidth="1"/>
    <col min="105" max="105" width="10.125" bestFit="1" customWidth="1"/>
  </cols>
  <sheetData>
    <row r="1" spans="1:167" s="18" customFormat="1" ht="32.25" customHeight="1" x14ac:dyDescent="0.2">
      <c r="A1" s="74" t="s">
        <v>2635</v>
      </c>
      <c r="B1" s="114"/>
      <c r="C1" s="114"/>
      <c r="D1" s="114"/>
      <c r="E1" s="114"/>
      <c r="F1" s="114"/>
      <c r="G1" s="114"/>
      <c r="H1" s="114"/>
      <c r="I1" s="114"/>
      <c r="J1" s="114"/>
      <c r="K1" s="114"/>
      <c r="L1" s="114"/>
      <c r="M1" s="114"/>
      <c r="N1" s="114"/>
      <c r="O1" s="114"/>
      <c r="P1" s="114"/>
      <c r="Q1" s="114"/>
      <c r="R1" s="114"/>
      <c r="S1" s="115"/>
      <c r="T1" s="43"/>
      <c r="U1" s="88" t="s">
        <v>2636</v>
      </c>
      <c r="V1" s="89"/>
      <c r="W1" s="89"/>
      <c r="X1" s="89"/>
      <c r="Y1" s="89"/>
      <c r="Z1" s="89"/>
      <c r="AA1" s="116"/>
      <c r="AB1" s="74" t="s">
        <v>2637</v>
      </c>
      <c r="AC1" s="75"/>
      <c r="AD1" s="75"/>
      <c r="AE1" s="75"/>
      <c r="AF1" s="75"/>
      <c r="AG1" s="75"/>
      <c r="AH1" s="75"/>
      <c r="AI1" s="75"/>
      <c r="AJ1" s="75"/>
      <c r="AK1" s="75"/>
      <c r="AL1" s="75"/>
      <c r="AM1" s="75"/>
      <c r="AN1" s="76"/>
      <c r="AO1" s="88" t="s">
        <v>2638</v>
      </c>
      <c r="AP1" s="89"/>
      <c r="AQ1" s="89"/>
      <c r="AR1" s="89"/>
      <c r="AS1" s="74" t="s">
        <v>2639</v>
      </c>
      <c r="AT1" s="75"/>
      <c r="AU1" s="75"/>
      <c r="AV1" s="75"/>
      <c r="AW1" s="75"/>
      <c r="AX1" s="88" t="s">
        <v>2640</v>
      </c>
      <c r="AY1" s="113"/>
      <c r="AZ1" s="89"/>
      <c r="BA1" s="89"/>
      <c r="BB1" s="89"/>
      <c r="BC1" s="89"/>
      <c r="BD1" s="88"/>
      <c r="BE1" s="89"/>
      <c r="BF1" s="89"/>
      <c r="BG1" s="89"/>
      <c r="BH1" s="90" t="s">
        <v>2641</v>
      </c>
      <c r="BI1" s="91"/>
      <c r="BJ1" s="91"/>
      <c r="BK1" s="91"/>
      <c r="BL1" s="91"/>
      <c r="BM1" s="91"/>
      <c r="BN1" s="91"/>
      <c r="BO1" s="92"/>
      <c r="BP1" s="93" t="s">
        <v>2642</v>
      </c>
      <c r="BQ1" s="94"/>
      <c r="BR1" s="94"/>
      <c r="BS1" s="94"/>
      <c r="BT1" s="94"/>
      <c r="BU1" s="94"/>
      <c r="BV1" s="94"/>
      <c r="BW1" s="94"/>
      <c r="BX1" s="94"/>
      <c r="BY1" s="94"/>
      <c r="BZ1" s="95"/>
      <c r="CA1" s="95"/>
      <c r="CB1" s="95"/>
      <c r="CC1" s="95"/>
      <c r="CD1" s="95"/>
      <c r="CE1" s="96" t="s">
        <v>2643</v>
      </c>
      <c r="CF1" s="96"/>
      <c r="CG1" s="96"/>
      <c r="CH1" s="96"/>
      <c r="CI1" s="97" t="s">
        <v>2644</v>
      </c>
      <c r="CJ1" s="98"/>
      <c r="CK1" s="98"/>
      <c r="CL1" s="99"/>
      <c r="CM1" s="100" t="s">
        <v>2645</v>
      </c>
      <c r="CN1" s="101"/>
      <c r="CO1" s="101"/>
      <c r="CP1" s="102"/>
      <c r="CQ1" s="103" t="s">
        <v>2646</v>
      </c>
      <c r="CR1" s="104"/>
      <c r="CS1" s="104"/>
      <c r="CT1" s="105" t="s">
        <v>2647</v>
      </c>
      <c r="CU1" s="105"/>
      <c r="CV1" s="106"/>
      <c r="CW1" s="107" t="s">
        <v>2648</v>
      </c>
      <c r="CX1" s="108"/>
      <c r="CY1" s="109"/>
      <c r="CZ1" s="110" t="s">
        <v>2649</v>
      </c>
      <c r="DA1" s="111"/>
      <c r="DB1" s="112"/>
      <c r="DC1" s="71" t="s">
        <v>2650</v>
      </c>
      <c r="DD1" s="72"/>
      <c r="DE1" s="72"/>
      <c r="DF1" s="72"/>
      <c r="DG1" s="72"/>
      <c r="DH1" s="72"/>
      <c r="DI1" s="72"/>
      <c r="DJ1" s="72"/>
      <c r="DK1" s="72"/>
      <c r="DL1" s="72"/>
      <c r="DM1" s="73"/>
      <c r="DN1" s="85" t="s">
        <v>2651</v>
      </c>
      <c r="DO1" s="86"/>
      <c r="DP1" s="86"/>
      <c r="DQ1" s="86"/>
      <c r="DR1" s="86"/>
      <c r="DS1" s="86"/>
      <c r="DT1" s="87"/>
      <c r="DU1" s="71" t="s">
        <v>2652</v>
      </c>
      <c r="DV1" s="72"/>
      <c r="DW1" s="72"/>
      <c r="DX1" s="72"/>
      <c r="DY1" s="72"/>
      <c r="DZ1" s="72"/>
      <c r="EA1" s="72"/>
      <c r="EB1" s="72"/>
      <c r="EC1" s="72"/>
      <c r="ED1" s="72"/>
      <c r="EE1" s="72"/>
      <c r="EF1" s="72"/>
      <c r="EG1" s="73"/>
      <c r="EH1" s="74" t="s">
        <v>2653</v>
      </c>
      <c r="EI1" s="75"/>
      <c r="EJ1" s="75"/>
      <c r="EK1" s="75"/>
      <c r="EL1" s="75"/>
      <c r="EM1" s="75"/>
      <c r="EN1" s="75"/>
      <c r="EO1" s="75"/>
      <c r="EP1" s="75"/>
      <c r="EQ1" s="75"/>
      <c r="ER1" s="75"/>
      <c r="ES1" s="75"/>
      <c r="ET1" s="75"/>
      <c r="EU1" s="75"/>
      <c r="EV1" s="76"/>
      <c r="EW1" s="77" t="s">
        <v>2654</v>
      </c>
      <c r="EX1" s="78"/>
      <c r="EY1" s="78"/>
      <c r="EZ1" s="78"/>
      <c r="FA1" s="78"/>
      <c r="FB1" s="78"/>
      <c r="FC1" s="78"/>
      <c r="FD1" s="78"/>
      <c r="FE1" s="79" t="s">
        <v>2655</v>
      </c>
      <c r="FF1" s="80"/>
      <c r="FG1" s="81"/>
      <c r="FH1" s="82" t="s">
        <v>2656</v>
      </c>
      <c r="FI1" s="83"/>
      <c r="FJ1" s="83"/>
      <c r="FK1" s="84"/>
    </row>
    <row r="2" spans="1:167" s="42" customFormat="1" ht="168.75" x14ac:dyDescent="0.2">
      <c r="A2" s="19" t="s">
        <v>2657</v>
      </c>
      <c r="B2" s="19" t="s">
        <v>2658</v>
      </c>
      <c r="C2" s="19" t="s">
        <v>2659</v>
      </c>
      <c r="D2" s="19" t="s">
        <v>2660</v>
      </c>
      <c r="E2" s="20" t="s">
        <v>2661</v>
      </c>
      <c r="F2" s="20" t="s">
        <v>2662</v>
      </c>
      <c r="G2" s="20" t="s">
        <v>2663</v>
      </c>
      <c r="H2" s="20" t="s">
        <v>2664</v>
      </c>
      <c r="I2" s="20" t="s">
        <v>2665</v>
      </c>
      <c r="J2" s="20" t="s">
        <v>2666</v>
      </c>
      <c r="K2" s="20" t="s">
        <v>2667</v>
      </c>
      <c r="L2" s="20" t="s">
        <v>2668</v>
      </c>
      <c r="M2" s="20" t="s">
        <v>2669</v>
      </c>
      <c r="N2" s="20" t="s">
        <v>2670</v>
      </c>
      <c r="O2" s="20" t="s">
        <v>2671</v>
      </c>
      <c r="P2" s="20" t="s">
        <v>2672</v>
      </c>
      <c r="Q2" s="21" t="s">
        <v>2673</v>
      </c>
      <c r="R2" s="20" t="s">
        <v>2674</v>
      </c>
      <c r="S2" s="20" t="s">
        <v>2675</v>
      </c>
      <c r="T2" s="20" t="s">
        <v>2676</v>
      </c>
      <c r="U2" s="22" t="s">
        <v>2677</v>
      </c>
      <c r="V2" s="22" t="s">
        <v>2678</v>
      </c>
      <c r="W2" s="22" t="s">
        <v>2679</v>
      </c>
      <c r="X2" s="22" t="s">
        <v>2680</v>
      </c>
      <c r="Y2" s="22" t="s">
        <v>2681</v>
      </c>
      <c r="Z2" s="22" t="s">
        <v>2682</v>
      </c>
      <c r="AA2" s="22" t="s">
        <v>2683</v>
      </c>
      <c r="AB2" s="20" t="s">
        <v>2684</v>
      </c>
      <c r="AC2" s="20" t="s">
        <v>2685</v>
      </c>
      <c r="AD2" s="20" t="s">
        <v>2686</v>
      </c>
      <c r="AE2" s="20" t="s">
        <v>2687</v>
      </c>
      <c r="AF2" s="20" t="s">
        <v>2688</v>
      </c>
      <c r="AG2" s="20" t="s">
        <v>2689</v>
      </c>
      <c r="AH2" s="20" t="s">
        <v>2690</v>
      </c>
      <c r="AI2" s="20" t="s">
        <v>2691</v>
      </c>
      <c r="AJ2" s="20" t="s">
        <v>2692</v>
      </c>
      <c r="AK2" s="20" t="s">
        <v>2693</v>
      </c>
      <c r="AL2" s="20" t="s">
        <v>2694</v>
      </c>
      <c r="AM2" s="20" t="s">
        <v>2695</v>
      </c>
      <c r="AN2" s="20" t="s">
        <v>2696</v>
      </c>
      <c r="AO2" s="22" t="s">
        <v>2697</v>
      </c>
      <c r="AP2" s="22" t="s">
        <v>2698</v>
      </c>
      <c r="AQ2" s="22" t="s">
        <v>2699</v>
      </c>
      <c r="AR2" s="22" t="s">
        <v>2700</v>
      </c>
      <c r="AS2" s="20" t="s">
        <v>2701</v>
      </c>
      <c r="AT2" s="20" t="s">
        <v>2702</v>
      </c>
      <c r="AU2" s="20" t="s">
        <v>2703</v>
      </c>
      <c r="AV2" s="20" t="s">
        <v>2704</v>
      </c>
      <c r="AW2" s="20" t="s">
        <v>2705</v>
      </c>
      <c r="AX2" s="22" t="s">
        <v>2706</v>
      </c>
      <c r="AY2" s="22" t="s">
        <v>2707</v>
      </c>
      <c r="AZ2" s="22" t="s">
        <v>2708</v>
      </c>
      <c r="BA2" s="22" t="s">
        <v>2709</v>
      </c>
      <c r="BB2" s="22" t="s">
        <v>2710</v>
      </c>
      <c r="BC2" s="22" t="s">
        <v>2711</v>
      </c>
      <c r="BD2" s="22" t="s">
        <v>2712</v>
      </c>
      <c r="BE2" s="22" t="s">
        <v>2713</v>
      </c>
      <c r="BF2" s="22" t="s">
        <v>2714</v>
      </c>
      <c r="BG2" s="22" t="s">
        <v>2715</v>
      </c>
      <c r="BH2" s="23" t="s">
        <v>2716</v>
      </c>
      <c r="BI2" s="23" t="s">
        <v>2717</v>
      </c>
      <c r="BJ2" s="23" t="s">
        <v>2718</v>
      </c>
      <c r="BK2" s="24" t="s">
        <v>2719</v>
      </c>
      <c r="BL2" s="23" t="s">
        <v>2720</v>
      </c>
      <c r="BM2" s="23" t="s">
        <v>2721</v>
      </c>
      <c r="BN2" s="24" t="s">
        <v>2722</v>
      </c>
      <c r="BO2" s="24" t="s">
        <v>2723</v>
      </c>
      <c r="BP2" s="25" t="s">
        <v>2724</v>
      </c>
      <c r="BQ2" s="26" t="s">
        <v>2725</v>
      </c>
      <c r="BR2" s="26" t="s">
        <v>2726</v>
      </c>
      <c r="BS2" s="26" t="s">
        <v>2727</v>
      </c>
      <c r="BT2" s="26" t="s">
        <v>2728</v>
      </c>
      <c r="BU2" s="26" t="s">
        <v>2729</v>
      </c>
      <c r="BV2" s="26" t="s">
        <v>2730</v>
      </c>
      <c r="BW2" s="26" t="s">
        <v>2731</v>
      </c>
      <c r="BX2" s="26" t="s">
        <v>2732</v>
      </c>
      <c r="BY2" s="26" t="s">
        <v>2733</v>
      </c>
      <c r="BZ2" s="26" t="s">
        <v>2734</v>
      </c>
      <c r="CA2" s="26" t="s">
        <v>2735</v>
      </c>
      <c r="CB2" s="26" t="s">
        <v>2736</v>
      </c>
      <c r="CC2" s="26" t="s">
        <v>2737</v>
      </c>
      <c r="CD2" s="26" t="s">
        <v>2738</v>
      </c>
      <c r="CE2" s="27" t="s">
        <v>2739</v>
      </c>
      <c r="CF2" s="27" t="s">
        <v>2740</v>
      </c>
      <c r="CG2" s="27" t="s">
        <v>2685</v>
      </c>
      <c r="CH2" s="27" t="s">
        <v>2686</v>
      </c>
      <c r="CI2" s="28" t="s">
        <v>2741</v>
      </c>
      <c r="CJ2" s="28" t="s">
        <v>2742</v>
      </c>
      <c r="CK2" s="28" t="s">
        <v>2685</v>
      </c>
      <c r="CL2" s="28" t="s">
        <v>2686</v>
      </c>
      <c r="CM2" s="29" t="s">
        <v>2743</v>
      </c>
      <c r="CN2" s="29" t="s">
        <v>2744</v>
      </c>
      <c r="CO2" s="29" t="s">
        <v>2685</v>
      </c>
      <c r="CP2" s="29" t="s">
        <v>2686</v>
      </c>
      <c r="CQ2" s="30" t="s">
        <v>2745</v>
      </c>
      <c r="CR2" s="31" t="s">
        <v>2679</v>
      </c>
      <c r="CS2" s="31" t="s">
        <v>2680</v>
      </c>
      <c r="CT2" s="26" t="s">
        <v>2746</v>
      </c>
      <c r="CU2" s="25" t="s">
        <v>2679</v>
      </c>
      <c r="CV2" s="25" t="s">
        <v>2680</v>
      </c>
      <c r="CW2" s="32" t="s">
        <v>2747</v>
      </c>
      <c r="CX2" s="32" t="s">
        <v>2748</v>
      </c>
      <c r="CY2" s="32" t="s">
        <v>2749</v>
      </c>
      <c r="CZ2" s="33" t="s">
        <v>2750</v>
      </c>
      <c r="DA2" s="33" t="s">
        <v>2685</v>
      </c>
      <c r="DB2" s="33" t="s">
        <v>2686</v>
      </c>
      <c r="DC2" s="34" t="s">
        <v>2751</v>
      </c>
      <c r="DD2" s="34" t="s">
        <v>2658</v>
      </c>
      <c r="DE2" s="34" t="s">
        <v>2752</v>
      </c>
      <c r="DF2" s="34" t="s">
        <v>2753</v>
      </c>
      <c r="DG2" s="34" t="s">
        <v>2754</v>
      </c>
      <c r="DH2" s="34" t="s">
        <v>2755</v>
      </c>
      <c r="DI2" s="34" t="s">
        <v>2756</v>
      </c>
      <c r="DJ2" s="34" t="s">
        <v>2666</v>
      </c>
      <c r="DK2" s="34" t="s">
        <v>2757</v>
      </c>
      <c r="DL2" s="34" t="s">
        <v>2758</v>
      </c>
      <c r="DM2" s="34" t="s">
        <v>2759</v>
      </c>
      <c r="DN2" s="32" t="s">
        <v>2677</v>
      </c>
      <c r="DO2" s="32" t="s">
        <v>2760</v>
      </c>
      <c r="DP2" s="32" t="s">
        <v>2679</v>
      </c>
      <c r="DQ2" s="32" t="s">
        <v>2680</v>
      </c>
      <c r="DR2" s="32" t="s">
        <v>2681</v>
      </c>
      <c r="DS2" s="32" t="s">
        <v>2682</v>
      </c>
      <c r="DT2" s="32" t="s">
        <v>2761</v>
      </c>
      <c r="DU2" s="35" t="s">
        <v>2684</v>
      </c>
      <c r="DV2" s="35" t="s">
        <v>2685</v>
      </c>
      <c r="DW2" s="35" t="s">
        <v>2686</v>
      </c>
      <c r="DX2" s="35" t="s">
        <v>2687</v>
      </c>
      <c r="DY2" s="35" t="s">
        <v>2688</v>
      </c>
      <c r="DZ2" s="35" t="s">
        <v>2689</v>
      </c>
      <c r="EA2" s="35" t="s">
        <v>2690</v>
      </c>
      <c r="EB2" s="35" t="s">
        <v>2691</v>
      </c>
      <c r="EC2" s="35" t="s">
        <v>2692</v>
      </c>
      <c r="ED2" s="35" t="s">
        <v>2693</v>
      </c>
      <c r="EE2" s="35" t="s">
        <v>2694</v>
      </c>
      <c r="EF2" s="35" t="s">
        <v>2695</v>
      </c>
      <c r="EG2" s="35" t="s">
        <v>2762</v>
      </c>
      <c r="EH2" s="36" t="s">
        <v>2763</v>
      </c>
      <c r="EI2" s="37" t="s">
        <v>2764</v>
      </c>
      <c r="EJ2" s="38" t="s">
        <v>2685</v>
      </c>
      <c r="EK2" s="38" t="s">
        <v>2686</v>
      </c>
      <c r="EL2" s="38" t="s">
        <v>2765</v>
      </c>
      <c r="EM2" s="36" t="s">
        <v>2766</v>
      </c>
      <c r="EN2" s="39" t="s">
        <v>2767</v>
      </c>
      <c r="EO2" s="39" t="s">
        <v>2768</v>
      </c>
      <c r="EP2" s="36" t="s">
        <v>2769</v>
      </c>
      <c r="EQ2" s="36" t="s">
        <v>2770</v>
      </c>
      <c r="ER2" s="20" t="s">
        <v>2771</v>
      </c>
      <c r="ES2" s="39" t="s">
        <v>2772</v>
      </c>
      <c r="ET2" s="20" t="s">
        <v>2773</v>
      </c>
      <c r="EU2" s="36" t="s">
        <v>2774</v>
      </c>
      <c r="EV2" s="36" t="s">
        <v>2775</v>
      </c>
      <c r="EW2" s="36" t="s">
        <v>2776</v>
      </c>
      <c r="EX2" s="38" t="s">
        <v>2777</v>
      </c>
      <c r="EY2" s="36" t="s">
        <v>2778</v>
      </c>
      <c r="EZ2" s="36" t="s">
        <v>2779</v>
      </c>
      <c r="FA2" s="36" t="s">
        <v>2780</v>
      </c>
      <c r="FB2" s="36" t="s">
        <v>2781</v>
      </c>
      <c r="FC2" s="36" t="s">
        <v>2782</v>
      </c>
      <c r="FD2" s="36" t="s">
        <v>2783</v>
      </c>
      <c r="FE2" s="40" t="s">
        <v>2784</v>
      </c>
      <c r="FF2" s="41" t="s">
        <v>2785</v>
      </c>
      <c r="FG2" s="41" t="s">
        <v>2786</v>
      </c>
      <c r="FH2" s="40" t="s">
        <v>2787</v>
      </c>
      <c r="FI2" s="40" t="s">
        <v>2788</v>
      </c>
      <c r="FJ2" s="40" t="s">
        <v>2789</v>
      </c>
      <c r="FK2" s="40" t="s">
        <v>2790</v>
      </c>
    </row>
    <row r="3" spans="1:167" s="44" customFormat="1" ht="11.25" x14ac:dyDescent="0.2">
      <c r="A3" s="44" t="e">
        <f>#REF!</f>
        <v>#REF!</v>
      </c>
      <c r="B3" s="44" t="e">
        <f>#REF!</f>
        <v>#REF!</v>
      </c>
      <c r="C3" s="44" t="e">
        <f>#REF!</f>
        <v>#REF!</v>
      </c>
      <c r="E3" s="45" t="e">
        <f>#REF!</f>
        <v>#REF!</v>
      </c>
      <c r="F3" s="44" t="e">
        <f>#REF!</f>
        <v>#REF!</v>
      </c>
      <c r="G3" s="46" t="e">
        <f>#REF!</f>
        <v>#REF!</v>
      </c>
      <c r="H3" s="44" t="e">
        <f>#REF!</f>
        <v>#REF!</v>
      </c>
      <c r="I3" s="44" t="e">
        <f>#REF!</f>
        <v>#REF!</v>
      </c>
      <c r="J3" s="44" t="e">
        <f>#REF!</f>
        <v>#REF!</v>
      </c>
      <c r="K3" s="44" t="e">
        <f>#REF!</f>
        <v>#REF!</v>
      </c>
      <c r="L3" s="44" t="e">
        <f>#REF!</f>
        <v>#REF!</v>
      </c>
      <c r="N3" s="44" t="e">
        <f>#REF!</f>
        <v>#REF!</v>
      </c>
      <c r="O3" s="45" t="e">
        <f>#REF!</f>
        <v>#REF!</v>
      </c>
      <c r="P3" s="44" t="e">
        <f>#REF!</f>
        <v>#REF!</v>
      </c>
      <c r="Q3" s="47" t="e">
        <f>#REF!</f>
        <v>#REF!</v>
      </c>
      <c r="U3" s="44" t="s">
        <v>2791</v>
      </c>
      <c r="V3" s="44" t="e">
        <f>#REF!</f>
        <v>#REF!</v>
      </c>
      <c r="AB3" s="44" t="s">
        <v>2800</v>
      </c>
      <c r="AC3" s="46" t="e">
        <f>#REF!</f>
        <v>#REF!</v>
      </c>
      <c r="AE3" s="44" t="e">
        <f>#REF!</f>
        <v>#REF!</v>
      </c>
      <c r="AF3" s="44" t="e">
        <f>#REF!</f>
        <v>#REF!</v>
      </c>
      <c r="AG3" s="44" t="e">
        <f>#REF!</f>
        <v>#REF!</v>
      </c>
      <c r="AH3" s="44" t="e">
        <f>#REF!</f>
        <v>#REF!</v>
      </c>
      <c r="AI3" s="44" t="e">
        <f>#REF!</f>
        <v>#REF!</v>
      </c>
      <c r="AJ3" s="44" t="e">
        <f>#REF!</f>
        <v>#REF!</v>
      </c>
      <c r="AK3" s="44" t="e">
        <f>#REF!</f>
        <v>#REF!</v>
      </c>
      <c r="AL3" s="44" t="e">
        <f>#REF!</f>
        <v>#REF!</v>
      </c>
      <c r="AM3" s="44" t="s">
        <v>2792</v>
      </c>
      <c r="AN3" s="44">
        <v>1</v>
      </c>
      <c r="AO3" s="44" t="e">
        <f>#REF!</f>
        <v>#REF!</v>
      </c>
      <c r="BI3" s="44" t="e">
        <f>#REF!</f>
        <v>#REF!</v>
      </c>
      <c r="CW3" s="44" t="e">
        <f>LEFT(#REF!,1)</f>
        <v>#REF!</v>
      </c>
      <c r="CX3" s="44" t="e">
        <f>LEFT(#REF!,3)</f>
        <v>#REF!</v>
      </c>
      <c r="CZ3" s="44" t="e">
        <f>LEFT(#REF!,1)</f>
        <v>#REF!</v>
      </c>
      <c r="DA3" s="46" t="e">
        <f>#REF!</f>
        <v>#REF!</v>
      </c>
    </row>
  </sheetData>
  <mergeCells count="23">
    <mergeCell ref="AX1:BC1"/>
    <mergeCell ref="A1:S1"/>
    <mergeCell ref="U1:AA1"/>
    <mergeCell ref="AB1:AN1"/>
    <mergeCell ref="AO1:AR1"/>
    <mergeCell ref="AS1:AW1"/>
    <mergeCell ref="DN1:DT1"/>
    <mergeCell ref="BD1:BG1"/>
    <mergeCell ref="BH1:BO1"/>
    <mergeCell ref="BP1:CD1"/>
    <mergeCell ref="CE1:CH1"/>
    <mergeCell ref="CI1:CL1"/>
    <mergeCell ref="CM1:CP1"/>
    <mergeCell ref="CQ1:CS1"/>
    <mergeCell ref="CT1:CV1"/>
    <mergeCell ref="CW1:CY1"/>
    <mergeCell ref="CZ1:DB1"/>
    <mergeCell ref="DC1:DM1"/>
    <mergeCell ref="DU1:EG1"/>
    <mergeCell ref="EH1:EV1"/>
    <mergeCell ref="EW1:FD1"/>
    <mergeCell ref="FE1:FG1"/>
    <mergeCell ref="FH1:FK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ID xmlns="http://schemas.microsoft.com/sharepoint/v3">892093</DocID>
    <LocalAttachment xmlns="http://schemas.microsoft.com/sharepoint/v3">false</LocalAttachment>
    <Related xmlns="http://schemas.microsoft.com/sharepoint/v3">false</Related>
    <Finalized xmlns="http://schemas.microsoft.com/sharepoint/v3">false</Finalized>
    <CCMSystemID xmlns="http://schemas.microsoft.com/sharepoint/v3">a83c9e44-5554-4fe4-9554-0ea6ec621664</CCMSystemID>
    <RegistrationDate xmlns="http://schemas.microsoft.com/sharepoint/v3" xsi:nil="true"/>
    <CaseRecordNumber xmlns="http://schemas.microsoft.com/sharepoint/v3">0</CaseRecordNumber>
    <CaseID xmlns="http://schemas.microsoft.com/sharepoint/v3">NCSADMIN</CaseID>
  </documentManagement>
</p:properties>
</file>

<file path=customXml/item2.xml><?xml version="1.0" encoding="utf-8"?>
<ct:contentTypeSchema xmlns:ct="http://schemas.microsoft.com/office/2006/metadata/contentType" xmlns:ma="http://schemas.microsoft.com/office/2006/metadata/properties/metaAttributes" ct:_="" ma:_="" ma:contentTypeName="GetOrganized Document Library Content Type" ma:contentTypeID="0x010100AC085CFC53BC46CEA2EADE194AD9D482004BAE6C175B3C8D40941850640A193D2B" ma:contentTypeVersion="0" ma:contentTypeDescription="GetOrganized Document Library Content Type Description" ma:contentTypeScope="" ma:versionID="fc7b16a5a4e6e0ccd419d064b978c670">
  <xsd:schema xmlns:xsd="http://www.w3.org/2001/XMLSchema" xmlns:xs="http://www.w3.org/2001/XMLSchema" xmlns:p="http://schemas.microsoft.com/office/2006/metadata/properties" xmlns:ns1="http://schemas.microsoft.com/sharepoint/v3" targetNamespace="http://schemas.microsoft.com/office/2006/metadata/properties" ma:root="true" ma:fieldsID="f0a0ee2bb4fbba84e2ba815a03798fa4" ns1:_="">
    <xsd:import namespace="http://schemas.microsoft.com/sharepoint/v3"/>
    <xsd:element name="properties">
      <xsd:complexType>
        <xsd:sequence>
          <xsd:element name="documentManagement">
            <xsd:complexType>
              <xsd:all>
                <xsd:element ref="ns1:CaseID" minOccurs="0"/>
                <xsd:element ref="ns1:DocID" minOccurs="0"/>
                <xsd:element ref="ns1:Finalized" minOccurs="0"/>
                <xsd:element ref="ns1:Related" minOccurs="0"/>
                <xsd:element ref="ns1:LocalAttachment" minOccurs="0"/>
                <xsd:element ref="ns1:RegistrationDate" minOccurs="0"/>
                <xsd:element ref="ns1:CaseRecordNumber" minOccurs="0"/>
                <xsd:element ref="ns1:CCMTemplateName" minOccurs="0"/>
                <xsd:element ref="ns1:CCMTemplateVersion" minOccurs="0"/>
                <xsd:element ref="ns1:CCMTemplateID" minOccurs="0"/>
                <xsd:element ref="ns1:CCMSystemID" minOccurs="0"/>
                <xsd:element ref="ns1:WasEncrypted" minOccurs="0"/>
                <xsd:element ref="ns1:WasSigned" minOccurs="0"/>
                <xsd:element ref="ns1:MailHasAttachments" minOccurs="0"/>
                <xsd:element ref="ns1:CCMConversation" minOccurs="0"/>
                <xsd:element ref="ns1:CCMVisual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seID" ma:index="8" nillable="true" ma:displayName="Case ID" ma:default="Assigning" ma:internalName="CaseID" ma:readOnly="true">
      <xsd:simpleType>
        <xsd:restriction base="dms:Text"/>
      </xsd:simpleType>
    </xsd:element>
    <xsd:element name="DocID" ma:index="9" nillable="true" ma:displayName="Document ID" ma:default="Assigning" ma:internalName="DocID" ma:readOnly="true">
      <xsd:simpleType>
        <xsd:restriction base="dms:Text"/>
      </xsd:simpleType>
    </xsd:element>
    <xsd:element name="Finalized" ma:index="10" nillable="true" ma:displayName="Finalized" ma:default="False" ma:internalName="Finalized" ma:readOnly="true">
      <xsd:simpleType>
        <xsd:restriction base="dms:Boolean"/>
      </xsd:simpleType>
    </xsd:element>
    <xsd:element name="Related" ma:index="11" nillable="true" ma:displayName="Related" ma:default="False" ma:internalName="Related" ma:readOnly="true">
      <xsd:simpleType>
        <xsd:restriction base="dms:Boolean"/>
      </xsd:simpleType>
    </xsd:element>
    <xsd:element name="LocalAttachment" ma:index="12" nillable="true" ma:displayName="Local Attachment" ma:default="False" ma:internalName="LocalAttachment" ma:readOnly="true">
      <xsd:simpleType>
        <xsd:restriction base="dms:Boolean"/>
      </xsd:simpleType>
    </xsd:element>
    <xsd:element name="RegistrationDate" ma:index="13" nillable="true" ma:displayName="Registration date" ma:format="DateTime" ma:internalName="RegistrationDate" ma:readOnly="true">
      <xsd:simpleType>
        <xsd:restriction base="dms:DateTime"/>
      </xsd:simpleType>
    </xsd:element>
    <xsd:element name="CaseRecordNumber" ma:index="14" nillable="true" ma:displayName="Record ID" ma:decimals="0" ma:default="0" ma:internalName="CaseRecordNumber" ma:readOnly="true">
      <xsd:simpleType>
        <xsd:restriction base="dms:Number"/>
      </xsd:simpleType>
    </xsd:element>
    <xsd:element name="CCMTemplateName" ma:index="15" nillable="true" ma:displayName="Template name" ma:internalName="CCMTemplateName" ma:readOnly="true">
      <xsd:simpleType>
        <xsd:restriction base="dms:Text"/>
      </xsd:simpleType>
    </xsd:element>
    <xsd:element name="CCMTemplateVersion" ma:index="16" nillable="true" ma:displayName="Template version" ma:internalName="CCMTemplateVersion" ma:readOnly="true">
      <xsd:simpleType>
        <xsd:restriction base="dms:Text"/>
      </xsd:simpleType>
    </xsd:element>
    <xsd:element name="CCMTemplateID" ma:index="17" nillable="true" ma:displayName="CCMTemplateID" ma:decimals="0" ma:default="0" ma:hidden="true" ma:internalName="CCMTemplateID" ma:readOnly="true">
      <xsd:simpleType>
        <xsd:restriction base="dms:Number"/>
      </xsd:simpleType>
    </xsd:element>
    <xsd:element name="CCMSystemID" ma:index="18" nillable="true" ma:displayName="CCMSystemID" ma:hidden="true" ma:internalName="CCMSystemID" ma:readOnly="true">
      <xsd:simpleType>
        <xsd:restriction base="dms:Text"/>
      </xsd:simpleType>
    </xsd:element>
    <xsd:element name="WasEncrypted" ma:index="19" nillable="true" ma:displayName="Encrypted" ma:default="False" ma:internalName="WasEncrypted" ma:readOnly="true">
      <xsd:simpleType>
        <xsd:restriction base="dms:Boolean"/>
      </xsd:simpleType>
    </xsd:element>
    <xsd:element name="WasSigned" ma:index="20" nillable="true" ma:displayName="Signed" ma:default="False" ma:internalName="WasSigned" ma:readOnly="true">
      <xsd:simpleType>
        <xsd:restriction base="dms:Boolean"/>
      </xsd:simpleType>
    </xsd:element>
    <xsd:element name="MailHasAttachments" ma:index="21" nillable="true" ma:displayName="E-mail has attachments" ma:default="False" ma:internalName="MailHasAttachments" ma:readOnly="true">
      <xsd:simpleType>
        <xsd:restriction base="dms:Boolean"/>
      </xsd:simpleType>
    </xsd:element>
    <xsd:element name="CCMConversation" ma:index="22" nillable="true" ma:displayName="Conversation" ma:internalName="CCMConversation" ma:readOnly="true">
      <xsd:simpleType>
        <xsd:restriction base="dms:Text"/>
      </xsd:simpleType>
    </xsd:element>
    <xsd:element name="CCMVisualId" ma:index="23" nillable="true" ma:displayName="Case ID" ma:default="Assigning" ma:internalName="CCMVisualId"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DEFB-FA84-4BD8-9806-AAAE2A3455C6}">
  <ds:schemaRef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www.w3.org/XML/1998/namespace"/>
  </ds:schemaRefs>
</ds:datastoreItem>
</file>

<file path=customXml/itemProps2.xml><?xml version="1.0" encoding="utf-8"?>
<ds:datastoreItem xmlns:ds="http://schemas.openxmlformats.org/officeDocument/2006/customXml" ds:itemID="{48FED6E8-27F4-4E20-A46C-5280469EA1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27C57F-B5D1-4DAB-A33C-F8476BFDF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Zakresy nazwane</vt:lpstr>
      </vt:variant>
      <vt:variant>
        <vt:i4>13</vt:i4>
      </vt:variant>
    </vt:vector>
  </HeadingPairs>
  <TitlesOfParts>
    <vt:vector size="17" baseType="lpstr">
      <vt:lpstr>Multisport</vt:lpstr>
      <vt:lpstr>Medical care</vt:lpstr>
      <vt:lpstr>Słownik</vt:lpstr>
      <vt:lpstr>Plik do impotru</vt:lpstr>
      <vt:lpstr>Emerytura</vt:lpstr>
      <vt:lpstr>Gminy</vt:lpstr>
      <vt:lpstr>Miesiące</vt:lpstr>
      <vt:lpstr>Miesiące2</vt:lpstr>
      <vt:lpstr>NFZ</vt:lpstr>
      <vt:lpstr>Niepełnosprawność</vt:lpstr>
      <vt:lpstr>'Medical care'!Obszar_wydruku</vt:lpstr>
      <vt:lpstr>Multisport!Obszar_wydruku</vt:lpstr>
      <vt:lpstr>Płeć</vt:lpstr>
      <vt:lpstr>Powiaty</vt:lpstr>
      <vt:lpstr>Województwa</vt:lpstr>
      <vt:lpstr>Wykształcenie</vt:lpstr>
      <vt:lpstr>Zdrowotne</vt:lpstr>
    </vt:vector>
  </TitlesOfParts>
  <Company>Deloitte Touche Tohmatsu Services,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Goclowski, Robert (PL - Warsaw)</dc:creator>
  <cp:lastModifiedBy>Ewelina Andrzejewska</cp:lastModifiedBy>
  <cp:lastPrinted>2015-09-04T09:13:32Z</cp:lastPrinted>
  <dcterms:created xsi:type="dcterms:W3CDTF">2008-07-23T09:26:51Z</dcterms:created>
  <dcterms:modified xsi:type="dcterms:W3CDTF">2016-10-28T10:43:49Z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0x010100AC085CFC53BC46CEA2EADE194AD9D482004BAE6C175B3C8D40941850640A193D2B</vt:lpwstr>
  </property>
</Properties>
</file>